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INVEST ET FINANCEMENT" sheetId="2" state="visible" r:id="rId4"/>
    <sheet name="BALANCE 2024" sheetId="3" state="visible" r:id="rId5"/>
    <sheet name="BALANCE 2025" sheetId="4" state="visible" r:id="rId6"/>
    <sheet name="BALANCE 2026" sheetId="5" state="visible" r:id="rId7"/>
    <sheet name="BALANCE 2027" sheetId="6" state="visible" r:id="rId8"/>
    <sheet name="BALANCE 2028" sheetId="7" state="visible" r:id="rId9"/>
    <sheet name="BALANCE 2029" sheetId="8" state="visible" r:id="rId10"/>
    <sheet name="BILAN" sheetId="9" state="visible" r:id="rId11"/>
    <sheet name="COMPTE DE RESULTAT" sheetId="10" state="visible" r:id="rId12"/>
    <sheet name="TFT" sheetId="11" state="visible" r:id="rId13"/>
    <sheet name="CONTROL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<sst xmlns="http://schemas.openxmlformats.org/spreadsheetml/2006/main" count="2205" uniqueCount="677">
  <si>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</si>
  <si>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</si>
  <si>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 de cet onglet et de l'onglet INVEST ET FINANCEMENT.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</si>
  <si>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</si>
  <si>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</si>
  <si>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</si>
  <si>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</si>
  <si>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</si>
  <si>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</si>
  <si>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</si>
  <si>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</si>
  <si>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</si>
  <si>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</si>
  <si>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</si>
  <si>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</si>
  <si>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</si>
  <si>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</si>
  <si>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</si>
  <si>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</si>
  <si>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</si>
  <si>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</si>
  <si>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</si>
  <si>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Taux calé pour neutraliser l'impôt supplémentaire dû à la réintégration de la dotation IFC (résultat identique au fichier _11). Chaque compte de détail est ensuite réparti selon sa part dans la balance de base.</t>
  </si>
  <si>
    <t xml:space="preserve">Transports</t>
  </si>
  <si>
    <t xml:space="preserve">61</t>
  </si>
  <si>
    <t xml:space="preserve">Défaut : ratio réel de l'année de base. Chaque compte de détail est ensuite réparti selon sa part dans la balance de base.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</si>
  <si>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</si>
  <si>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</si>
  <si>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</si>
  <si>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</si>
  <si>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</si>
  <si>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</si>
  <si>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Rémunérations du personnel (hors charges sociales patronales)</t>
  </si>
  <si>
    <t xml:space="preserve">661-663</t>
  </si>
  <si>
    <t xml:space="preserve">Défaut : ratio réel de l'année de base. Chaque compte de détail est ensuite réparti selon sa part dans la balance de base. Les charges sociales patronales (664) sont calculées à part (section 3).</t>
  </si>
  <si>
    <t xml:space="preserve">3. CHARGES SOCIALES PATRONALES ET PROVISION POUR INDEMNITÉS DE FIN DE CARRIÈRE</t>
  </si>
  <si>
    <t xml:space="preserve">Effectif moyen salarié</t>
  </si>
  <si>
    <t xml:space="preserve">nb</t>
  </si>
  <si>
    <t xml:space="preserve">Défaut : 65, estimé d'après la CMU salariale réelle 2024 (387 620 / 6 000 FCFA par an et par salarié). À remplacer par l'effectif réel.</t>
  </si>
  <si>
    <t xml:space="preserve">CNPS retraite, part employeur (% du salaire brut)</t>
  </si>
  <si>
    <t xml:space="preserve">664 / 4313</t>
  </si>
  <si>
    <t xml:space="preserve">Ordonnance 2012-03 art. 22 : 7,7 % (plafond 3 375 000 FCFA par mois et par salarié).</t>
  </si>
  <si>
    <t xml:space="preserve">CNPS prestations familiales + assurance maternité</t>
  </si>
  <si>
    <t xml:space="preserve">664 / 4311</t>
  </si>
  <si>
    <t xml:space="preserve">5 % + 0,75 % sur le salaire plafonné à 75 000 FCFA par mois et par salarié.</t>
  </si>
  <si>
    <t xml:space="preserve">CNPS accidents du travail (taux notifié)</t>
  </si>
  <si>
    <t xml:space="preserve">664 / 4312</t>
  </si>
  <si>
    <t xml:space="preserve">2 % à 5 % selon le secteur, sur le salaire plafonné. Défaut 5 % (BTP) : à remplacer par le taux notifié par la CNPS.</t>
  </si>
  <si>
    <t xml:space="preserve">Plafond mensuel PF / maternité / AT par salarié</t>
  </si>
  <si>
    <t xml:space="preserve">FCFA</t>
  </si>
  <si>
    <t xml:space="preserve">SMIG depuis le 1er janvier 2023 (décret 2022-986).</t>
  </si>
  <si>
    <t xml:space="preserve">CMU part employeur (par salarié et par mois)</t>
  </si>
  <si>
    <t xml:space="preserve">664 / 4318</t>
  </si>
  <si>
    <t xml:space="preserve">Loi 2014-131 : 1 000 FCFA par mois, dont 50 % employeur.</t>
  </si>
  <si>
    <t xml:space="preserve">Salaires nets restant dus au 31/12 (en mois de salaire net)</t>
  </si>
  <si>
    <t xml:space="preserve">422</t>
  </si>
  <si>
    <t xml:space="preserve">Le salaire net de décembre est payé en janvier N+1 : le solde du 422 = salaires nets de l'année x nb de mois / 12.</t>
  </si>
  <si>
    <t xml:space="preserve">Dotation IFC en % des rémunérations du personnel</t>
  </si>
  <si>
    <t xml:space="preserve">691 / 196</t>
  </si>
  <si>
    <t xml:space="preserve">Dotation proportionnelle à la masse salariale. Défaut : ratio réel 2024 (6 059 296 / rémunérations 2024).</t>
  </si>
  <si>
    <t xml:space="preserve">   Dotation aux provisions pour indemnités de fin de carrière</t>
  </si>
  <si>
    <t xml:space="preserve">4.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</si>
  <si>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</si>
  <si>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</si>
  <si>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</si>
  <si>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</si>
  <si>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</si>
  <si>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</si>
  <si>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Délai de paiement des fournisseurs d'investissement (jours d'acquisitions HT)</t>
  </si>
  <si>
    <t xml:space="preserve">4812</t>
  </si>
  <si>
    <t xml:space="preserve">Dette de l'année sur les acquisitions de l'année = acquisitions x délai / 360. Défaut : délai réel 2024 (132,9 M / 364,9 M d'acquisitions).</t>
  </si>
  <si>
    <t xml:space="preserve">Règlement de la dette fournisseurs d'investissement du 31/12 de base (% de l'encours)</t>
  </si>
  <si>
    <t xml:space="preserve">Échéancier de l'encours 2024 (132,9 M) : 20 % par an. Le cumul ne doit pas dépasser 100 %.</t>
  </si>
  <si>
    <t xml:space="preserve">   Encours de base restant dû au 31/12</t>
  </si>
  <si>
    <t xml:space="preserve">   Dette sur acquisitions de l'année</t>
  </si>
  <si>
    <t xml:space="preserve">   Dette fournisseurs d'investissement au 31/12 (poste DH du bilan)</t>
  </si>
  <si>
    <t xml:space="preserve">Part des sorties de banque affectée à l'approvisionnement de la caisse (virement de fonds 585)</t>
  </si>
  <si>
    <t xml:space="preserve">571 / 585</t>
  </si>
  <si>
    <t xml:space="preserve">Appro caisse = % x mouvements crédit du 521. Seule entrée en caisse (D 585 / C 521 puis D 571 / C 585). Créances clients encaissées par chèque ou virement. Soldes banque et caisse inchangés.</t>
  </si>
  <si>
    <t xml:space="preserve">Décaissements en espèces (% des approvisionnements de caisse de l'année)</t>
  </si>
  <si>
    <t xml:space="preserve">571</t>
  </si>
  <si>
    <t xml:space="preserve">Moins de 100 % : la caisse augmente ; plus de 100 % : elle diminue. Solde de caisse = ouverture + appro x (1 - %). La banque absorbe l'écart.</t>
  </si>
  <si>
    <t xml:space="preserve">Ajustement des autres dettes (+ augmentation / - diminution de l'année)</t>
  </si>
  <si>
    <t xml:space="preserve">4712</t>
  </si>
  <si>
    <t xml:space="preserve">Mouvement net saisi librement (créditeurs divers). Si le solde cumulé devient débiteur, il passe en autres créances (BJ).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</si>
  <si>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</si>
  <si>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5.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</si>
  <si>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</si>
  <si>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</si>
  <si>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</si>
  <si>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</si>
  <si>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</si>
  <si>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CGI art. 39.</t>
  </si>
  <si>
    <t xml:space="preserve">IMF maximum</t>
  </si>
  <si>
    <t xml:space="preserve">Autres 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</si>
  <si>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</si>
  <si>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</si>
  <si>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</si>
  <si>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</si>
  <si>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</si>
  <si>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6. CALCULS DU RÉSULTAT ET DE L'IMPÔT (ne pas modifier)</t>
  </si>
  <si>
    <t xml:space="preserve">Chiffre d'affaires (travaux facturés)</t>
  </si>
  <si>
    <t xml:space="preserve">705</t>
  </si>
  <si>
    <t xml:space="preserve">   Assiette des cotisations : salaires bruts (661)</t>
  </si>
  <si>
    <t xml:space="preserve">661</t>
  </si>
  <si>
    <t xml:space="preserve">   Assiette plafonnée PF / AT (effectif x 12 x plafond)</t>
  </si>
  <si>
    <t xml:space="preserve">   Retraite part employeur</t>
  </si>
  <si>
    <t xml:space="preserve">664104</t>
  </si>
  <si>
    <t xml:space="preserve">   Prestations familiales et maternité</t>
  </si>
  <si>
    <t xml:space="preserve">664102</t>
  </si>
  <si>
    <t xml:space="preserve">   Accidents du travail</t>
  </si>
  <si>
    <t xml:space="preserve">664103</t>
  </si>
  <si>
    <t xml:space="preserve">   CMU part employeur</t>
  </si>
  <si>
    <t xml:space="preserve">664101</t>
  </si>
  <si>
    <t xml:space="preserve">Charges de personnel (66) : rémunérations + charges sociales</t>
  </si>
  <si>
    <t xml:space="preserve">66</t>
  </si>
  <si>
    <t xml:space="preserve">Base achats TTC fournisseurs (60+61+62-63, HT)</t>
  </si>
  <si>
    <t xml:space="preserve">Dotations aux provisions (691)</t>
  </si>
  <si>
    <t xml:space="preserve">691</t>
  </si>
  <si>
    <t xml:space="preserve">Revenus financiers (77)</t>
  </si>
  <si>
    <t xml:space="preserve">Résultat avant impôt</t>
  </si>
  <si>
    <t xml:space="preserve">XG+XH</t>
  </si>
  <si>
    <t xml:space="preserve">Réintégration : dotation aux provisions pour IFC (non déductible du BIC)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</si>
  <si>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</si>
  <si>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</si>
  <si>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</si>
  <si>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</si>
  <si>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</si>
  <si>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</si>
  <si>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</si>
  <si>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</si>
  <si>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</si>
  <si>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</si>
  <si>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</si>
  <si>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</si>
  <si>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</si>
  <si>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HYPOTHÈSES D'INVESTISSEMENT ET DE FINANCEMENT</t>
  </si>
  <si>
    <t xml:space="preserve">Plan d'investissement, amortissements, endettement et plan de financement. Montants en FCFA.</t>
  </si>
  <si>
    <t xml:space="preserve">Mode d'emploi : saisir uniquement les cellules sur fond JAUNE (texte bleu). Les sections B, D et E se calculent automatiquement.</t>
  </si>
  <si>
    <t xml:space="preserve">A. PLAN D'INVESTISSEMENT (montants HT, acquisitions supposées au 1er janvier)</t>
  </si>
  <si>
    <t xml:space="preserve">Aménagements, agencements, installations</t>
  </si>
  <si>
    <t xml:space="preserve">2341 / 2834</t>
  </si>
  <si>
    <t xml:space="preserve">Colonne réel : acquisitions de l'année de base (mouvements débit 2024, hors location-acquisition 2456).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</si>
  <si>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</si>
  <si>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</si>
  <si>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</si>
  <si>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</si>
  <si>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</si>
  <si>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</si>
  <si>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Nouveaux dépôts et cautionnements versés</t>
  </si>
  <si>
    <t xml:space="preserve">275</t>
  </si>
  <si>
    <t xml:space="preserve">Levée d'option de location-acquisition : reclassement du brut 2456 vers 2451</t>
  </si>
  <si>
    <t xml:space="preserve">2456 / 2451</t>
  </si>
  <si>
    <t xml:space="preserve">Option d'achat levée en 2025 : le bien (28 619 694) devient la propriété de l'entité. Sans effet sur le résultat ni la trésorerie ; amortissements inchangés (2845).</t>
  </si>
  <si>
    <t xml:space="preserve">Durée d'amortissement linéaire (années)</t>
  </si>
  <si>
    <t xml:space="preserve">   Aménagements, agencements, installations</t>
  </si>
  <si>
    <t xml:space="preserve">Durée d'utilité retenue (AUDCIF art. 45), fixée par l'entité.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</si>
  <si>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</si>
  <si>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</si>
  <si>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</si>
  <si>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</si>
  <si>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</si>
  <si>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Défaut : dotation réelle de l'année de base.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</si>
  <si>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</si>
  <si>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</si>
  <si>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</si>
  <si>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</si>
  <si>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</si>
  <si>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B. AMORTISSEMENTS ET TABLEAU DES IMMOBILISATIONS CORPORELLES (calculé)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</si>
  <si>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</si>
  <si>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</si>
  <si>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</si>
  <si>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</si>
  <si>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</si>
  <si>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</si>
  <si>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</si>
  <si>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</si>
  <si>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</si>
  <si>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</si>
  <si>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</si>
  <si>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</si>
  <si>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</si>
  <si>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Total dotations aux amortissements (681)</t>
  </si>
  <si>
    <t xml:space="preserve">Immobilisations corporelles brutes au 31/12</t>
  </si>
  <si>
    <t xml:space="preserve">22 à 24</t>
  </si>
  <si>
    <t xml:space="preserve">Amortissements cumulés au 31/12</t>
  </si>
  <si>
    <t xml:space="preserve">28</t>
  </si>
  <si>
    <t xml:space="preserve">Valeur nette comptable au 31/12 (= poste AI du bilan)</t>
  </si>
  <si>
    <t xml:space="preserve">AI</t>
  </si>
  <si>
    <t xml:space="preserve">C. HYPOTHÈSES DE FINANCEMENT ET DE CAPITAUX PROPRES</t>
  </si>
  <si>
    <t xml:space="preserve">Nouveaux emprunts</t>
  </si>
  <si>
    <t xml:space="preserve">162</t>
  </si>
  <si>
    <t xml:space="preserve">Remboursements d'emprunts</t>
  </si>
  <si>
    <t xml:space="preserve">2025 : encours BNI 39 658 832 + nouvel emprunt 54 395 682. Ne pas rembourser plus que l'encours (voir contrôle).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</si>
  <si>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</si>
  <si>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</si>
  <si>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</si>
  <si>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</si>
  <si>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</si>
  <si>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</si>
  <si>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</si>
  <si>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Remboursement du compte courant d'associés de base (% de l'encours)</t>
  </si>
  <si>
    <t xml:space="preserve">4621</t>
  </si>
  <si>
    <t xml:space="preserve">Encours au 31/12/2024 : 3,7 M, soldé en 2025.</t>
  </si>
  <si>
    <t xml:space="preserve">Nouveaux apports en compte courant d'associés</t>
  </si>
  <si>
    <t xml:space="preserve">   Compte courant d'associés au 31/12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</si>
  <si>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</si>
  <si>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</si>
  <si>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D. TABLEAU D'ENDETTEMENT (calculé)</t>
  </si>
  <si>
    <t xml:space="preserve">Emprunts : encours au 1er janvier</t>
  </si>
  <si>
    <t xml:space="preserve">   + Nouveaux emprunts</t>
  </si>
  <si>
    <t xml:space="preserve">   - Remboursements</t>
  </si>
  <si>
    <t xml:space="preserve">Emprunts : encours au 31 décembre</t>
  </si>
  <si>
    <t xml:space="preserve">DA</t>
  </si>
  <si>
    <t xml:space="preserve">Location-acquisition : encours au 1er janvier</t>
  </si>
  <si>
    <t xml:space="preserve">Location-acquisition : encours au 31 décembre</t>
  </si>
  <si>
    <t xml:space="preserve">DB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</si>
  <si>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</si>
  <si>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</si>
  <si>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</si>
  <si>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</si>
  <si>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Service de la dette (remboursements + intérêts)</t>
  </si>
  <si>
    <t xml:space="preserve">E. PLAN DE FINANCEMENT (calculé)</t>
  </si>
  <si>
    <t xml:space="preserve">Emplois : investissements corporels</t>
  </si>
  <si>
    <t xml:space="preserve">Emplois : immobilisations financières</t>
  </si>
  <si>
    <t xml:space="preserve">Emplois : remboursements de dettes financières</t>
  </si>
  <si>
    <t xml:space="preserve">Emplois : dividendes versés</t>
  </si>
  <si>
    <t xml:space="preserve">TOTAL EMPLOIS</t>
  </si>
  <si>
    <t xml:space="preserve">Ressources : capacité d'autofinancement globale (CAFG)</t>
  </si>
  <si>
    <t xml:space="preserve">FA</t>
  </si>
  <si>
    <t xml:space="preserve">Ressources : augmentation de capital</t>
  </si>
  <si>
    <t xml:space="preserve">Ressources : nouveaux emprunts</t>
  </si>
  <si>
    <t xml:space="preserve">TOTAL RESSOURCES</t>
  </si>
  <si>
    <t xml:space="preserve">Variation du fonds de roulement (ressources - emplois)</t>
  </si>
  <si>
    <t xml:space="preserve">Un solde négatif signifie que les investissements et remboursements sont financés en puisant dans la trésorerie.</t>
  </si>
  <si>
    <t xml:space="preserve">BALANCE GÉNÉRALE À 6 COLONNES : EXERCICE 2024 (RÉEL)</t>
  </si>
  <si>
    <t xml:space="preserve">Balance réelle reprise de l'onglet « 2025 » du fichier BALANCES_ET_PREVISIONS_TEST (ouverture, mouvements et clôture 2024).</t>
  </si>
  <si>
    <t xml:space="preserve">Soldes d'ouverture</t>
  </si>
  <si>
    <t xml:space="preserve">Mouvements de l'exercice</t>
  </si>
  <si>
    <t xml:space="preserve">Soldes de clôture</t>
  </si>
  <si>
    <t xml:space="preserve">Contrôle</t>
  </si>
  <si>
    <t xml:space="preserve">Solde net</t>
  </si>
  <si>
    <t xml:space="preserve">AJOUTER UN COMPTE</t>
  </si>
  <si>
    <t xml:space="preserve">Compte</t>
  </si>
  <si>
    <t xml:space="preserve">Intitulé</t>
  </si>
  <si>
    <t xml:space="preserve">Poste</t>
  </si>
  <si>
    <t xml:space="preserve">Débit</t>
  </si>
  <si>
    <t xml:space="preserve">Crédit</t>
  </si>
  <si>
    <t xml:space="preserve">Ouv.+Mvts-Clôt.</t>
  </si>
  <si>
    <t xml:space="preserve">1. Clic droit dans le tableau &gt; Insérer &gt; Lignes de tableau au-dessus,</t>
  </si>
  <si>
    <t xml:space="preserve">TOTAL BALANCE (tous les comptes du tableau)</t>
  </si>
  <si>
    <t xml:space="preserve">   ou saisir directement sous la dernière ligne du tableau.</t>
  </si>
  <si>
    <t xml:space="preserve">Écart débit - crédit (doit être nul)</t>
  </si>
  <si>
    <t xml:space="preserve">2. Saisir Compte, Intitulé et Poste (code ci-dessous).</t>
  </si>
  <si>
    <t xml:space="preserve">3. Les autres colonnes se remplissent : ouverture = clôture N-1 du compte,</t>
  </si>
  <si>
    <t xml:space="preserve">   clôture = ouverture (bilan) ou part de la nature de charge (classe 6).</t>
  </si>
  <si>
    <t xml:space="preserve">   Elles peuvent être saisies manuellement.</t>
  </si>
  <si>
    <t xml:space="preserve">4. Ajouter le compte dans chaque exercice où il doit figurer :</t>
  </si>
  <si>
    <t xml:space="preserve">BALANCE COMPLÈTE (tableau extensible)</t>
  </si>
  <si>
    <t xml:space="preserve">   le contrôle « ouverture N = clôture N-1 » le signale sinon.</t>
  </si>
  <si>
    <t xml:space="preserve">Ouverture Débit</t>
  </si>
  <si>
    <t xml:space="preserve">Ouverture Crédit</t>
  </si>
  <si>
    <t xml:space="preserve">Mouvements Débit</t>
  </si>
  <si>
    <t xml:space="preserve">Mouvements Crédit</t>
  </si>
  <si>
    <t xml:space="preserve">Clôture Débit</t>
  </si>
  <si>
    <t xml:space="preserve">Clôture Crédit</t>
  </si>
  <si>
    <t xml:space="preserve">Hors trésorerie</t>
  </si>
  <si>
    <t xml:space="preserve">Code poste</t>
  </si>
  <si>
    <t xml:space="preserve">Signification</t>
  </si>
  <si>
    <t xml:space="preserve">Capital social</t>
  </si>
  <si>
    <t xml:space="preserve">CA</t>
  </si>
  <si>
    <t xml:space="preserve">CA à CM</t>
  </si>
  <si>
    <t xml:space="preserve">Capitaux propres (10 à 15)</t>
  </si>
  <si>
    <t xml:space="preserve">Réserve légale</t>
  </si>
  <si>
    <t xml:space="preserve">CF</t>
  </si>
  <si>
    <t xml:space="preserve">DA, DB, DC</t>
  </si>
  <si>
    <t xml:space="preserve">Dettes financières, location-acquisition, provisions</t>
  </si>
  <si>
    <t xml:space="preserve">Report à nouveau</t>
  </si>
  <si>
    <t xml:space="preserve">CH</t>
  </si>
  <si>
    <t xml:space="preserve">AD, AJ à AN, AP, AS</t>
  </si>
  <si>
    <t xml:space="preserve">Immobilisations (incorporelles, corporelles, financières)</t>
  </si>
  <si>
    <t xml:space="preserve">Résultat en instance d'affectation : bénéfice</t>
  </si>
  <si>
    <t xml:space="preserve">R13</t>
  </si>
  <si>
    <t xml:space="preserve">BH, BI, BJ</t>
  </si>
  <si>
    <t xml:space="preserve">Fournisseurs débiteurs, clients, autres créances</t>
  </si>
  <si>
    <t xml:space="preserve">Emprunts auprès des établissements de crédit (BNI)</t>
  </si>
  <si>
    <t xml:space="preserve">DH, DJ, DK, DM</t>
  </si>
  <si>
    <t xml:space="preserve">Dettes HAO, fournisseurs, fiscales et sociales, autres dettes</t>
  </si>
  <si>
    <t xml:space="preserve">Dettes de location-acquisition</t>
  </si>
  <si>
    <t xml:space="preserve">BS / TRESO / DR</t>
  </si>
  <si>
    <t xml:space="preserve">Trésorerie actif / banque / trésorerie passif</t>
  </si>
  <si>
    <t xml:space="preserve">Provisions pour pensions et obligations similaires (IFC)</t>
  </si>
  <si>
    <t xml:space="preserve">DC</t>
  </si>
  <si>
    <t xml:space="preserve">TA à TO</t>
  </si>
  <si>
    <t xml:space="preserve">Produits (TC = travaux et services vendus, TK = revenus financiers)</t>
  </si>
  <si>
    <t xml:space="preserve">Aménagements, agencements et installations techniques</t>
  </si>
  <si>
    <t xml:space="preserve">AL</t>
  </si>
  <si>
    <t xml:space="preserve">RE, RG, RH, RI, RJ, RK</t>
  </si>
  <si>
    <t xml:space="preserve">Achats, transports, services ext., impôts et taxes, autres charges, personnel</t>
  </si>
  <si>
    <t xml:space="preserve">Matériel industriel</t>
  </si>
  <si>
    <t xml:space="preserve">AM</t>
  </si>
  <si>
    <t xml:space="preserve">RL, RM, RS</t>
  </si>
  <si>
    <t xml:space="preserve">Dotations, frais financiers, impôt sur le résultat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</si>
  <si>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</si>
  <si>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</si>
  <si>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</si>
  <si>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</si>
  <si>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</si>
  <si>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</si>
  <si>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</si>
  <si>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</si>
  <si>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</si>
  <si>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</si>
  <si>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</si>
  <si>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</si>
  <si>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</si>
  <si>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</si>
  <si>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Fournisseurs avances et accoptes ve</t>
  </si>
  <si>
    <t xml:space="preserve">BH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</si>
  <si>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</si>
  <si>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</si>
  <si>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</si>
  <si>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</si>
  <si>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prestations familiales et maternité</t>
  </si>
  <si>
    <t xml:space="preserve">CNPS, accidents du travail</t>
  </si>
  <si>
    <t xml:space="preserve">CNPS, retraite part employeur</t>
  </si>
  <si>
    <t xml:space="preserve">CNPS, retraite part salariale</t>
  </si>
  <si>
    <t xml:space="preserve">CMU, part salariale</t>
  </si>
  <si>
    <t xml:space="preserve">CMU, part employeur</t>
  </si>
  <si>
    <t xml:space="preserve">Assurance et organisme de sante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</si>
  <si>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</si>
  <si>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</si>
  <si>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</si>
  <si>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</si>
  <si>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</si>
  <si>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</si>
  <si>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</si>
  <si>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</si>
  <si>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</si>
  <si>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</si>
  <si>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</si>
  <si>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</si>
  <si>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Créditeurs divers (ajustements des autres dettes)</t>
  </si>
  <si>
    <t xml:space="preserve">DMBJ</t>
  </si>
  <si>
    <t xml:space="preserve">Fournisseurs d'investissements</t>
  </si>
  <si>
    <t xml:space="preserve">DH</t>
  </si>
  <si>
    <t xml:space="preserve">Banque SGCI</t>
  </si>
  <si>
    <t xml:space="preserve">TRESO</t>
  </si>
  <si>
    <t xml:space="preserve">Caisse</t>
  </si>
  <si>
    <t xml:space="preserve">BS</t>
  </si>
  <si>
    <t xml:space="preserve">Virements de fonds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</si>
  <si>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</si>
  <si>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</si>
  <si>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</si>
  <si>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</si>
  <si>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</si>
  <si>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</si>
  <si>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</si>
  <si>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</si>
  <si>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</si>
  <si>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</si>
  <si>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</si>
  <si>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</si>
  <si>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</si>
  <si>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</si>
  <si>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</si>
  <si>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</si>
  <si>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</si>
  <si>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</si>
  <si>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</si>
  <si>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</si>
  <si>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</si>
  <si>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</si>
  <si>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</si>
  <si>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</si>
  <si>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</si>
  <si>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</si>
  <si>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</si>
  <si>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</si>
  <si>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</si>
  <si>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</si>
  <si>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</si>
  <si>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</si>
  <si>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</si>
  <si>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</si>
  <si>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</si>
  <si>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</si>
  <si>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</si>
  <si>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</si>
  <si>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</si>
  <si>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</si>
  <si>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</si>
  <si>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 : CMU part employeur</t>
  </si>
  <si>
    <t xml:space="preserve">Charges sociales : prestations familiales et maternité</t>
  </si>
  <si>
    <t xml:space="preserve">Charges sociales : accidents du travail</t>
  </si>
  <si>
    <t xml:space="preserve">Charges sociales : retraite part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</si>
  <si>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</si>
  <si>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</si>
  <si>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</si>
  <si>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</si>
  <si>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</si>
  <si>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</si>
  <si>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</si>
  <si>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</si>
  <si>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</si>
  <si>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</si>
  <si>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</si>
  <si>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</si>
  <si>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</si>
  <si>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</si>
  <si>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</si>
  <si>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</si>
  <si>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BALANCE GÉNÉRALE À 6 COLONNES : EXERCICE 2025 (PRÉVISIONNEL)</t>
  </si>
  <si>
    <t xml:space="preserve">Ouverture = clôture N-1 du même compte (classes 6 à 8 soldées, résultat N-1 en 13). Clôture calculée depuis les hypothèses ; mouvements = flux de l'exercice. Soldes après inventaire, avant écritures de clôture.</t>
  </si>
  <si>
    <t xml:space="preserve">Calcul : trésorerie totale à répartir (banque + caisse)</t>
  </si>
  <si>
    <t xml:space="preserve">Calcul : sorties de banque de l'exercice (crédit 521)</t>
  </si>
  <si>
    <t xml:space="preserve">Calcul : approvisionnement de la caisse (% des sorties de banque)</t>
  </si>
  <si>
    <t xml:space="preserve">BALANCE GÉNÉRALE À 6 COLONNES : EXERCICE 2026 (PRÉVISIONNEL)</t>
  </si>
  <si>
    <t xml:space="preserve">BALANCE GÉNÉRALE À 6 COLONNES : EXERCICE 2027 (PRÉVISIONNEL)</t>
  </si>
  <si>
    <t xml:space="preserve">BALANCE GÉNÉRALE À 6 COLONNES : EXERCICE 2028 (PRÉVISIONNEL)</t>
  </si>
  <si>
    <t xml:space="preserve">BALANCE GÉNÉRALE À 6 COLONNES : EXERCICE 2029 (PRÉVISIONNEL)</t>
  </si>
  <si>
    <t xml:space="preserve">BILAN PRÉVISIONNEL SUR 5 ANS (modèle SYSCOHADA révisé, système normal)</t>
  </si>
  <si>
    <t xml:space="preserve">Alimenté par les soldes de clôture des onglets BALANCE de chaque exercice. Valeurs nettes d'amortissements et de dépréciations.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</si>
  <si>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</si>
  <si>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</si>
  <si>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</si>
  <si>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</si>
  <si>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</si>
  <si>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</si>
  <si>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</si>
  <si>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</si>
  <si>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</si>
  <si>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</si>
  <si>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</si>
  <si>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</si>
  <si>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</si>
  <si>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</si>
  <si>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</si>
  <si>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</si>
  <si>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</si>
  <si>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</si>
  <si>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</si>
  <si>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</si>
  <si>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</si>
  <si>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</si>
  <si>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</si>
  <si>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</si>
  <si>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</si>
  <si>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</si>
  <si>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</si>
  <si>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</si>
  <si>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</si>
  <si>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</si>
  <si>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</si>
  <si>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</si>
  <si>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</si>
  <si>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</si>
  <si>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</si>
  <si>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</si>
  <si>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</si>
  <si>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</si>
  <si>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</si>
  <si>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</si>
  <si>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</si>
  <si>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</si>
  <si>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</si>
  <si>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</si>
  <si>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</si>
  <si>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</si>
  <si>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</si>
  <si>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</si>
  <si>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</si>
  <si>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</si>
  <si>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</si>
  <si>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</si>
  <si>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</si>
  <si>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</si>
  <si>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</si>
  <si>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</si>
  <si>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</si>
  <si>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</si>
  <si>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</si>
  <si>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</si>
  <si>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</si>
  <si>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</si>
  <si>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</si>
  <si>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</si>
  <si>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</si>
  <si>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</si>
  <si>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</si>
  <si>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</si>
  <si>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</si>
  <si>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</si>
  <si>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</si>
  <si>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</si>
  <si>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</si>
  <si>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</si>
  <si>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</si>
  <si>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</si>
  <si>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</si>
  <si>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</si>
  <si>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</si>
  <si>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</si>
  <si>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</si>
  <si>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</si>
  <si>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</si>
  <si>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</si>
  <si>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</si>
  <si>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</si>
  <si>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</si>
  <si>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</si>
  <si>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</si>
  <si>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</si>
  <si>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PRÉVISIONNEL SUR 5 ANS (modèle SYSCOHADA révisé)</t>
  </si>
  <si>
    <t xml:space="preserve">Alimenté par les soldes de clôture des onglets BALANCE de chaque exercice. Charges présentées en négatif, soldes intermédiaires XA à XI. Montants en FCFA.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</si>
  <si>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</si>
  <si>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</si>
  <si>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</si>
  <si>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</si>
  <si>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</si>
  <si>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</si>
  <si>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</si>
  <si>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</si>
  <si>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</si>
  <si>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</si>
  <si>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</si>
  <si>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</si>
  <si>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</si>
  <si>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</si>
  <si>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</si>
  <si>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</si>
  <si>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</si>
  <si>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</si>
  <si>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</si>
  <si>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</si>
  <si>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</si>
  <si>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</si>
  <si>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</si>
  <si>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</si>
  <si>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</si>
  <si>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</si>
  <si>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</si>
  <si>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</si>
  <si>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</si>
  <si>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</si>
  <si>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</si>
  <si>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</si>
  <si>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</si>
  <si>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</si>
  <si>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</si>
  <si>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Charges de personnel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</si>
  <si>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</si>
  <si>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</si>
  <si>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</si>
  <si>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</si>
  <si>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</si>
  <si>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</si>
  <si>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</si>
  <si>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</si>
  <si>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</si>
  <si>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</si>
  <si>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</si>
  <si>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</si>
  <si>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</si>
  <si>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</si>
  <si>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</si>
  <si>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</si>
  <si>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</si>
  <si>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</si>
  <si>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</si>
  <si>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</si>
  <si>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</si>
  <si>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</si>
  <si>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</si>
  <si>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</si>
  <si>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</si>
  <si>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</si>
  <si>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</si>
  <si>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</si>
  <si>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</si>
  <si>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</si>
  <si>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</si>
  <si>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</si>
  <si>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</si>
  <si>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 PRÉVISIONNEL SUR 5 ANS (modèle SYSCOHADA révisé)</t>
  </si>
  <si>
    <t xml:space="preserve">Méthode indirecte à partir de la CAFG, calculé par différence entre bilans successifs. Montants en FCFA.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</si>
  <si>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</si>
  <si>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</si>
  <si>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</si>
  <si>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</si>
  <si>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</si>
  <si>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</si>
  <si>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</si>
  <si>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</si>
  <si>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</si>
  <si>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</si>
  <si>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</si>
  <si>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</si>
  <si>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</si>
  <si>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</si>
  <si>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</si>
  <si>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</si>
  <si>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</si>
  <si>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</si>
  <si>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</si>
  <si>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</si>
  <si>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</si>
  <si>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</si>
  <si>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</si>
  <si>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</si>
  <si>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</si>
  <si>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</si>
  <si>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</si>
  <si>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</si>
  <si>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</si>
  <si>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</si>
  <si>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</si>
  <si>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</si>
  <si>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</si>
  <si>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</si>
  <si>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</si>
  <si>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</si>
  <si>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</si>
  <si>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</si>
  <si>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</si>
  <si>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</si>
  <si>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</si>
  <si>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</si>
  <si>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</si>
  <si>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</si>
  <si>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</si>
  <si>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</si>
  <si>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</si>
  <si>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</si>
  <si>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</si>
  <si>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</si>
  <si>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</si>
  <si>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</si>
  <si>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CONTRÔLES DE COHÉRENCE ET INDICATEURS</t>
  </si>
  <si>
    <t xml:space="preserve">Vérifications croisées balances / bilan / compte de résultat / TFT. Toute valeur différente de 0 signale une anomalie.</t>
  </si>
  <si>
    <t xml:space="preserve">CONTRÔLES DE COHÉRENCE (tous doivent afficher 0)</t>
  </si>
  <si>
    <t xml:space="preserve">Statut</t>
  </si>
  <si>
    <t xml:space="preserve">Balance : équilibre ouverture, mouvements et clôture (somme des écarts débit - crédit)</t>
  </si>
  <si>
    <t xml:space="preserve">Balance : ouverture + mouvements - clôture, compte par compte (somme des écarts)</t>
  </si>
  <si>
    <t xml:space="preserve">Balance N : ouverture = clôture N-1, compte par compte (classes 1 à 5, hors compte 13)</t>
  </si>
  <si>
    <t xml:space="preserve">Balance N : résultat d'ouverture (13) - résultat net N-1 (XI)</t>
  </si>
  <si>
    <t xml:space="preserve">Concordance : classe 2 (solde net) - actif immobilisé net (AZ)</t>
  </si>
  <si>
    <t xml:space="preserve">Concordance : classes 3 et 4 (solde net) - (actif circulant BK - passif circulant DP)</t>
  </si>
  <si>
    <t xml:space="preserve">Concordance : classe 5 (solde net) - trésorerie nette (BT - DT)</t>
  </si>
  <si>
    <t xml:space="preserve">Concordance : classe 1 (créditeur net) + résultat - (capitaux propres CP + dettes financières DD)</t>
  </si>
  <si>
    <t xml:space="preserve">Concordance : classes 7 - 6 - 8 de la balance - résultat net XI</t>
  </si>
  <si>
    <t xml:space="preserve">Concordance : comptes 70 de la balance - chiffre d'affaires XB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</si>
  <si>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</si>
  <si>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</si>
  <si>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</si>
  <si>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Capitaux propres : CP - (CP N-1 + XI - dividendes + apports + subventions)</t>
  </si>
  <si>
    <t xml:space="preserve">Trésorerie d'ouverture : ZA - trésorerie nette de clôture N-1</t>
  </si>
  <si>
    <t xml:space="preserve">Immobilisations : VNC (INVEST ET FINANCEMENT) - poste AI du bilan</t>
  </si>
  <si>
    <t xml:space="preserve">Plan de financement : variation du FR - (FR N - FR N-1) du bilan</t>
  </si>
  <si>
    <t xml:space="preserve">Alerte : mouvements négatifs dans la balance (nombre)</t>
  </si>
  <si>
    <t xml:space="preserve">Alerte : dette financière négative (remboursement &gt; encours) (1 = oui)</t>
  </si>
  <si>
    <t xml:space="preserve">Alerte : caisse créditrice (1 = oui)</t>
  </si>
  <si>
    <t xml:space="preserve">Contrôle : sorties de banque de la balance - sorties calculées pour l'appro de caisse (tolérance d'arrondi 2 FCFA)</t>
  </si>
  <si>
    <t xml:space="preserve">Alerte : trésorerie nette négative (1 = oui)</t>
  </si>
  <si>
    <t xml:space="preserve">Alerte : capitaux propres &lt; moitié du capital (AUSCGIE art. 664)</t>
  </si>
  <si>
    <t xml:space="preserve">Synthèse : nombre d'anomalies et d'alertes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</si>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</sst>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%;\(0.0%\);\-"/>
    <numFmt numFmtId="167" formatCode="#,##0;\(#,##0\);\-"/>
    <numFmt numFmtId="168" formatCode="0.00%"/>
    <numFmt numFmtId="169" formatCode="0.0"/>
    <numFmt numFmtId="170" formatCode="0&quot; j&quot;;\(0&quot; j)&quot;;\-"/>
    <numFmt numFmtId="171" formatCode="0.00\x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_BAL_2024" displayName="T_BAL_2024" ref="A12:K108" headerRowCount="1">
  <autoFilter ref="A12:K108"/>
  <tableColumns count="11">
    <tableColumn id="1" name="Compte"/>
    <tableColumn id="2" name="Intitulé"/>
    <tableColumn id="3" name="Poste"/>
    <tableColumn id="4" name="Ouverture Débit"/>
    <tableColumn id="5" name="Ouverture Crédit"/>
    <tableColumn id="6" name="Mouvements Débit"/>
    <tableColumn id="7" name="Mouvements Crédit"/>
    <tableColumn id="8" name="Clôture Débit"/>
    <tableColumn id="9" name="Clôture Crédit"/>
    <tableColumn id="10" name="Contrôle">
      <calculatedColumnFormula>(T_BAL_2024[[#This Row],[Ouverture Débit]]-T_BAL_2024[[#This Row],[Ouverture Crédit]])+(T_BAL_2024[[#This Row],[Mouvements Débit]]-T_BAL_2024[[#This Row],[Mouvements Crédit]])-(T_BAL_2024[[#This Row],[Clôture Débit]]-T_BAL_2024[[#This Row],[Clôture Crédit]])</calculatedColumnFormula>
    </tableColumn>
    <tableColumn id="11" name="Hors trésorerie">
      <calculatedColumnFormula>T_BAL_2024[[#This Row],[Clôture Débit]]-T_BAL_2024[[#This Row],[Clôture Crédit]]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_BAL_2025" displayName="T_BAL_2025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IF(LEFT(T_BAL_2025[[#This Row],[Compte]],1)&gt;="6",0,SUMIFS('BALANCE 2024'!$H:$H,'BALANCE 2024'!$A:$A,T_BAL_2025[[#This Row],[Compte]]))</calculatedColumnFormula>
    </tableColumn>
    <tableColumn id="5" name="Ouverture Crédit">
      <calculatedColumnFormula>IF(LEFT(T_BAL_2025[[#This Row],[Compte]],1)&gt;="6",0,SUMIFS('BALANCE 2024'!$I:$I,'BALANCE 2024'!$A:$A,T_BAL_2025[[#This Row],[Compte]]))</calculatedColumnFormula>
    </tableColumn>
    <tableColumn id="6" name="Mouvements Débit">
      <calculatedColumnFormula>MAX(0,(T_BAL_2025[[#This Row],[Clôture Débit]]-T_BAL_2025[[#This Row],[Clôture Crédit]])-(T_BAL_2025[[#This Row],[Ouverture Débit]]-T_BAL_2025[[#This Row],[Ouverture Crédit]]))</calculatedColumnFormula>
    </tableColumn>
    <tableColumn id="7" name="Mouvements Crédit">
      <calculatedColumnFormula>MAX(0,(T_BAL_2025[[#This Row],[Ouverture Débit]]-T_BAL_2025[[#This Row],[Ouverture Crédit]])-(T_BAL_2025[[#This Row],[Clôture Débit]]-T_BAL_2025[[#This Row],[Clôture Crédit]]))</calculatedColumnFormula>
    </tableColumn>
    <tableColumn id="8" name="Clôture Débit">
      <calculatedColumnFormula>ROUND(IF(LEFT(T_BAL_2025[[#This Row],[Compte]],1)&gt;="6",IF(T_BAL_2025[[#This Row],[Poste]]="RE",IF(HYPOTHESES!$C$51=0,0,HYPOTHESES!D$51*SUMIFS('BALANCE 2024'!$H:$H,'BALANCE 2024'!$A:$A,T_BAL_2025[[#This Row],[Compte]])/HYPOTHESES!$C$51),IF(T_BAL_2025[[#This Row],[Poste]]="RG",IF(HYPOTHESES!$C$52=0,0,HYPOTHESES!D$52*SUMIFS('BALANCE 2024'!$H:$H,'BALANCE 2024'!$A:$A,T_BAL_2025[[#This Row],[Compte]])/HYPOTHESES!$C$52),IF(T_BAL_2025[[#This Row],[Poste]]="RH",IF(HYPOTHESES!$C$53=0,0,HYPOTHESES!D$53*SUMIFS('BALANCE 2024'!$H:$H,'BALANCE 2024'!$A:$A,T_BAL_2025[[#This Row],[Compte]])/HYPOTHESES!$C$53),IF(T_BAL_2025[[#This Row],[Poste]]="RI",IF(HYPOTHESES!$C$54=0,0,HYPOTHESES!D$54*SUMIFS('BALANCE 2024'!$H:$H,'BALANCE 2024'!$A:$A,T_BAL_2025[[#This Row],[Compte]])/HYPOTHESES!$C$54),IF(T_BAL_2025[[#This Row],[Poste]]="RJ",IF(HYPOTHESES!$C$55=0,0,HYPOTHESES!D$55*SUMIFS('BALANCE 2024'!$H:$H,'BALANCE 2024'!$A:$A,T_BAL_2025[[#This Row],[Compte]])/HYPOTHESES!$C$55),IF(T_BAL_2025[[#This Row],[Poste]]="RK",IF(HYPOTHESES!$C$56=0,0,HYPOTHESES!D$56*SUMIFS('BALANCE 2024'!$H:$H,'BALANCE 2024'!$A:$A,T_BAL_2025[[#This Row],[Compte]])/HYPOTHESES!$C$56),0)))))),MAX(0,T_BAL_2025[[#This Row],[Ouverture Débit]]-T_BAL_2025[[#This Row],[Ouverture Crédit]])),0)</calculatedColumnFormula>
    </tableColumn>
    <tableColumn id="9" name="Clôture Crédit">
      <calculatedColumnFormula>IF(LEFT(T_BAL_2025[[#This Row],[Compte]],1)&gt;="6",0,MAX(0,T_BAL_2025[[#This Row],[Ouverture Crédit]]-T_BAL_2025[[#This Row],[Ouverture Débit]]))</calculatedColumnFormula>
    </tableColumn>
    <tableColumn id="10" name="Contrôle">
      <calculatedColumnFormula>(T_BAL_2025[[#This Row],[Ouverture Débit]]-T_BAL_2025[[#This Row],[Ouverture Crédit]])+(T_BAL_2025[[#This Row],[Mouvements Débit]]-T_BAL_2025[[#This Row],[Mouvements Crédit]])-(T_BAL_2025[[#This Row],[Clôture Débit]]-T_BAL_2025[[#This Row],[Clôture Crédit]])</calculatedColumnFormula>
    </tableColumn>
    <tableColumn id="11" name="Hors trésorerie">
      <calculatedColumnFormula>T_BAL_2025[[#This Row],[Clôture Débit]]-T_BAL_2025[[#This Row],[Clôture Crédit]]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_BAL_2026" displayName="T_BAL_2026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IF(LEFT(T_BAL_2026[[#This Row],[Compte]],1)&gt;="6",0,SUMIFS('BALANCE 2025'!$H:$H,'BALANCE 2025'!$A:$A,T_BAL_2026[[#This Row],[Compte]]))</calculatedColumnFormula>
    </tableColumn>
    <tableColumn id="5" name="Ouverture Crédit">
      <calculatedColumnFormula>IF(LEFT(T_BAL_2026[[#This Row],[Compte]],1)&gt;="6",0,SUMIFS('BALANCE 2025'!$I:$I,'BALANCE 2025'!$A:$A,T_BAL_2026[[#This Row],[Compte]]))</calculatedColumnFormula>
    </tableColumn>
    <tableColumn id="6" name="Mouvements Débit">
      <calculatedColumnFormula>MAX(0,(T_BAL_2026[[#This Row],[Clôture Débit]]-T_BAL_2026[[#This Row],[Clôture Crédit]])-(T_BAL_2026[[#This Row],[Ouverture Débit]]-T_BAL_2026[[#This Row],[Ouverture Crédit]]))</calculatedColumnFormula>
    </tableColumn>
    <tableColumn id="7" name="Mouvements Crédit">
      <calculatedColumnFormula>MAX(0,(T_BAL_2026[[#This Row],[Ouverture Débit]]-T_BAL_2026[[#This Row],[Ouverture Crédit]])-(T_BAL_2026[[#This Row],[Clôture Débit]]-T_BAL_2026[[#This Row],[Clôture Crédit]]))</calculatedColumnFormula>
    </tableColumn>
    <tableColumn id="8" name="Clôture Débit">
      <calculatedColumnFormula>ROUND(IF(LEFT(T_BAL_2026[[#This Row],[Compte]],1)&gt;="6",IF(T_BAL_2026[[#This Row],[Poste]]="RE",IF(HYPOTHESES!$C$51=0,0,HYPOTHESES!E$51*SUMIFS('BALANCE 2024'!$H:$H,'BALANCE 2024'!$A:$A,T_BAL_2026[[#This Row],[Compte]])/HYPOTHESES!$C$51),IF(T_BAL_2026[[#This Row],[Poste]]="RG",IF(HYPOTHESES!$C$52=0,0,HYPOTHESES!E$52*SUMIFS('BALANCE 2024'!$H:$H,'BALANCE 2024'!$A:$A,T_BAL_2026[[#This Row],[Compte]])/HYPOTHESES!$C$52),IF(T_BAL_2026[[#This Row],[Poste]]="RH",IF(HYPOTHESES!$C$53=0,0,HYPOTHESES!E$53*SUMIFS('BALANCE 2024'!$H:$H,'BALANCE 2024'!$A:$A,T_BAL_2026[[#This Row],[Compte]])/HYPOTHESES!$C$53),IF(T_BAL_2026[[#This Row],[Poste]]="RI",IF(HYPOTHESES!$C$54=0,0,HYPOTHESES!E$54*SUMIFS('BALANCE 2024'!$H:$H,'BALANCE 2024'!$A:$A,T_BAL_2026[[#This Row],[Compte]])/HYPOTHESES!$C$54),IF(T_BAL_2026[[#This Row],[Poste]]="RJ",IF(HYPOTHESES!$C$55=0,0,HYPOTHESES!E$55*SUMIFS('BALANCE 2024'!$H:$H,'BALANCE 2024'!$A:$A,T_BAL_2026[[#This Row],[Compte]])/HYPOTHESES!$C$55),IF(T_BAL_2026[[#This Row],[Poste]]="RK",IF(HYPOTHESES!$C$56=0,0,HYPOTHESES!E$56*SUMIFS('BALANCE 2024'!$H:$H,'BALANCE 2024'!$A:$A,T_BAL_2026[[#This Row],[Compte]])/HYPOTHESES!$C$56),0)))))),MAX(0,T_BAL_2026[[#This Row],[Ouverture Débit]]-T_BAL_2026[[#This Row],[Ouverture Crédit]])),0)</calculatedColumnFormula>
    </tableColumn>
    <tableColumn id="9" name="Clôture Crédit">
      <calculatedColumnFormula>IF(LEFT(T_BAL_2026[[#This Row],[Compte]],1)&gt;="6",0,MAX(0,T_BAL_2026[[#This Row],[Ouverture Crédit]]-T_BAL_2026[[#This Row],[Ouverture Débit]]))</calculatedColumnFormula>
    </tableColumn>
    <tableColumn id="10" name="Contrôle">
      <calculatedColumnFormula>(T_BAL_2026[[#This Row],[Ouverture Débit]]-T_BAL_2026[[#This Row],[Ouverture Crédit]])+(T_BAL_2026[[#This Row],[Mouvements Débit]]-T_BAL_2026[[#This Row],[Mouvements Crédit]])-(T_BAL_2026[[#This Row],[Clôture Débit]]-T_BAL_2026[[#This Row],[Clôture Crédit]])</calculatedColumnFormula>
    </tableColumn>
    <tableColumn id="11" name="Hors trésorerie">
      <calculatedColumnFormula>T_BAL_2026[[#This Row],[Clôture Débit]]-T_BAL_2026[[#This Row],[Clôture Crédit]]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_BAL_2027" displayName="T_BAL_2027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IF(LEFT(T_BAL_2027[[#This Row],[Compte]],1)&gt;="6",0,SUMIFS('BALANCE 2026'!$H:$H,'BALANCE 2026'!$A:$A,T_BAL_2027[[#This Row],[Compte]]))</calculatedColumnFormula>
    </tableColumn>
    <tableColumn id="5" name="Ouverture Crédit">
      <calculatedColumnFormula>IF(LEFT(T_BAL_2027[[#This Row],[Compte]],1)&gt;="6",0,SUMIFS('BALANCE 2026'!$I:$I,'BALANCE 2026'!$A:$A,T_BAL_2027[[#This Row],[Compte]]))</calculatedColumnFormula>
    </tableColumn>
    <tableColumn id="6" name="Mouvements Débit">
      <calculatedColumnFormula>MAX(0,(T_BAL_2027[[#This Row],[Clôture Débit]]-T_BAL_2027[[#This Row],[Clôture Crédit]])-(T_BAL_2027[[#This Row],[Ouverture Débit]]-T_BAL_2027[[#This Row],[Ouverture Crédit]]))</calculatedColumnFormula>
    </tableColumn>
    <tableColumn id="7" name="Mouvements Crédit">
      <calculatedColumnFormula>MAX(0,(T_BAL_2027[[#This Row],[Ouverture Débit]]-T_BAL_2027[[#This Row],[Ouverture Crédit]])-(T_BAL_2027[[#This Row],[Clôture Débit]]-T_BAL_2027[[#This Row],[Clôture Crédit]]))</calculatedColumnFormula>
    </tableColumn>
    <tableColumn id="8" name="Clôture Débit">
      <calculatedColumnFormula>ROUND(IF(LEFT(T_BAL_2027[[#This Row],[Compte]],1)&gt;="6",IF(T_BAL_2027[[#This Row],[Poste]]="RE",IF(HYPOTHESES!$C$51=0,0,HYPOTHESES!F$51*SUMIFS('BALANCE 2024'!$H:$H,'BALANCE 2024'!$A:$A,T_BAL_2027[[#This Row],[Compte]])/HYPOTHESES!$C$51),IF(T_BAL_2027[[#This Row],[Poste]]="RG",IF(HYPOTHESES!$C$52=0,0,HYPOTHESES!F$52*SUMIFS('BALANCE 2024'!$H:$H,'BALANCE 2024'!$A:$A,T_BAL_2027[[#This Row],[Compte]])/HYPOTHESES!$C$52),IF(T_BAL_2027[[#This Row],[Poste]]="RH",IF(HYPOTHESES!$C$53=0,0,HYPOTHESES!F$53*SUMIFS('BALANCE 2024'!$H:$H,'BALANCE 2024'!$A:$A,T_BAL_2027[[#This Row],[Compte]])/HYPOTHESES!$C$53),IF(T_BAL_2027[[#This Row],[Poste]]="RI",IF(HYPOTHESES!$C$54=0,0,HYPOTHESES!F$54*SUMIFS('BALANCE 2024'!$H:$H,'BALANCE 2024'!$A:$A,T_BAL_2027[[#This Row],[Compte]])/HYPOTHESES!$C$54),IF(T_BAL_2027[[#This Row],[Poste]]="RJ",IF(HYPOTHESES!$C$55=0,0,HYPOTHESES!F$55*SUMIFS('BALANCE 2024'!$H:$H,'BALANCE 2024'!$A:$A,T_BAL_2027[[#This Row],[Compte]])/HYPOTHESES!$C$55),IF(T_BAL_2027[[#This Row],[Poste]]="RK",IF(HYPOTHESES!$C$56=0,0,HYPOTHESES!F$56*SUMIFS('BALANCE 2024'!$H:$H,'BALANCE 2024'!$A:$A,T_BAL_2027[[#This Row],[Compte]])/HYPOTHESES!$C$56),0)))))),MAX(0,T_BAL_2027[[#This Row],[Ouverture Débit]]-T_BAL_2027[[#This Row],[Ouverture Crédit]])),0)</calculatedColumnFormula>
    </tableColumn>
    <tableColumn id="9" name="Clôture Crédit">
      <calculatedColumnFormula>IF(LEFT(T_BAL_2027[[#This Row],[Compte]],1)&gt;="6",0,MAX(0,T_BAL_2027[[#This Row],[Ouverture Crédit]]-T_BAL_2027[[#This Row],[Ouverture Débit]]))</calculatedColumnFormula>
    </tableColumn>
    <tableColumn id="10" name="Contrôle">
      <calculatedColumnFormula>(T_BAL_2027[[#This Row],[Ouverture Débit]]-T_BAL_2027[[#This Row],[Ouverture Crédit]])+(T_BAL_2027[[#This Row],[Mouvements Débit]]-T_BAL_2027[[#This Row],[Mouvements Crédit]])-(T_BAL_2027[[#This Row],[Clôture Débit]]-T_BAL_2027[[#This Row],[Clôture Crédit]])</calculatedColumnFormula>
    </tableColumn>
    <tableColumn id="11" name="Hors trésorerie">
      <calculatedColumnFormula>T_BAL_2027[[#This Row],[Clôture Débit]]-T_BAL_2027[[#This Row],[Clôture Crédit]]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_BAL_2028" displayName="T_BAL_2028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IF(LEFT(T_BAL_2028[[#This Row],[Compte]],1)&gt;="6",0,SUMIFS('BALANCE 2027'!$H:$H,'BALANCE 2027'!$A:$A,T_BAL_2028[[#This Row],[Compte]]))</calculatedColumnFormula>
    </tableColumn>
    <tableColumn id="5" name="Ouverture Crédit">
      <calculatedColumnFormula>IF(LEFT(T_BAL_2028[[#This Row],[Compte]],1)&gt;="6",0,SUMIFS('BALANCE 2027'!$I:$I,'BALANCE 2027'!$A:$A,T_BAL_2028[[#This Row],[Compte]]))</calculatedColumnFormula>
    </tableColumn>
    <tableColumn id="6" name="Mouvements Débit">
      <calculatedColumnFormula>MAX(0,(T_BAL_2028[[#This Row],[Clôture Débit]]-T_BAL_2028[[#This Row],[Clôture Crédit]])-(T_BAL_2028[[#This Row],[Ouverture Débit]]-T_BAL_2028[[#This Row],[Ouverture Crédit]]))</calculatedColumnFormula>
    </tableColumn>
    <tableColumn id="7" name="Mouvements Crédit">
      <calculatedColumnFormula>MAX(0,(T_BAL_2028[[#This Row],[Ouverture Débit]]-T_BAL_2028[[#This Row],[Ouverture Crédit]])-(T_BAL_2028[[#This Row],[Clôture Débit]]-T_BAL_2028[[#This Row],[Clôture Crédit]]))</calculatedColumnFormula>
    </tableColumn>
    <tableColumn id="8" name="Clôture Débit">
      <calculatedColumnFormula>ROUND(IF(LEFT(T_BAL_2028[[#This Row],[Compte]],1)&gt;="6",IF(T_BAL_2028[[#This Row],[Poste]]="RE",IF(HYPOTHESES!$C$51=0,0,HYPOTHESES!G$51*SUMIFS('BALANCE 2024'!$H:$H,'BALANCE 2024'!$A:$A,T_BAL_2028[[#This Row],[Compte]])/HYPOTHESES!$C$51),IF(T_BAL_2028[[#This Row],[Poste]]="RG",IF(HYPOTHESES!$C$52=0,0,HYPOTHESES!G$52*SUMIFS('BALANCE 2024'!$H:$H,'BALANCE 2024'!$A:$A,T_BAL_2028[[#This Row],[Compte]])/HYPOTHESES!$C$52),IF(T_BAL_2028[[#This Row],[Poste]]="RH",IF(HYPOTHESES!$C$53=0,0,HYPOTHESES!G$53*SUMIFS('BALANCE 2024'!$H:$H,'BALANCE 2024'!$A:$A,T_BAL_2028[[#This Row],[Compte]])/HYPOTHESES!$C$53),IF(T_BAL_2028[[#This Row],[Poste]]="RI",IF(HYPOTHESES!$C$54=0,0,HYPOTHESES!G$54*SUMIFS('BALANCE 2024'!$H:$H,'BALANCE 2024'!$A:$A,T_BAL_2028[[#This Row],[Compte]])/HYPOTHESES!$C$54),IF(T_BAL_2028[[#This Row],[Poste]]="RJ",IF(HYPOTHESES!$C$55=0,0,HYPOTHESES!G$55*SUMIFS('BALANCE 2024'!$H:$H,'BALANCE 2024'!$A:$A,T_BAL_2028[[#This Row],[Compte]])/HYPOTHESES!$C$55),IF(T_BAL_2028[[#This Row],[Poste]]="RK",IF(HYPOTHESES!$C$56=0,0,HYPOTHESES!G$56*SUMIFS('BALANCE 2024'!$H:$H,'BALANCE 2024'!$A:$A,T_BAL_2028[[#This Row],[Compte]])/HYPOTHESES!$C$56),0)))))),MAX(0,T_BAL_2028[[#This Row],[Ouverture Débit]]-T_BAL_2028[[#This Row],[Ouverture Crédit]])),0)</calculatedColumnFormula>
    </tableColumn>
    <tableColumn id="9" name="Clôture Crédit">
      <calculatedColumnFormula>IF(LEFT(T_BAL_2028[[#This Row],[Compte]],1)&gt;="6",0,MAX(0,T_BAL_2028[[#This Row],[Ouverture Crédit]]-T_BAL_2028[[#This Row],[Ouverture Débit]]))</calculatedColumnFormula>
    </tableColumn>
    <tableColumn id="10" name="Contrôle">
      <calculatedColumnFormula>(T_BAL_2028[[#This Row],[Ouverture Débit]]-T_BAL_2028[[#This Row],[Ouverture Crédit]])+(T_BAL_2028[[#This Row],[Mouvements Débit]]-T_BAL_2028[[#This Row],[Mouvements Crédit]])-(T_BAL_2028[[#This Row],[Clôture Débit]]-T_BAL_2028[[#This Row],[Clôture Crédit]])</calculatedColumnFormula>
    </tableColumn>
    <tableColumn id="11" name="Hors trésorerie">
      <calculatedColumnFormula>T_BAL_2028[[#This Row],[Clôture Débit]]-T_BAL_2028[[#This Row],[Clôture Crédit]]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_BAL_2029" displayName="T_BAL_2029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IF(LEFT(T_BAL_2029[[#This Row],[Compte]],1)&gt;="6",0,SUMIFS('BALANCE 2028'!$H:$H,'BALANCE 2028'!$A:$A,T_BAL_2029[[#This Row],[Compte]]))</calculatedColumnFormula>
    </tableColumn>
    <tableColumn id="5" name="Ouverture Crédit">
      <calculatedColumnFormula>IF(LEFT(T_BAL_2029[[#This Row],[Compte]],1)&gt;="6",0,SUMIFS('BALANCE 2028'!$I:$I,'BALANCE 2028'!$A:$A,T_BAL_2029[[#This Row],[Compte]]))</calculatedColumnFormula>
    </tableColumn>
    <tableColumn id="6" name="Mouvements Débit">
      <calculatedColumnFormula>MAX(0,(T_BAL_2029[[#This Row],[Clôture Débit]]-T_BAL_2029[[#This Row],[Clôture Crédit]])-(T_BAL_2029[[#This Row],[Ouverture Débit]]-T_BAL_2029[[#This Row],[Ouverture Crédit]]))</calculatedColumnFormula>
    </tableColumn>
    <tableColumn id="7" name="Mouvements Crédit">
      <calculatedColumnFormula>MAX(0,(T_BAL_2029[[#This Row],[Ouverture Débit]]-T_BAL_2029[[#This Row],[Ouverture Crédit]])-(T_BAL_2029[[#This Row],[Clôture Débit]]-T_BAL_2029[[#This Row],[Clôture Crédit]]))</calculatedColumnFormula>
    </tableColumn>
    <tableColumn id="8" name="Clôture Débit">
      <calculatedColumnFormula>ROUND(IF(LEFT(T_BAL_2029[[#This Row],[Compte]],1)&gt;="6",IF(T_BAL_2029[[#This Row],[Poste]]="RE",IF(HYPOTHESES!$C$51=0,0,HYPOTHESES!H$51*SUMIFS('BALANCE 2024'!$H:$H,'BALANCE 2024'!$A:$A,T_BAL_2029[[#This Row],[Compte]])/HYPOTHESES!$C$51),IF(T_BAL_2029[[#This Row],[Poste]]="RG",IF(HYPOTHESES!$C$52=0,0,HYPOTHESES!H$52*SUMIFS('BALANCE 2024'!$H:$H,'BALANCE 2024'!$A:$A,T_BAL_2029[[#This Row],[Compte]])/HYPOTHESES!$C$52),IF(T_BAL_2029[[#This Row],[Poste]]="RH",IF(HYPOTHESES!$C$53=0,0,HYPOTHESES!H$53*SUMIFS('BALANCE 2024'!$H:$H,'BALANCE 2024'!$A:$A,T_BAL_2029[[#This Row],[Compte]])/HYPOTHESES!$C$53),IF(T_BAL_2029[[#This Row],[Poste]]="RI",IF(HYPOTHESES!$C$54=0,0,HYPOTHESES!H$54*SUMIFS('BALANCE 2024'!$H:$H,'BALANCE 2024'!$A:$A,T_BAL_2029[[#This Row],[Compte]])/HYPOTHESES!$C$54),IF(T_BAL_2029[[#This Row],[Poste]]="RJ",IF(HYPOTHESES!$C$55=0,0,HYPOTHESES!H$55*SUMIFS('BALANCE 2024'!$H:$H,'BALANCE 2024'!$A:$A,T_BAL_2029[[#This Row],[Compte]])/HYPOTHESES!$C$55),IF(T_BAL_2029[[#This Row],[Poste]]="RK",IF(HYPOTHESES!$C$56=0,0,HYPOTHESES!H$56*SUMIFS('BALANCE 2024'!$H:$H,'BALANCE 2024'!$A:$A,T_BAL_2029[[#This Row],[Compte]])/HYPOTHESES!$C$56),0)))))),MAX(0,T_BAL_2029[[#This Row],[Ouverture Débit]]-T_BAL_2029[[#This Row],[Ouverture Crédit]])),0)</calculatedColumnFormula>
    </tableColumn>
    <tableColumn id="9" name="Clôture Crédit">
      <calculatedColumnFormula>IF(LEFT(T_BAL_2029[[#This Row],[Compte]],1)&gt;="6",0,MAX(0,T_BAL_2029[[#This Row],[Ouverture Crédit]]-T_BAL_2029[[#This Row],[Ouverture Débit]]))</calculatedColumnFormula>
    </tableColumn>
    <tableColumn id="10" name="Contrôle">
      <calculatedColumnFormula>(T_BAL_2029[[#This Row],[Ouverture Débit]]-T_BAL_2029[[#This Row],[Ouverture Crédit]])+(T_BAL_2029[[#This Row],[Mouvements Débit]]-T_BAL_2029[[#This Row],[Mouvements Crédit]])-(T_BAL_2029[[#This Row],[Clôture Débit]]-T_BAL_2029[[#This Row],[Clôture Crédit]])</calculatedColumnFormula>
    </tableColumn>
    <tableColumn id="11" name="Hors trésorerie">
      <calculatedColumnFormula>T_BAL_2029[[#This Row],[Clôture Débit]]-T_BAL_2029[[#This Row],[Clôture Crédit]]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0.07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SUMIFS('BALANCE 2024'!$I:$I,'BALANCE 2024'!$C:$C,"TK")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IF(SUMIFS('BALANCE 2024'!$I:$I,'BALANCE 2024'!$C:$C,"TC")=0,0,SUMIFS('BALANCE 2024'!$H:$H,'BALANCE 2024'!$C:$C,"RE")/SUMIFS('BALANCE 2024'!$I:$I,'BALANCE 2024'!$C:$C,"TC"))</f>
        <v>0.396763013425616</v>
      </c>
      <c r="D13" s="14" t="n">
        <v>0.353713481181743</v>
      </c>
      <c r="E13" s="14" t="n">
        <v>0.393917480191839</v>
      </c>
      <c r="F13" s="14" t="n">
        <v>0.393917479548319</v>
      </c>
      <c r="G13" s="14" t="n">
        <v>0.393917480161361</v>
      </c>
      <c r="H13" s="14" t="n">
        <v>0.393917480162942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IF(SUMIFS('BALANCE 2024'!$I:$I,'BALANCE 2024'!$C:$C,"TC")=0,0,SUMIFS('BALANCE 2024'!$H:$H,'BALANCE 2024'!$C:$C,"RG")/SUMIFS('BALANCE 2024'!$I:$I,'BALANCE 2024'!$C:$C,"TC"))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25</v>
      </c>
    </row>
    <row r="15" customFormat="false" ht="15" hidden="false" customHeight="false" outlineLevel="0" collapsed="false">
      <c r="A15" s="12" t="s">
        <v>26</v>
      </c>
      <c r="B15" s="13" t="s">
        <v>27</v>
      </c>
      <c r="C15" s="17" t="n">
        <f aca="false">IF(SUMIFS('BALANCE 2024'!$I:$I,'BALANCE 2024'!$C:$C,"TC")=0,0,SUMIFS('BALANCE 2024'!$H:$H,'BALANCE 2024'!$C:$C,"RH")/SUMIFS('BALANCE 2024'!$I:$I,'BALANCE 2024'!$C:$C,"TC"))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25</v>
      </c>
    </row>
    <row r="16" customFormat="false" ht="15" hidden="false" customHeight="false" outlineLevel="0" collapsed="false">
      <c r="A16" s="12" t="s">
        <v>28</v>
      </c>
      <c r="B16" s="13" t="s">
        <v>29</v>
      </c>
      <c r="C16" s="17" t="n">
        <f aca="false">IF(SUMIFS('BALANCE 2024'!$I:$I,'BALANCE 2024'!$C:$C,"TC")=0,0,SUMIFS('BALANCE 2024'!$H:$H,'BALANCE 2024'!$C:$C,"RI")/SUMIFS('BALANCE 2024'!$I:$I,'BALANCE 2024'!$C:$C,"TC"))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25</v>
      </c>
    </row>
    <row r="17" customFormat="false" ht="15" hidden="false" customHeight="false" outlineLevel="0" collapsed="false">
      <c r="A17" s="12" t="s">
        <v>30</v>
      </c>
      <c r="B17" s="13" t="s">
        <v>31</v>
      </c>
      <c r="C17" s="17" t="n">
        <f aca="false">IF(SUMIFS('BALANCE 2024'!$I:$I,'BALANCE 2024'!$C:$C,"TC")=0,0,SUMIFS('BALANCE 2024'!$H:$H,'BALANCE 2024'!$C:$C,"RJ")/SUMIFS('BALANCE 2024'!$I:$I,'BALANCE 2024'!$C:$C,"TC"))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25</v>
      </c>
    </row>
    <row r="18" customFormat="false" ht="15" hidden="false" customHeight="false" outlineLevel="0" collapsed="false">
      <c r="A18" s="12" t="s">
        <v>32</v>
      </c>
      <c r="B18" s="13" t="s">
        <v>33</v>
      </c>
      <c r="C18" s="17" t="n">
        <f aca="false">IF(SUMIFS('BALANCE 2024'!$I:$I,'BALANCE 2024'!$C:$C,"TC")=0,0,(SUMIFS('BALANCE 2024'!$H:$H,'BALANCE 2024'!$C:$C,"RK")-SUMIFS('BALANCE 2024'!$H:$H,'BALANCE 2024'!$A:$A,"&gt;=664000",'BALANCE 2024'!$A:$A,"&lt;665000"))/SUMIFS('BALANCE 2024'!$I:$I,'BALANCE 2024'!$C:$C,"TC"))</f>
        <v>0.141250315724425</v>
      </c>
      <c r="D18" s="14" t="n">
        <v>0.1513</v>
      </c>
      <c r="E18" s="14" t="n">
        <v>0.1413</v>
      </c>
      <c r="F18" s="14" t="n">
        <v>0.1413</v>
      </c>
      <c r="G18" s="14" t="n">
        <v>0.1413</v>
      </c>
      <c r="H18" s="14" t="n">
        <v>0.1413</v>
      </c>
      <c r="I18" s="7" t="s">
        <v>34</v>
      </c>
    </row>
    <row r="19" customFormat="false" ht="15" hidden="false" customHeight="false" outlineLevel="0" collapsed="false">
      <c r="A19" s="10" t="s">
        <v>35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36</v>
      </c>
      <c r="B20" s="13" t="s">
        <v>37</v>
      </c>
      <c r="D20" s="6" t="n">
        <v>65</v>
      </c>
      <c r="E20" s="6" t="n">
        <v>75</v>
      </c>
      <c r="F20" s="6" t="n">
        <v>85</v>
      </c>
      <c r="G20" s="6" t="n">
        <v>90</v>
      </c>
      <c r="H20" s="6" t="n">
        <v>100</v>
      </c>
      <c r="I20" s="7" t="s">
        <v>38</v>
      </c>
    </row>
    <row r="21" customFormat="false" ht="15" hidden="false" customHeight="false" outlineLevel="0" collapsed="false">
      <c r="A21" s="12" t="s">
        <v>39</v>
      </c>
      <c r="B21" s="13" t="s">
        <v>40</v>
      </c>
      <c r="D21" s="18" t="n">
        <v>0.077</v>
      </c>
      <c r="E21" s="18" t="n">
        <v>0.077</v>
      </c>
      <c r="F21" s="18" t="n">
        <v>0.077</v>
      </c>
      <c r="G21" s="18" t="n">
        <v>0.077</v>
      </c>
      <c r="H21" s="18" t="n">
        <v>0.077</v>
      </c>
      <c r="I21" s="7" t="s">
        <v>41</v>
      </c>
    </row>
    <row r="22" customFormat="false" ht="15" hidden="false" customHeight="false" outlineLevel="0" collapsed="false">
      <c r="A22" s="12" t="s">
        <v>42</v>
      </c>
      <c r="B22" s="13" t="s">
        <v>43</v>
      </c>
      <c r="D22" s="18" t="n">
        <v>0.0575</v>
      </c>
      <c r="E22" s="18" t="n">
        <v>0.0575</v>
      </c>
      <c r="F22" s="18" t="n">
        <v>0.0575</v>
      </c>
      <c r="G22" s="18" t="n">
        <v>0.0575</v>
      </c>
      <c r="H22" s="18" t="n">
        <v>0.0575</v>
      </c>
      <c r="I22" s="7" t="s">
        <v>44</v>
      </c>
    </row>
    <row r="23" customFormat="false" ht="15" hidden="false" customHeight="false" outlineLevel="0" collapsed="false">
      <c r="A23" s="12" t="s">
        <v>45</v>
      </c>
      <c r="B23" s="13" t="s">
        <v>46</v>
      </c>
      <c r="D23" s="18" t="n">
        <v>0.05</v>
      </c>
      <c r="E23" s="18" t="n">
        <v>0.05</v>
      </c>
      <c r="F23" s="18" t="n">
        <v>0.05</v>
      </c>
      <c r="G23" s="18" t="n">
        <v>0.05</v>
      </c>
      <c r="H23" s="18" t="n">
        <v>0.05</v>
      </c>
      <c r="I23" s="7" t="s">
        <v>47</v>
      </c>
    </row>
    <row r="24" customFormat="false" ht="15" hidden="false" customHeight="false" outlineLevel="0" collapsed="false">
      <c r="A24" s="12" t="s">
        <v>48</v>
      </c>
      <c r="B24" s="13" t="s">
        <v>49</v>
      </c>
      <c r="D24" s="16" t="n">
        <v>75000</v>
      </c>
      <c r="E24" s="16" t="n">
        <v>75000</v>
      </c>
      <c r="F24" s="16" t="n">
        <v>75000</v>
      </c>
      <c r="G24" s="16" t="n">
        <v>75000</v>
      </c>
      <c r="H24" s="16" t="n">
        <v>75000</v>
      </c>
      <c r="I24" s="7" t="s">
        <v>50</v>
      </c>
    </row>
    <row r="25" customFormat="false" ht="15" hidden="false" customHeight="false" outlineLevel="0" collapsed="false">
      <c r="A25" s="12" t="s">
        <v>51</v>
      </c>
      <c r="B25" s="13" t="s">
        <v>52</v>
      </c>
      <c r="D25" s="16" t="n">
        <v>500</v>
      </c>
      <c r="E25" s="16" t="n">
        <v>500</v>
      </c>
      <c r="F25" s="16" t="n">
        <v>500</v>
      </c>
      <c r="G25" s="16" t="n">
        <v>500</v>
      </c>
      <c r="H25" s="16" t="n">
        <v>500</v>
      </c>
      <c r="I25" s="7" t="s">
        <v>53</v>
      </c>
    </row>
    <row r="26" customFormat="false" ht="15" hidden="false" customHeight="false" outlineLevel="0" collapsed="false">
      <c r="A26" s="12" t="s">
        <v>54</v>
      </c>
      <c r="B26" s="13" t="s">
        <v>55</v>
      </c>
      <c r="D26" s="19" t="n">
        <v>1</v>
      </c>
      <c r="E26" s="19" t="n">
        <v>1</v>
      </c>
      <c r="F26" s="19" t="n">
        <v>1</v>
      </c>
      <c r="G26" s="19" t="n">
        <v>1</v>
      </c>
      <c r="H26" s="19" t="n">
        <v>1</v>
      </c>
      <c r="I26" s="7" t="s">
        <v>56</v>
      </c>
    </row>
    <row r="27" customFormat="false" ht="15" hidden="false" customHeight="false" outlineLevel="0" collapsed="false">
      <c r="A27" s="12" t="s">
        <v>57</v>
      </c>
      <c r="B27" s="13" t="s">
        <v>58</v>
      </c>
      <c r="C27" s="20" t="n">
        <f aca="false">IF(C56=0,0,C28/C56)</f>
        <v>0.0611924983984588</v>
      </c>
      <c r="D27" s="14" t="n">
        <v>0.0612</v>
      </c>
      <c r="E27" s="14" t="n">
        <v>0.0612</v>
      </c>
      <c r="F27" s="14" t="n">
        <v>0.0612</v>
      </c>
      <c r="G27" s="14" t="n">
        <v>0.0612</v>
      </c>
      <c r="H27" s="14" t="n">
        <v>0.0612</v>
      </c>
      <c r="I27" s="7" t="s">
        <v>59</v>
      </c>
    </row>
    <row r="28" customFormat="false" ht="15" hidden="false" customHeight="false" outlineLevel="0" collapsed="false">
      <c r="A28" s="12" t="s">
        <v>60</v>
      </c>
      <c r="B28" s="13" t="s">
        <v>58</v>
      </c>
      <c r="C28" s="15" t="n">
        <f aca="false">ROUND(SUMIFS('BALANCE 2024'!$H:$H,'BALANCE 2024'!$A:$A,"&gt;=691000",'BALANCE 2024'!$A:$A,"&lt;692000"),0)</f>
        <v>6059296</v>
      </c>
      <c r="D28" s="21" t="n">
        <f aca="false">ROUND(D56*D27,0)</f>
        <v>6945583</v>
      </c>
      <c r="E28" s="21" t="n">
        <f aca="false">ROUND(E56*E27,0)</f>
        <v>6810848</v>
      </c>
      <c r="F28" s="21" t="n">
        <f aca="false">ROUND(F56*F27,0)</f>
        <v>7151391</v>
      </c>
      <c r="G28" s="21" t="n">
        <f aca="false">ROUND(G56*G27,0)</f>
        <v>7508960</v>
      </c>
      <c r="H28" s="21" t="n">
        <f aca="false">ROUND(H56*H27,0)</f>
        <v>7884408</v>
      </c>
    </row>
    <row r="29" customFormat="false" ht="15" hidden="false" customHeight="false" outlineLevel="0" collapsed="false">
      <c r="A29" s="10" t="s">
        <v>61</v>
      </c>
      <c r="B29" s="11"/>
      <c r="C29" s="11"/>
      <c r="D29" s="11"/>
      <c r="E29" s="11"/>
      <c r="F29" s="11"/>
      <c r="G29" s="11"/>
      <c r="H29" s="11"/>
      <c r="I29" s="11"/>
    </row>
    <row r="30" customFormat="false" ht="15" hidden="false" customHeight="false" outlineLevel="0" collapsed="false">
      <c r="A30" s="12" t="s">
        <v>62</v>
      </c>
      <c r="B30" s="13" t="s">
        <v>63</v>
      </c>
      <c r="C30" s="22" t="n">
        <f aca="false">IF(C50=0,0,SUMIFS('BALANCE 2024'!$H:$H,'BALANCE 2024'!$C:$C,"BI")/(C50*(1+D10))*360)</f>
        <v>196.827174840192</v>
      </c>
      <c r="D30" s="23" t="n">
        <v>190</v>
      </c>
      <c r="E30" s="23" t="n">
        <v>197</v>
      </c>
      <c r="F30" s="23" t="n">
        <v>197</v>
      </c>
      <c r="G30" s="23" t="n">
        <v>197</v>
      </c>
      <c r="H30" s="23" t="n">
        <v>197</v>
      </c>
      <c r="I30" s="7" t="s">
        <v>64</v>
      </c>
    </row>
    <row r="31" customFormat="false" ht="15" hidden="false" customHeight="false" outlineLevel="0" collapsed="false">
      <c r="A31" s="12" t="s">
        <v>65</v>
      </c>
      <c r="B31" s="13" t="s">
        <v>66</v>
      </c>
      <c r="C31" s="22" t="n">
        <f aca="false">IF(C64=0,0,SUMIFS('BALANCE 2024'!$I:$I,'BALANCE 2024'!$C:$C,"DJ")/(C64*(1+D10))*360)</f>
        <v>57.2511620547497</v>
      </c>
      <c r="D31" s="23" t="n">
        <v>57</v>
      </c>
      <c r="E31" s="23" t="n">
        <v>57</v>
      </c>
      <c r="F31" s="23" t="n">
        <v>57</v>
      </c>
      <c r="G31" s="23" t="n">
        <v>57</v>
      </c>
      <c r="H31" s="23" t="n">
        <v>57</v>
      </c>
      <c r="I31" s="7" t="s">
        <v>67</v>
      </c>
    </row>
    <row r="32" customFormat="false" ht="15" hidden="false" customHeight="false" outlineLevel="0" collapsed="false">
      <c r="A32" s="12" t="s">
        <v>68</v>
      </c>
      <c r="B32" s="13" t="s">
        <v>69</v>
      </c>
      <c r="C32" s="22" t="n">
        <f aca="false">IF('INVEST ET FINANCEMENT'!C42=0,0,SUMIFS('BALANCE 2024'!$I:$I,'BALANCE 2024'!$C:$C,"DH")/'INVEST ET FINANCEMENT'!C42*360)</f>
        <v>131.098002937034</v>
      </c>
      <c r="D32" s="23" t="n">
        <v>131</v>
      </c>
      <c r="E32" s="23" t="n">
        <v>131</v>
      </c>
      <c r="F32" s="23" t="n">
        <v>131</v>
      </c>
      <c r="G32" s="23" t="n">
        <v>131</v>
      </c>
      <c r="H32" s="23" t="n">
        <v>131</v>
      </c>
      <c r="I32" s="7" t="s">
        <v>70</v>
      </c>
    </row>
    <row r="33" customFormat="false" ht="15" hidden="false" customHeight="false" outlineLevel="0" collapsed="false">
      <c r="A33" s="12" t="s">
        <v>71</v>
      </c>
      <c r="B33" s="13" t="s">
        <v>69</v>
      </c>
      <c r="D33" s="14" t="n">
        <v>0.2</v>
      </c>
      <c r="E33" s="14" t="n">
        <v>0.2</v>
      </c>
      <c r="F33" s="14" t="n">
        <v>0.2</v>
      </c>
      <c r="G33" s="14" t="n">
        <v>0.2</v>
      </c>
      <c r="H33" s="14" t="n">
        <v>0.2</v>
      </c>
      <c r="I33" s="7" t="s">
        <v>72</v>
      </c>
    </row>
    <row r="34" customFormat="false" ht="15" hidden="false" customHeight="false" outlineLevel="0" collapsed="false">
      <c r="A34" s="12" t="s">
        <v>73</v>
      </c>
      <c r="B34" s="13" t="s">
        <v>69</v>
      </c>
      <c r="C34" s="15" t="n">
        <f aca="false">ROUND(SUMIFS('BALANCE 2024'!$I:$I,'BALANCE 2024'!$C:$C,"DH"),0)</f>
        <v>132896547</v>
      </c>
      <c r="D34" s="21" t="n">
        <f aca="false">ROUND($C34*MAX(0,1-SUM($D33:D33)),0)</f>
        <v>106317238</v>
      </c>
      <c r="E34" s="21" t="n">
        <f aca="false">ROUND($C34*MAX(0,1-SUM($D33:E33)),0)</f>
        <v>79737928</v>
      </c>
      <c r="F34" s="21" t="n">
        <f aca="false">ROUND($C34*MAX(0,1-SUM($D33:F33)),0)</f>
        <v>53158619</v>
      </c>
      <c r="G34" s="21" t="n">
        <f aca="false">ROUND($C34*MAX(0,1-SUM($D33:G33)),0)</f>
        <v>26579309</v>
      </c>
      <c r="H34" s="21" t="n">
        <f aca="false">ROUND($C34*MAX(0,1-SUM($D33:H33)),0)</f>
        <v>0</v>
      </c>
    </row>
    <row r="35" customFormat="false" ht="15" hidden="false" customHeight="false" outlineLevel="0" collapsed="false">
      <c r="A35" s="12" t="s">
        <v>74</v>
      </c>
      <c r="B35" s="13" t="s">
        <v>69</v>
      </c>
      <c r="D35" s="21" t="n">
        <f aca="false">ROUND('INVEST ET FINANCEMENT'!D42*D32/360,0)</f>
        <v>6012616</v>
      </c>
      <c r="E35" s="21" t="n">
        <f aca="false">ROUND('INVEST ET FINANCEMENT'!E42*E32/360,0)</f>
        <v>12736111</v>
      </c>
      <c r="F35" s="21" t="n">
        <f aca="false">ROUND('INVEST ET FINANCEMENT'!F42*F32/360,0)</f>
        <v>12736111</v>
      </c>
      <c r="G35" s="21" t="n">
        <f aca="false">ROUND('INVEST ET FINANCEMENT'!G42*G32/360,0)</f>
        <v>27291667</v>
      </c>
      <c r="H35" s="21" t="n">
        <f aca="false">ROUND('INVEST ET FINANCEMENT'!H42*H32/360,0)</f>
        <v>12736111</v>
      </c>
    </row>
    <row r="36" customFormat="false" ht="15" hidden="false" customHeight="false" outlineLevel="0" collapsed="false">
      <c r="A36" s="4" t="s">
        <v>75</v>
      </c>
      <c r="B36" s="13" t="s">
        <v>69</v>
      </c>
      <c r="C36" s="24" t="n">
        <f aca="false">ROUND(C34,0)</f>
        <v>132896547</v>
      </c>
      <c r="D36" s="24" t="n">
        <f aca="false">ROUND(D34+D35,0)</f>
        <v>112329854</v>
      </c>
      <c r="E36" s="24" t="n">
        <f aca="false">ROUND(E34+E35,0)</f>
        <v>92474039</v>
      </c>
      <c r="F36" s="24" t="n">
        <f aca="false">ROUND(F34+F35,0)</f>
        <v>65894730</v>
      </c>
      <c r="G36" s="24" t="n">
        <f aca="false">ROUND(G34+G35,0)</f>
        <v>53870976</v>
      </c>
      <c r="H36" s="24" t="n">
        <f aca="false">ROUND(H34+H35,0)</f>
        <v>12736111</v>
      </c>
    </row>
    <row r="37" customFormat="false" ht="15" hidden="false" customHeight="false" outlineLevel="0" collapsed="false">
      <c r="A37" s="12" t="s">
        <v>76</v>
      </c>
      <c r="B37" s="13" t="s">
        <v>77</v>
      </c>
      <c r="D37" s="14" t="n">
        <v>0.2</v>
      </c>
      <c r="E37" s="14" t="n">
        <v>0.2</v>
      </c>
      <c r="F37" s="14" t="n">
        <v>0.2</v>
      </c>
      <c r="G37" s="14" t="n">
        <v>0.2</v>
      </c>
      <c r="H37" s="14" t="n">
        <v>0.2</v>
      </c>
      <c r="I37" s="7" t="s">
        <v>78</v>
      </c>
    </row>
    <row r="38" customFormat="false" ht="15" hidden="false" customHeight="false" outlineLevel="0" collapsed="false">
      <c r="A38" s="12" t="s">
        <v>79</v>
      </c>
      <c r="B38" s="13" t="s">
        <v>80</v>
      </c>
      <c r="D38" s="14" t="n">
        <v>0.99</v>
      </c>
      <c r="E38" s="14" t="n">
        <v>0.99</v>
      </c>
      <c r="F38" s="14" t="n">
        <v>0.99</v>
      </c>
      <c r="G38" s="14" t="n">
        <v>0.99</v>
      </c>
      <c r="H38" s="14" t="n">
        <v>0.99</v>
      </c>
      <c r="I38" s="7" t="s">
        <v>81</v>
      </c>
    </row>
    <row r="39" customFormat="false" ht="15" hidden="false" customHeight="false" outlineLevel="0" collapsed="false">
      <c r="A39" s="12" t="s">
        <v>82</v>
      </c>
      <c r="B39" s="13" t="s">
        <v>83</v>
      </c>
      <c r="D39" s="16" t="n">
        <v>0</v>
      </c>
      <c r="E39" s="16" t="n">
        <v>0</v>
      </c>
      <c r="F39" s="16" t="n">
        <v>0</v>
      </c>
      <c r="G39" s="16" t="n">
        <v>0</v>
      </c>
      <c r="H39" s="16" t="n">
        <v>0</v>
      </c>
      <c r="I39" s="7" t="s">
        <v>84</v>
      </c>
    </row>
    <row r="40" customFormat="false" ht="15" hidden="false" customHeight="false" outlineLevel="0" collapsed="false">
      <c r="I40" s="7" t="s">
        <v>85</v>
      </c>
    </row>
    <row r="41" customFormat="false" ht="15" hidden="false" customHeight="false" outlineLevel="0" collapsed="false">
      <c r="A41" s="10" t="s">
        <v>86</v>
      </c>
      <c r="B41" s="11"/>
      <c r="C41" s="11"/>
      <c r="D41" s="11"/>
      <c r="E41" s="11"/>
      <c r="F41" s="11"/>
      <c r="G41" s="11"/>
      <c r="H41" s="11"/>
      <c r="I41" s="11"/>
    </row>
    <row r="42" customFormat="false" ht="15" hidden="false" customHeight="false" outlineLevel="0" collapsed="false">
      <c r="A42" s="12" t="s">
        <v>87</v>
      </c>
      <c r="B42" s="13" t="s">
        <v>12</v>
      </c>
      <c r="D42" s="14" t="n">
        <v>0.25</v>
      </c>
      <c r="E42" s="14" t="n">
        <v>0.25</v>
      </c>
      <c r="F42" s="14" t="n">
        <v>0.25</v>
      </c>
      <c r="G42" s="14" t="n">
        <v>0.25</v>
      </c>
      <c r="H42" s="14" t="n">
        <v>0.25</v>
      </c>
      <c r="I42" s="7" t="s">
        <v>88</v>
      </c>
    </row>
    <row r="43" customFormat="false" ht="15" hidden="false" customHeight="false" outlineLevel="0" collapsed="false">
      <c r="A43" s="12" t="s">
        <v>89</v>
      </c>
      <c r="B43" s="13" t="s">
        <v>12</v>
      </c>
      <c r="D43" s="18" t="n">
        <v>0.005</v>
      </c>
      <c r="E43" s="18" t="n">
        <v>0.005</v>
      </c>
      <c r="F43" s="18" t="n">
        <v>0.005</v>
      </c>
      <c r="G43" s="18" t="n">
        <v>0.005</v>
      </c>
      <c r="H43" s="18" t="n">
        <v>0.005</v>
      </c>
      <c r="I43" s="7" t="s">
        <v>90</v>
      </c>
    </row>
    <row r="44" customFormat="false" ht="15" hidden="false" customHeight="false" outlineLevel="0" collapsed="false">
      <c r="A44" s="12" t="s">
        <v>91</v>
      </c>
      <c r="B44" s="13" t="s">
        <v>49</v>
      </c>
      <c r="D44" s="16" t="n">
        <v>3000000</v>
      </c>
      <c r="E44" s="16" t="n">
        <v>3000000</v>
      </c>
      <c r="F44" s="16" t="n">
        <v>3000000</v>
      </c>
      <c r="G44" s="16" t="n">
        <v>3000000</v>
      </c>
      <c r="H44" s="16" t="n">
        <v>3000000</v>
      </c>
      <c r="I44" s="7" t="s">
        <v>92</v>
      </c>
    </row>
    <row r="45" customFormat="false" ht="15" hidden="false" customHeight="false" outlineLevel="0" collapsed="false">
      <c r="A45" s="12" t="s">
        <v>93</v>
      </c>
      <c r="B45" s="13" t="s">
        <v>49</v>
      </c>
      <c r="D45" s="16" t="n">
        <v>35000000</v>
      </c>
      <c r="E45" s="16" t="n">
        <v>35000000</v>
      </c>
      <c r="F45" s="16" t="n">
        <v>35000000</v>
      </c>
      <c r="G45" s="16" t="n">
        <v>35000000</v>
      </c>
      <c r="H45" s="16" t="n">
        <v>35000000</v>
      </c>
      <c r="I45" s="7" t="s">
        <v>92</v>
      </c>
    </row>
    <row r="46" customFormat="false" ht="15" hidden="false" customHeight="false" outlineLevel="0" collapsed="false">
      <c r="A46" s="12" t="s">
        <v>94</v>
      </c>
      <c r="B46" s="13" t="s">
        <v>49</v>
      </c>
      <c r="D46" s="16" t="n">
        <v>0</v>
      </c>
      <c r="E46" s="16" t="n">
        <v>0</v>
      </c>
      <c r="F46" s="16" t="n">
        <v>0</v>
      </c>
      <c r="G46" s="16" t="n">
        <v>0</v>
      </c>
      <c r="H46" s="16" t="n">
        <v>0</v>
      </c>
      <c r="I46" s="7" t="s">
        <v>95</v>
      </c>
    </row>
    <row r="47" customFormat="false" ht="15" hidden="false" customHeight="false" outlineLevel="0" collapsed="false">
      <c r="A47" s="12" t="s">
        <v>96</v>
      </c>
      <c r="B47" s="13" t="s">
        <v>12</v>
      </c>
      <c r="D47" s="14" t="n">
        <v>0.1</v>
      </c>
      <c r="E47" s="14" t="n">
        <v>0.1</v>
      </c>
      <c r="F47" s="14" t="n">
        <v>0.1</v>
      </c>
      <c r="G47" s="14" t="n">
        <v>0.1</v>
      </c>
      <c r="H47" s="14" t="n">
        <v>0.1</v>
      </c>
      <c r="I47" s="7" t="s">
        <v>97</v>
      </c>
    </row>
    <row r="48" customFormat="false" ht="15" hidden="false" customHeight="false" outlineLevel="0" collapsed="false">
      <c r="A48" s="12" t="s">
        <v>98</v>
      </c>
      <c r="B48" s="13" t="s">
        <v>12</v>
      </c>
      <c r="D48" s="14" t="n">
        <v>0.2</v>
      </c>
      <c r="E48" s="14" t="n">
        <v>0.2</v>
      </c>
      <c r="F48" s="14" t="n">
        <v>0.2</v>
      </c>
      <c r="G48" s="14" t="n">
        <v>0.2</v>
      </c>
      <c r="H48" s="14" t="n">
        <v>0.2</v>
      </c>
      <c r="I48" s="7" t="s">
        <v>99</v>
      </c>
    </row>
    <row r="49" customFormat="false" ht="15" hidden="false" customHeight="false" outlineLevel="0" collapsed="false">
      <c r="A49" s="10" t="s">
        <v>100</v>
      </c>
      <c r="B49" s="11"/>
      <c r="C49" s="11"/>
      <c r="D49" s="11"/>
      <c r="E49" s="11"/>
      <c r="F49" s="11"/>
      <c r="G49" s="11"/>
      <c r="H49" s="11"/>
      <c r="I49" s="11"/>
    </row>
    <row r="50" customFormat="false" ht="15" hidden="false" customHeight="false" outlineLevel="0" collapsed="false">
      <c r="A50" s="4" t="s">
        <v>101</v>
      </c>
      <c r="B50" s="13" t="s">
        <v>102</v>
      </c>
      <c r="C50" s="25" t="n">
        <f aca="false">ROUND(SUMIFS('BALANCE 2024'!$I:$I,'BALANCE 2024'!$C:$C,"TC"),0)</f>
        <v>701026695</v>
      </c>
      <c r="D50" s="24" t="n">
        <f aca="false">ROUND(C50*(1+D9),0)</f>
        <v>750098564</v>
      </c>
      <c r="E50" s="24" t="n">
        <f aca="false">ROUND(D50*(1+E9),0)</f>
        <v>787603492</v>
      </c>
      <c r="F50" s="24" t="n">
        <f aca="false">ROUND(E50*(1+F9),0)</f>
        <v>826983667</v>
      </c>
      <c r="G50" s="24" t="n">
        <f aca="false">ROUND(F50*(1+G9),0)</f>
        <v>868332850</v>
      </c>
      <c r="H50" s="24" t="n">
        <f aca="false">ROUND(G50*(1+H9),0)</f>
        <v>911749493</v>
      </c>
    </row>
    <row r="51" customFormat="false" ht="15" hidden="false" customHeight="false" outlineLevel="0" collapsed="false">
      <c r="A51" s="12" t="s">
        <v>20</v>
      </c>
      <c r="B51" s="13" t="s">
        <v>21</v>
      </c>
      <c r="C51" s="15" t="n">
        <f aca="false">ROUND(SUMIFS('BALANCE 2024'!$H:$H,'BALANCE 2024'!$C:$C,"RE"),0)</f>
        <v>278141464</v>
      </c>
      <c r="D51" s="21" t="n">
        <f aca="false">ROUND(D50*D13,0)</f>
        <v>265319974</v>
      </c>
      <c r="E51" s="21" t="n">
        <f aca="false">ROUND(E50*E13,0)</f>
        <v>310250783</v>
      </c>
      <c r="F51" s="21" t="n">
        <f aca="false">ROUND(F50*F13,0)</f>
        <v>325763322</v>
      </c>
      <c r="G51" s="21" t="n">
        <f aca="false">ROUND(G50*G13,0)</f>
        <v>342051488</v>
      </c>
      <c r="H51" s="21" t="n">
        <f aca="false">ROUND(H50*H13,0)</f>
        <v>359154063</v>
      </c>
    </row>
    <row r="52" customFormat="false" ht="15" hidden="false" customHeight="false" outlineLevel="0" collapsed="false">
      <c r="A52" s="12" t="s">
        <v>23</v>
      </c>
      <c r="B52" s="13" t="s">
        <v>24</v>
      </c>
      <c r="C52" s="15" t="n">
        <f aca="false">ROUND(SUMIFS('BALANCE 2024'!$H:$H,'BALANCE 2024'!$C:$C,"RG"),0)</f>
        <v>3820098</v>
      </c>
      <c r="D52" s="21" t="n">
        <f aca="false">ROUND(D50*D14,0)</f>
        <v>4050532</v>
      </c>
      <c r="E52" s="21" t="n">
        <f aca="false">ROUND(E50*E14,0)</f>
        <v>4253059</v>
      </c>
      <c r="F52" s="21" t="n">
        <f aca="false">ROUND(F50*F14,0)</f>
        <v>4465712</v>
      </c>
      <c r="G52" s="21" t="n">
        <f aca="false">ROUND(G50*G14,0)</f>
        <v>4688997</v>
      </c>
      <c r="H52" s="21" t="n">
        <f aca="false">ROUND(H50*H14,0)</f>
        <v>4923447</v>
      </c>
    </row>
    <row r="53" customFormat="false" ht="15" hidden="false" customHeight="false" outlineLevel="0" collapsed="false">
      <c r="A53" s="12" t="s">
        <v>26</v>
      </c>
      <c r="B53" s="13" t="s">
        <v>27</v>
      </c>
      <c r="C53" s="15" t="n">
        <f aca="false">ROUND(SUMIFS('BALANCE 2024'!$H:$H,'BALANCE 2024'!$C:$C,"RH"),0)</f>
        <v>106769083</v>
      </c>
      <c r="D53" s="21" t="n">
        <f aca="false">ROUND(D50*D15,0)</f>
        <v>114240011</v>
      </c>
      <c r="E53" s="21" t="n">
        <f aca="false">ROUND(E50*E15,0)</f>
        <v>119952012</v>
      </c>
      <c r="F53" s="21" t="n">
        <f aca="false">ROUND(F50*F15,0)</f>
        <v>125949612</v>
      </c>
      <c r="G53" s="21" t="n">
        <f aca="false">ROUND(G50*G15,0)</f>
        <v>132247093</v>
      </c>
      <c r="H53" s="21" t="n">
        <f aca="false">ROUND(H50*H15,0)</f>
        <v>138859448</v>
      </c>
    </row>
    <row r="54" customFormat="false" ht="15" hidden="false" customHeight="false" outlineLevel="0" collapsed="false">
      <c r="A54" s="12" t="s">
        <v>28</v>
      </c>
      <c r="B54" s="13" t="s">
        <v>29</v>
      </c>
      <c r="C54" s="15" t="n">
        <f aca="false">ROUND(SUMIFS('BALANCE 2024'!$H:$H,'BALANCE 2024'!$C:$C,"RI"),0)</f>
        <v>14869670</v>
      </c>
      <c r="D54" s="21" t="n">
        <f aca="false">ROUND(D50*D16,0)</f>
        <v>15902090</v>
      </c>
      <c r="E54" s="21" t="n">
        <f aca="false">ROUND(E50*E16,0)</f>
        <v>16697194</v>
      </c>
      <c r="F54" s="21" t="n">
        <f aca="false">ROUND(F50*F16,0)</f>
        <v>17532054</v>
      </c>
      <c r="G54" s="21" t="n">
        <f aca="false">ROUND(G50*G16,0)</f>
        <v>18408656</v>
      </c>
      <c r="H54" s="21" t="n">
        <f aca="false">ROUND(H50*H16,0)</f>
        <v>19329089</v>
      </c>
    </row>
    <row r="55" customFormat="false" ht="15" hidden="false" customHeight="false" outlineLevel="0" collapsed="false">
      <c r="A55" s="12" t="s">
        <v>30</v>
      </c>
      <c r="B55" s="13" t="s">
        <v>31</v>
      </c>
      <c r="C55" s="15" t="n">
        <f aca="false">ROUND(SUMIFS('BALANCE 2024'!$H:$H,'BALANCE 2024'!$C:$C,"RJ"),0)</f>
        <v>1316731</v>
      </c>
      <c r="D55" s="21" t="n">
        <f aca="false">ROUND(D50*D17,0)</f>
        <v>1425187</v>
      </c>
      <c r="E55" s="21" t="n">
        <f aca="false">ROUND(E50*E17,0)</f>
        <v>1496447</v>
      </c>
      <c r="F55" s="21" t="n">
        <f aca="false">ROUND(F50*F17,0)</f>
        <v>1571269</v>
      </c>
      <c r="G55" s="21" t="n">
        <f aca="false">ROUND(G50*G17,0)</f>
        <v>1649832</v>
      </c>
      <c r="H55" s="21" t="n">
        <f aca="false">ROUND(H50*H17,0)</f>
        <v>1732324</v>
      </c>
    </row>
    <row r="56" customFormat="false" ht="15" hidden="false" customHeight="false" outlineLevel="0" collapsed="false">
      <c r="A56" s="12" t="s">
        <v>32</v>
      </c>
      <c r="B56" s="13" t="s">
        <v>33</v>
      </c>
      <c r="C56" s="15" t="n">
        <f aca="false">ROUND((SUMIFS('BALANCE 2024'!$H:$H,'BALANCE 2024'!$C:$C,"RK")-SUMIFS('BALANCE 2024'!$H:$H,'BALANCE 2024'!$A:$A,"&gt;=664000",'BALANCE 2024'!$A:$A,"&lt;665000")),0)</f>
        <v>99020242</v>
      </c>
      <c r="D56" s="21" t="n">
        <f aca="false">ROUND(D50*D18,0)</f>
        <v>113489913</v>
      </c>
      <c r="E56" s="21" t="n">
        <f aca="false">ROUND(E50*E18,0)</f>
        <v>111288373</v>
      </c>
      <c r="F56" s="21" t="n">
        <f aca="false">ROUND(F50*F18,0)</f>
        <v>116852792</v>
      </c>
      <c r="G56" s="21" t="n">
        <f aca="false">ROUND(G50*G18,0)</f>
        <v>122695432</v>
      </c>
      <c r="H56" s="21" t="n">
        <f aca="false">ROUND(H50*H18,0)</f>
        <v>128830203</v>
      </c>
    </row>
    <row r="57" customFormat="false" ht="15" hidden="false" customHeight="false" outlineLevel="0" collapsed="false">
      <c r="A57" s="12" t="s">
        <v>103</v>
      </c>
      <c r="B57" s="13" t="s">
        <v>104</v>
      </c>
      <c r="C57" s="15" t="n">
        <f aca="false">ROUND(SUMIFS('BALANCE 2024'!$H:$H,'BALANCE 2024'!$A:$A,"&gt;=661000",'BALANCE 2024'!$A:$A,"&lt;662000"),0)</f>
        <v>92139445</v>
      </c>
      <c r="D57" s="21" t="n">
        <f aca="false">ROUND(IF($C56=0,0,D56*$C57/$C56),0)</f>
        <v>105603636</v>
      </c>
      <c r="E57" s="21" t="n">
        <f aca="false">ROUND(IF($C56=0,0,E56*$C57/$C56),0)</f>
        <v>103555078</v>
      </c>
      <c r="F57" s="21" t="n">
        <f aca="false">ROUND(IF($C56=0,0,F56*$C57/$C56),0)</f>
        <v>108732833</v>
      </c>
      <c r="G57" s="21" t="n">
        <f aca="false">ROUND(IF($C56=0,0,G56*$C57/$C56),0)</f>
        <v>114169475</v>
      </c>
      <c r="H57" s="21" t="n">
        <f aca="false">ROUND(IF($C56=0,0,H56*$C57/$C56),0)</f>
        <v>119877948</v>
      </c>
    </row>
    <row r="58" customFormat="false" ht="15" hidden="false" customHeight="false" outlineLevel="0" collapsed="false">
      <c r="A58" s="12" t="s">
        <v>105</v>
      </c>
      <c r="B58" s="13"/>
      <c r="D58" s="21" t="n">
        <f aca="false">ROUND(MIN(D57,D20*12*D24),0)</f>
        <v>58500000</v>
      </c>
      <c r="E58" s="21" t="n">
        <f aca="false">ROUND(MIN(E57,E20*12*E24),0)</f>
        <v>67500000</v>
      </c>
      <c r="F58" s="21" t="n">
        <f aca="false">ROUND(MIN(F57,F20*12*F24),0)</f>
        <v>76500000</v>
      </c>
      <c r="G58" s="21" t="n">
        <f aca="false">ROUND(MIN(G57,G20*12*G24),0)</f>
        <v>81000000</v>
      </c>
      <c r="H58" s="21" t="n">
        <f aca="false">ROUND(MIN(H57,H20*12*H24),0)</f>
        <v>90000000</v>
      </c>
    </row>
    <row r="59" customFormat="false" ht="15" hidden="false" customHeight="false" outlineLevel="0" collapsed="false">
      <c r="A59" s="12" t="s">
        <v>106</v>
      </c>
      <c r="B59" s="13" t="s">
        <v>107</v>
      </c>
      <c r="C59" s="15" t="n">
        <f aca="false">ROUND(SUMIFS('BALANCE 2024'!$H:$H,'BALANCE 2024'!$A:$A,664104),0)</f>
        <v>7005273</v>
      </c>
      <c r="D59" s="21" t="n">
        <f aca="false">ROUND(D57*D21,0)</f>
        <v>8131480</v>
      </c>
      <c r="E59" s="21" t="n">
        <f aca="false">ROUND(E57*E21,0)</f>
        <v>7973741</v>
      </c>
      <c r="F59" s="21" t="n">
        <f aca="false">ROUND(F57*F21,0)</f>
        <v>8372428</v>
      </c>
      <c r="G59" s="21" t="n">
        <f aca="false">ROUND(G57*G21,0)</f>
        <v>8791050</v>
      </c>
      <c r="H59" s="21" t="n">
        <f aca="false">ROUND(H57*H21,0)</f>
        <v>9230602</v>
      </c>
    </row>
    <row r="60" customFormat="false" ht="15" hidden="false" customHeight="false" outlineLevel="0" collapsed="false">
      <c r="A60" s="12" t="s">
        <v>108</v>
      </c>
      <c r="B60" s="13" t="s">
        <v>109</v>
      </c>
      <c r="C60" s="15" t="n">
        <f aca="false">ROUND(SUMIFS('BALANCE 2024'!$H:$H,'BALANCE 2024'!$A:$A,664102),0)</f>
        <v>0</v>
      </c>
      <c r="D60" s="21" t="n">
        <f aca="false">ROUND(D58*D22,0)</f>
        <v>3363750</v>
      </c>
      <c r="E60" s="21" t="n">
        <f aca="false">ROUND(E58*E22,0)</f>
        <v>3881250</v>
      </c>
      <c r="F60" s="21" t="n">
        <f aca="false">ROUND(F58*F22,0)</f>
        <v>4398750</v>
      </c>
      <c r="G60" s="21" t="n">
        <f aca="false">ROUND(G58*G22,0)</f>
        <v>4657500</v>
      </c>
      <c r="H60" s="21" t="n">
        <f aca="false">ROUND(H58*H22,0)</f>
        <v>5175000</v>
      </c>
    </row>
    <row r="61" customFormat="false" ht="15" hidden="false" customHeight="false" outlineLevel="0" collapsed="false">
      <c r="A61" s="12" t="s">
        <v>110</v>
      </c>
      <c r="B61" s="13" t="s">
        <v>111</v>
      </c>
      <c r="C61" s="15" t="n">
        <f aca="false">ROUND(SUMIFS('BALANCE 2024'!$H:$H,'BALANCE 2024'!$A:$A,664103),0)</f>
        <v>0</v>
      </c>
      <c r="D61" s="21" t="n">
        <f aca="false">ROUND(D58*D23,0)</f>
        <v>2925000</v>
      </c>
      <c r="E61" s="21" t="n">
        <f aca="false">ROUND(E58*E23,0)</f>
        <v>3375000</v>
      </c>
      <c r="F61" s="21" t="n">
        <f aca="false">ROUND(F58*F23,0)</f>
        <v>3825000</v>
      </c>
      <c r="G61" s="21" t="n">
        <f aca="false">ROUND(G58*G23,0)</f>
        <v>4050000</v>
      </c>
      <c r="H61" s="21" t="n">
        <f aca="false">ROUND(H58*H23,0)</f>
        <v>4500000</v>
      </c>
    </row>
    <row r="62" customFormat="false" ht="15" hidden="false" customHeight="false" outlineLevel="0" collapsed="false">
      <c r="A62" s="12" t="s">
        <v>112</v>
      </c>
      <c r="B62" s="13" t="s">
        <v>113</v>
      </c>
      <c r="C62" s="15" t="n">
        <f aca="false">ROUND(SUMIFS('BALANCE 2024'!$H:$H,'BALANCE 2024'!$A:$A,664101),0)</f>
        <v>0</v>
      </c>
      <c r="D62" s="21" t="n">
        <f aca="false">ROUND(D20*12*D25,0)</f>
        <v>390000</v>
      </c>
      <c r="E62" s="21" t="n">
        <f aca="false">ROUND(E20*12*E25,0)</f>
        <v>450000</v>
      </c>
      <c r="F62" s="21" t="n">
        <f aca="false">ROUND(F20*12*F25,0)</f>
        <v>510000</v>
      </c>
      <c r="G62" s="21" t="n">
        <f aca="false">ROUND(G20*12*G25,0)</f>
        <v>540000</v>
      </c>
      <c r="H62" s="21" t="n">
        <f aca="false">ROUND(H20*12*H25,0)</f>
        <v>600000</v>
      </c>
    </row>
    <row r="63" customFormat="false" ht="15" hidden="false" customHeight="false" outlineLevel="0" collapsed="false">
      <c r="A63" s="4" t="s">
        <v>114</v>
      </c>
      <c r="B63" s="13" t="s">
        <v>115</v>
      </c>
      <c r="C63" s="25" t="n">
        <f aca="false">ROUND(SUMIFS('BALANCE 2024'!$H:$H,'BALANCE 2024'!$C:$C,"RK"),0)</f>
        <v>106025515</v>
      </c>
      <c r="D63" s="24" t="n">
        <f aca="false">ROUND(D56+D59+D60+D61+D62,0)</f>
        <v>128300143</v>
      </c>
      <c r="E63" s="24" t="n">
        <f aca="false">ROUND(E56+E59+E60+E61+E62,0)</f>
        <v>126968364</v>
      </c>
      <c r="F63" s="24" t="n">
        <f aca="false">ROUND(F56+F59+F60+F61+F62,0)</f>
        <v>133958970</v>
      </c>
      <c r="G63" s="24" t="n">
        <f aca="false">ROUND(G56+G59+G60+G61+G62,0)</f>
        <v>140733982</v>
      </c>
      <c r="H63" s="24" t="n">
        <f aca="false">ROUND(H56+H59+H60+H61+H62,0)</f>
        <v>148335805</v>
      </c>
    </row>
    <row r="64" customFormat="false" ht="15" hidden="false" customHeight="false" outlineLevel="0" collapsed="false">
      <c r="A64" s="12" t="s">
        <v>116</v>
      </c>
      <c r="B64" s="13"/>
      <c r="C64" s="21" t="n">
        <f aca="false">ROUND(C51+C52+C53,0)</f>
        <v>388730645</v>
      </c>
      <c r="D64" s="21" t="n">
        <f aca="false">ROUND(D51+D52+D53,0)</f>
        <v>383610517</v>
      </c>
      <c r="E64" s="21" t="n">
        <f aca="false">ROUND(E51+E52+E53,0)</f>
        <v>434455854</v>
      </c>
      <c r="F64" s="21" t="n">
        <f aca="false">ROUND(F51+F52+F53,0)</f>
        <v>456178646</v>
      </c>
      <c r="G64" s="21" t="n">
        <f aca="false">ROUND(G51+G52+G53,0)</f>
        <v>478987578</v>
      </c>
      <c r="H64" s="21" t="n">
        <f aca="false">ROUND(H51+H52+H53,0)</f>
        <v>502936958</v>
      </c>
    </row>
    <row r="65" customFormat="false" ht="15" hidden="false" customHeight="false" outlineLevel="0" collapsed="false">
      <c r="A65" s="12" t="s">
        <v>117</v>
      </c>
      <c r="B65" s="13" t="s">
        <v>118</v>
      </c>
      <c r="C65" s="15" t="n">
        <f aca="false">ROUND(SUMIFS('BALANCE 2024'!$H:$H,'BALANCE 2024'!$A:$A,"&gt;=691000",'BALANCE 2024'!$A:$A,"&lt;692000"),0)</f>
        <v>6059296</v>
      </c>
      <c r="D65" s="21" t="n">
        <f aca="false">ROUND(D28,0)</f>
        <v>6945583</v>
      </c>
      <c r="E65" s="21" t="n">
        <f aca="false">ROUND(E28,0)</f>
        <v>6810848</v>
      </c>
      <c r="F65" s="21" t="n">
        <f aca="false">ROUND(F28,0)</f>
        <v>7151391</v>
      </c>
      <c r="G65" s="21" t="n">
        <f aca="false">ROUND(G28,0)</f>
        <v>7508960</v>
      </c>
      <c r="H65" s="21" t="n">
        <f aca="false">ROUND(H28,0)</f>
        <v>7884408</v>
      </c>
    </row>
    <row r="66" customFormat="false" ht="15" hidden="false" customHeight="false" outlineLevel="0" collapsed="false">
      <c r="A66" s="12" t="s">
        <v>119</v>
      </c>
      <c r="B66" s="13" t="s">
        <v>17</v>
      </c>
      <c r="C66" s="21" t="n">
        <f aca="false">ROUND(C11,0)</f>
        <v>848594</v>
      </c>
      <c r="D66" s="21" t="n">
        <f aca="false">ROUND(D11,0)</f>
        <v>848594</v>
      </c>
      <c r="E66" s="21" t="n">
        <f aca="false">ROUND(E11,0)</f>
        <v>848594</v>
      </c>
      <c r="F66" s="21" t="n">
        <f aca="false">ROUND(F11,0)</f>
        <v>848594</v>
      </c>
      <c r="G66" s="21" t="n">
        <f aca="false">ROUND(G11,0)</f>
        <v>848594</v>
      </c>
      <c r="H66" s="21" t="n">
        <f aca="false">ROUND(H11,0)</f>
        <v>848594</v>
      </c>
    </row>
    <row r="67" customFormat="false" ht="15" hidden="false" customHeight="false" outlineLevel="0" collapsed="false">
      <c r="A67" s="4" t="s">
        <v>120</v>
      </c>
      <c r="B67" s="13" t="s">
        <v>121</v>
      </c>
      <c r="C67" s="24" t="n">
        <f aca="false">ROUND(C50+C66-C51-C52-C53-C54-C55-C63-'INVEST ET FINANCEMENT'!C43-C65-'INVEST ET FINANCEMENT'!C65-'INVEST ET FINANCEMENT'!C66,0)</f>
        <v>96931836</v>
      </c>
      <c r="D67" s="24" t="n">
        <f aca="false">ROUND(D50+D66-D51-D52-D53-D54-D55-D63-'INVEST ET FINANCEMENT'!D43-D65-'INVEST ET FINANCEMENT'!D65-'INVEST ET FINANCEMENT'!D66,0)</f>
        <v>125668352</v>
      </c>
      <c r="E67" s="24" t="n">
        <f aca="false">ROUND(E50+E66-E51-E52-E53-E54-E55-E63-'INVEST ET FINANCEMENT'!E43-E65-'INVEST ET FINANCEMENT'!E65-'INVEST ET FINANCEMENT'!E66,0)</f>
        <v>108318051</v>
      </c>
      <c r="F67" s="24" t="n">
        <f aca="false">ROUND(F50+F66-F51-F52-F53-F54-F55-F63-'INVEST ET FINANCEMENT'!F43-F65-'INVEST ET FINANCEMENT'!F65-'INVEST ET FINANCEMENT'!F66,0)</f>
        <v>114343776</v>
      </c>
      <c r="G67" s="24" t="n">
        <f aca="false">ROUND(G50+G66-G51-G52-G53-G54-G55-G63-'INVEST ET FINANCEMENT'!G43-G65-'INVEST ET FINANCEMENT'!G65-'INVEST ET FINANCEMENT'!G66,0)</f>
        <v>126027052</v>
      </c>
      <c r="H67" s="24" t="n">
        <f aca="false">ROUND(H50+H66-H51-H52-H53-H54-H55-H63-'INVEST ET FINANCEMENT'!H43-H65-'INVEST ET FINANCEMENT'!H65-'INVEST ET FINANCEMENT'!H66,0)</f>
        <v>134430600</v>
      </c>
    </row>
    <row r="68" customFormat="false" ht="15" hidden="false" customHeight="false" outlineLevel="0" collapsed="false">
      <c r="A68" s="12" t="s">
        <v>122</v>
      </c>
      <c r="B68" s="13" t="s">
        <v>118</v>
      </c>
      <c r="D68" s="21" t="n">
        <f aca="false">ROUND(D28,0)</f>
        <v>6945583</v>
      </c>
      <c r="E68" s="21" t="n">
        <f aca="false">ROUND(E28,0)</f>
        <v>6810848</v>
      </c>
      <c r="F68" s="21" t="n">
        <f aca="false">ROUND(F28,0)</f>
        <v>7151391</v>
      </c>
      <c r="G68" s="21" t="n">
        <f aca="false">ROUND(G28,0)</f>
        <v>7508960</v>
      </c>
      <c r="H68" s="21" t="n">
        <f aca="false">ROUND(H28,0)</f>
        <v>7884408</v>
      </c>
    </row>
    <row r="69" customFormat="false" ht="15" hidden="false" customHeight="false" outlineLevel="0" collapsed="false">
      <c r="A69" s="12" t="s">
        <v>123</v>
      </c>
      <c r="B69" s="13"/>
      <c r="D69" s="21" t="n">
        <f aca="false">ROUND(D67+D46+D68,0)</f>
        <v>132613935</v>
      </c>
      <c r="E69" s="21" t="n">
        <f aca="false">ROUND(E67+E46+E68,0)</f>
        <v>115128899</v>
      </c>
      <c r="F69" s="21" t="n">
        <f aca="false">ROUND(F67+F46+F68,0)</f>
        <v>121495167</v>
      </c>
      <c r="G69" s="21" t="n">
        <f aca="false">ROUND(G67+G46+G68,0)</f>
        <v>133536012</v>
      </c>
      <c r="H69" s="21" t="n">
        <f aca="false">ROUND(H67+H46+H68,0)</f>
        <v>142315008</v>
      </c>
    </row>
    <row r="70" customFormat="false" ht="15" hidden="false" customHeight="false" outlineLevel="0" collapsed="false">
      <c r="A70" s="12" t="s">
        <v>124</v>
      </c>
      <c r="B70" s="13"/>
      <c r="D70" s="21" t="n">
        <f aca="false">ROUND(MAX(0,D69)*D42,0)</f>
        <v>33153484</v>
      </c>
      <c r="E70" s="21" t="n">
        <f aca="false">ROUND(MAX(0,E69)*E42,0)</f>
        <v>28782225</v>
      </c>
      <c r="F70" s="21" t="n">
        <f aca="false">ROUND(MAX(0,F69)*F42,0)</f>
        <v>30373792</v>
      </c>
      <c r="G70" s="21" t="n">
        <f aca="false">ROUND(MAX(0,G69)*G42,0)</f>
        <v>33384003</v>
      </c>
      <c r="H70" s="21" t="n">
        <f aca="false">ROUND(MAX(0,H69)*H42,0)</f>
        <v>35578752</v>
      </c>
    </row>
    <row r="71" customFormat="false" ht="15" hidden="false" customHeight="false" outlineLevel="0" collapsed="false">
      <c r="A71" s="12" t="s">
        <v>125</v>
      </c>
      <c r="B71" s="13"/>
      <c r="D71" s="21" t="n">
        <f aca="false">ROUND(MIN(D45,MAX(D44,D43*(D50*(1+D10)+D66))),0)</f>
        <v>4429824</v>
      </c>
      <c r="E71" s="21" t="n">
        <f aca="false">ROUND(MIN(E45,MAX(E44,E43*(E50*(1+E10)+E66))),0)</f>
        <v>4651104</v>
      </c>
      <c r="F71" s="21" t="n">
        <f aca="false">ROUND(MIN(F45,MAX(F44,F43*(F50*(1+F10)+F66))),0)</f>
        <v>4883447</v>
      </c>
      <c r="G71" s="21" t="n">
        <f aca="false">ROUND(MIN(G45,MAX(G44,G43*(G50*(1+G10)+G66))),0)</f>
        <v>5127407</v>
      </c>
      <c r="H71" s="21" t="n">
        <f aca="false">ROUND(MIN(H45,MAX(H44,H43*(H50*(1+H10)+H66))),0)</f>
        <v>5383565</v>
      </c>
    </row>
    <row r="72" customFormat="false" ht="15" hidden="false" customHeight="false" outlineLevel="0" collapsed="false">
      <c r="A72" s="4" t="s">
        <v>126</v>
      </c>
      <c r="B72" s="13" t="s">
        <v>127</v>
      </c>
      <c r="C72" s="25" t="n">
        <f aca="false">ROUND(SUMIFS('BALANCE 2024'!$H:$H,'BALANCE 2024'!$C:$C,"RS"),0)</f>
        <v>24232959</v>
      </c>
      <c r="D72" s="24" t="n">
        <f aca="false">ROUND(MAX(D70,D71),0)</f>
        <v>33153484</v>
      </c>
      <c r="E72" s="24" t="n">
        <f aca="false">ROUND(MAX(E70,E71),0)</f>
        <v>28782225</v>
      </c>
      <c r="F72" s="24" t="n">
        <f aca="false">ROUND(MAX(F70,F71),0)</f>
        <v>30373792</v>
      </c>
      <c r="G72" s="24" t="n">
        <f aca="false">ROUND(MAX(G70,G71),0)</f>
        <v>33384003</v>
      </c>
      <c r="H72" s="24" t="n">
        <f aca="false">ROUND(MAX(H70,H71),0)</f>
        <v>35578752</v>
      </c>
    </row>
    <row r="73" customFormat="false" ht="15" hidden="false" customHeight="false" outlineLevel="0" collapsed="false">
      <c r="A73" s="4" t="s">
        <v>128</v>
      </c>
      <c r="B73" s="13" t="s">
        <v>129</v>
      </c>
      <c r="C73" s="24" t="n">
        <f aca="false">ROUND(C67-C72,0)</f>
        <v>72698877</v>
      </c>
      <c r="D73" s="24" t="n">
        <f aca="false">ROUND(D67-D72,0)</f>
        <v>92514868</v>
      </c>
      <c r="E73" s="24" t="n">
        <f aca="false">ROUND(E67-E72,0)</f>
        <v>79535826</v>
      </c>
      <c r="F73" s="24" t="n">
        <f aca="false">ROUND(F67-F72,0)</f>
        <v>83969984</v>
      </c>
      <c r="G73" s="24" t="n">
        <f aca="false">ROUND(G67-G72,0)</f>
        <v>92643049</v>
      </c>
      <c r="H73" s="24" t="n">
        <f aca="false">ROUND(H67-H72,0)</f>
        <v>98851848</v>
      </c>
    </row>
    <row r="74" customFormat="false" ht="15" hidden="false" customHeight="false" outlineLevel="0" collapsed="false">
      <c r="A74" s="12" t="s">
        <v>130</v>
      </c>
      <c r="B74" s="13" t="s">
        <v>131</v>
      </c>
      <c r="D74" s="21" t="n">
        <f aca="false">ROUND(MIN(D47*MAX(0,C73),MAX(0,D48*'BALANCE 2024'!I13-'BALANCE 2024'!I14)),0)</f>
        <v>2000000</v>
      </c>
      <c r="E74" s="21" t="n">
        <f aca="false">ROUND(MIN(E47*MAX(0,D73),MAX(0,E48*'BALANCE 2025'!I13-'BALANCE 2025'!I14)),0)</f>
        <v>0</v>
      </c>
      <c r="F74" s="21" t="n">
        <f aca="false">ROUND(MIN(F47*MAX(0,E73),MAX(0,F48*'BALANCE 2026'!I13-'BALANCE 2026'!I14)),0)</f>
        <v>0</v>
      </c>
      <c r="G74" s="21" t="n">
        <f aca="false">ROUND(MIN(G47*MAX(0,F73),MAX(0,G48*'BALANCE 2027'!I13-'BALANCE 2027'!I14)),0)</f>
        <v>0</v>
      </c>
      <c r="H74" s="21" t="n">
        <f aca="false">ROUND(MIN(H47*MAX(0,G73),MAX(0,H48*'BALANCE 2028'!I13-'BALANCE 2028'!I14)),0)</f>
        <v>0</v>
      </c>
    </row>
    <row r="75" customFormat="false" ht="15" hidden="false" customHeight="false" outlineLevel="0" collapsed="false">
      <c r="A75" s="12" t="s">
        <v>132</v>
      </c>
      <c r="B75" s="13" t="s">
        <v>133</v>
      </c>
      <c r="D75" s="21" t="n">
        <f aca="false">ROUND(MAX(0,C73-D74)*'INVEST ET FINANCEMENT'!D56,0)</f>
        <v>0</v>
      </c>
      <c r="E75" s="21" t="n">
        <f aca="false">ROUND(MAX(0,D73-E74)*'INVEST ET FINANCEMENT'!E56,0)</f>
        <v>0</v>
      </c>
      <c r="F75" s="21" t="n">
        <f aca="false">ROUND(MAX(0,E73-F74)*'INVEST ET FINANCEMENT'!F56,0)</f>
        <v>0</v>
      </c>
      <c r="G75" s="21" t="n">
        <f aca="false">ROUND(MAX(0,F73-G74)*'INVEST ET FINANCEMENT'!G56,0)</f>
        <v>0</v>
      </c>
      <c r="H75" s="21" t="n">
        <f aca="false">ROUND(MAX(0,G73-H74)*'INVEST ET FINANCEMENT'!H56,0)</f>
        <v>0</v>
      </c>
    </row>
    <row r="76" customFormat="false" ht="15" hidden="false" customHeight="false" outlineLevel="0" collapsed="false">
      <c r="A76" s="12" t="s">
        <v>134</v>
      </c>
      <c r="B76" s="13" t="s">
        <v>135</v>
      </c>
      <c r="D76" s="21" t="n">
        <f aca="false">ROUND(C73-D74-D75,0)</f>
        <v>70698877</v>
      </c>
      <c r="E76" s="21" t="n">
        <f aca="false">ROUND(D73-E74-E75,0)</f>
        <v>92514868</v>
      </c>
      <c r="F76" s="21" t="n">
        <f aca="false">ROUND(E73-F74-F75,0)</f>
        <v>79535826</v>
      </c>
      <c r="G76" s="21" t="n">
        <f aca="false">ROUND(F73-G74-G75,0)</f>
        <v>83969984</v>
      </c>
      <c r="H76" s="21" t="n">
        <f aca="false">ROUND(G73-H74-H75,0)</f>
        <v>92643049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136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137</v>
      </c>
    </row>
    <row r="3" customFormat="false" ht="15" hidden="false" customHeight="false" outlineLevel="0" collapsed="false">
      <c r="A3" s="3" t="s">
        <v>138</v>
      </c>
    </row>
    <row r="4" customFormat="false" ht="15" hidden="false" customHeight="false" outlineLevel="0" collapsed="false">
      <c r="A4" s="4" t="str">
        <f aca="false">"Entité : "&amp;HYPOTHESES!$C$4</f>
        <v>Entité : MON ENTREPRISE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"&amp;HYPOTHESES!$C$5</f>
        <v>Réel 2024</v>
      </c>
      <c r="D7" s="9" t="n">
        <f aca="false">HYPOTHESES!$C$5+1</f>
        <v>2025</v>
      </c>
      <c r="E7" s="9" t="n">
        <f aca="false">HYPOTHESES!$C$5+2</f>
        <v>2026</v>
      </c>
      <c r="F7" s="9" t="n">
        <f aca="false">HYPOTHESES!$C$5+3</f>
        <v>2027</v>
      </c>
      <c r="G7" s="9" t="n">
        <f aca="false">HYPOTHESES!$C$5+4</f>
        <v>2028</v>
      </c>
      <c r="H7" s="9" t="n">
        <f aca="false">HYPOTHESES!$C$5+5</f>
        <v>2029</v>
      </c>
      <c r="I7" s="8" t="s">
        <v>9</v>
      </c>
    </row>
    <row r="8" customFormat="false" ht="15" hidden="false" customHeight="false" outlineLevel="0" collapsed="false">
      <c r="A8" s="10" t="s">
        <v>139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140</v>
      </c>
      <c r="B9" s="13" t="s">
        <v>141</v>
      </c>
      <c r="C9" s="2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7" t="s">
        <v>142</v>
      </c>
    </row>
    <row r="10" customFormat="false" ht="15" hidden="false" customHeight="false" outlineLevel="0" collapsed="false">
      <c r="A10" s="12" t="s">
        <v>143</v>
      </c>
      <c r="B10" s="13" t="s">
        <v>144</v>
      </c>
      <c r="C10" s="26" t="n">
        <v>294528381</v>
      </c>
      <c r="D10" s="16" t="n">
        <v>0</v>
      </c>
      <c r="E10" s="16" t="n">
        <v>30000000</v>
      </c>
      <c r="F10" s="16" t="n">
        <v>30000000</v>
      </c>
      <c r="G10" s="16" t="n">
        <v>30000000</v>
      </c>
      <c r="H10" s="16" t="n">
        <v>30000000</v>
      </c>
      <c r="I10" s="7" t="s">
        <v>142</v>
      </c>
    </row>
    <row r="11" customFormat="false" ht="15" hidden="false" customHeight="false" outlineLevel="0" collapsed="false">
      <c r="A11" s="12" t="s">
        <v>145</v>
      </c>
      <c r="B11" s="13" t="s">
        <v>146</v>
      </c>
      <c r="C11" s="26" t="n">
        <v>14513941</v>
      </c>
      <c r="D11" s="16" t="n">
        <v>930000</v>
      </c>
      <c r="E11" s="16" t="n">
        <v>5000000</v>
      </c>
      <c r="F11" s="16" t="n">
        <v>5000000</v>
      </c>
      <c r="G11" s="16" t="n">
        <v>5000000</v>
      </c>
      <c r="H11" s="16" t="n">
        <v>5000000</v>
      </c>
      <c r="I11" s="7" t="s">
        <v>142</v>
      </c>
    </row>
    <row r="12" customFormat="false" ht="15" hidden="false" customHeight="false" outlineLevel="0" collapsed="false">
      <c r="A12" s="12" t="s">
        <v>147</v>
      </c>
      <c r="B12" s="13" t="s">
        <v>148</v>
      </c>
      <c r="C12" s="26" t="n">
        <v>55896547</v>
      </c>
      <c r="D12" s="16" t="n">
        <v>15593220</v>
      </c>
      <c r="E12" s="16" t="n">
        <v>0</v>
      </c>
      <c r="F12" s="16" t="n">
        <v>0</v>
      </c>
      <c r="G12" s="16" t="n">
        <v>40000000</v>
      </c>
      <c r="H12" s="16" t="n">
        <v>0</v>
      </c>
      <c r="I12" s="7" t="s">
        <v>142</v>
      </c>
    </row>
    <row r="13" customFormat="false" ht="15" hidden="false" customHeight="false" outlineLevel="0" collapsed="false">
      <c r="A13" s="12" t="s">
        <v>149</v>
      </c>
      <c r="B13" s="13" t="s">
        <v>150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</row>
    <row r="14" customFormat="false" ht="15" hidden="false" customHeight="false" outlineLevel="0" collapsed="false">
      <c r="A14" s="12" t="s">
        <v>151</v>
      </c>
      <c r="B14" s="13" t="s">
        <v>152</v>
      </c>
      <c r="D14" s="16" t="n">
        <v>28619694</v>
      </c>
      <c r="E14" s="16" t="n">
        <v>0</v>
      </c>
      <c r="F14" s="16" t="n">
        <v>0</v>
      </c>
      <c r="G14" s="16" t="n">
        <v>0</v>
      </c>
      <c r="H14" s="16" t="n">
        <v>0</v>
      </c>
      <c r="I14" s="7" t="s">
        <v>153</v>
      </c>
    </row>
    <row r="15" customFormat="false" ht="15" hidden="false" customHeight="false" outlineLevel="0" collapsed="false">
      <c r="A15" s="4" t="s">
        <v>154</v>
      </c>
    </row>
    <row r="16" customFormat="false" ht="15" hidden="false" customHeight="false" outlineLevel="0" collapsed="false">
      <c r="A16" s="12" t="s">
        <v>155</v>
      </c>
      <c r="C16" s="6" t="n">
        <v>10</v>
      </c>
      <c r="I16" s="7" t="s">
        <v>156</v>
      </c>
    </row>
    <row r="17" customFormat="false" ht="15" hidden="false" customHeight="false" outlineLevel="0" collapsed="false">
      <c r="A17" s="12" t="s">
        <v>157</v>
      </c>
      <c r="C17" s="6" t="n">
        <v>5</v>
      </c>
      <c r="I17" s="7" t="s">
        <v>156</v>
      </c>
    </row>
    <row r="18" customFormat="false" ht="15" hidden="false" customHeight="false" outlineLevel="0" collapsed="false">
      <c r="A18" s="12" t="s">
        <v>158</v>
      </c>
      <c r="C18" s="6" t="n">
        <v>2</v>
      </c>
      <c r="I18" s="7" t="s">
        <v>156</v>
      </c>
    </row>
    <row r="19" customFormat="false" ht="15" hidden="false" customHeight="false" outlineLevel="0" collapsed="false">
      <c r="A19" s="12" t="s">
        <v>159</v>
      </c>
      <c r="C19" s="6" t="n">
        <v>3</v>
      </c>
      <c r="I19" s="7" t="s">
        <v>156</v>
      </c>
    </row>
    <row r="20" customFormat="false" ht="15" hidden="false" customHeight="false" outlineLevel="0" collapsed="false">
      <c r="A20" s="4" t="s">
        <v>160</v>
      </c>
    </row>
    <row r="21" customFormat="false" ht="15" hidden="false" customHeight="false" outlineLevel="0" collapsed="false">
      <c r="A21" s="12" t="s">
        <v>155</v>
      </c>
      <c r="B21" s="13" t="s">
        <v>161</v>
      </c>
      <c r="D21" s="16" t="n">
        <v>19182845</v>
      </c>
      <c r="E21" s="16" t="n">
        <v>19282845</v>
      </c>
      <c r="F21" s="16" t="n">
        <v>19282845</v>
      </c>
      <c r="G21" s="16" t="n">
        <v>19282845</v>
      </c>
      <c r="H21" s="16" t="n">
        <v>19282845</v>
      </c>
      <c r="I21" s="7" t="s">
        <v>162</v>
      </c>
    </row>
    <row r="22" customFormat="false" ht="15" hidden="false" customHeight="false" outlineLevel="0" collapsed="false">
      <c r="A22" s="12" t="s">
        <v>157</v>
      </c>
      <c r="B22" s="13" t="s">
        <v>161</v>
      </c>
      <c r="D22" s="16" t="n">
        <v>45537467</v>
      </c>
      <c r="E22" s="16" t="n">
        <v>44854932</v>
      </c>
      <c r="F22" s="16" t="n">
        <v>44854932</v>
      </c>
      <c r="G22" s="16" t="n">
        <v>44854932</v>
      </c>
      <c r="H22" s="16" t="n">
        <v>44854932</v>
      </c>
      <c r="I22" s="7" t="s">
        <v>162</v>
      </c>
    </row>
    <row r="23" customFormat="false" ht="15" hidden="false" customHeight="false" outlineLevel="0" collapsed="false">
      <c r="A23" s="12" t="s">
        <v>158</v>
      </c>
      <c r="B23" s="13" t="s">
        <v>161</v>
      </c>
      <c r="D23" s="16" t="n">
        <v>4934884</v>
      </c>
      <c r="E23" s="16" t="n">
        <v>4934884</v>
      </c>
      <c r="F23" s="16" t="n">
        <v>4934884</v>
      </c>
      <c r="G23" s="16" t="n">
        <v>4934884</v>
      </c>
      <c r="H23" s="16" t="n">
        <v>4934884</v>
      </c>
      <c r="I23" s="7" t="s">
        <v>162</v>
      </c>
    </row>
    <row r="24" customFormat="false" ht="15" hidden="false" customHeight="false" outlineLevel="0" collapsed="false">
      <c r="A24" s="12" t="s">
        <v>159</v>
      </c>
      <c r="B24" s="13" t="s">
        <v>161</v>
      </c>
      <c r="D24" s="16" t="n">
        <v>10760638</v>
      </c>
      <c r="E24" s="16" t="n">
        <v>10760638</v>
      </c>
      <c r="F24" s="16" t="n">
        <v>10760638</v>
      </c>
      <c r="G24" s="16" t="n">
        <v>10760638</v>
      </c>
      <c r="H24" s="16" t="n">
        <v>10760638</v>
      </c>
      <c r="I24" s="7" t="s">
        <v>162</v>
      </c>
    </row>
    <row r="25" customFormat="false" ht="15" hidden="false" customHeight="false" outlineLevel="0" collapsed="false">
      <c r="A25" s="12" t="s">
        <v>163</v>
      </c>
      <c r="B25" s="13" t="s">
        <v>141</v>
      </c>
      <c r="C25" s="21" t="n">
        <v>61665016</v>
      </c>
      <c r="I25" s="7" t="s">
        <v>164</v>
      </c>
    </row>
    <row r="26" customFormat="false" ht="15" hidden="false" customHeight="false" outlineLevel="0" collapsed="false">
      <c r="A26" s="12" t="s">
        <v>165</v>
      </c>
      <c r="B26" s="13" t="s">
        <v>144</v>
      </c>
      <c r="C26" s="21" t="n">
        <v>257861504</v>
      </c>
      <c r="I26" s="7" t="s">
        <v>164</v>
      </c>
    </row>
    <row r="27" customFormat="false" ht="15" hidden="false" customHeight="false" outlineLevel="0" collapsed="false">
      <c r="A27" s="12" t="s">
        <v>166</v>
      </c>
      <c r="B27" s="13" t="s">
        <v>146</v>
      </c>
      <c r="C27" s="21" t="n">
        <v>9579057</v>
      </c>
      <c r="I27" s="7" t="s">
        <v>164</v>
      </c>
    </row>
    <row r="28" customFormat="false" ht="15" hidden="false" customHeight="false" outlineLevel="0" collapsed="false">
      <c r="A28" s="12" t="s">
        <v>167</v>
      </c>
      <c r="B28" s="13" t="s">
        <v>148</v>
      </c>
      <c r="C28" s="21" t="n">
        <v>73755603</v>
      </c>
      <c r="I28" s="7" t="s">
        <v>164</v>
      </c>
    </row>
    <row r="29" customFormat="false" ht="15" hidden="false" customHeight="false" outlineLevel="0" collapsed="false">
      <c r="A29" s="10" t="s">
        <v>168</v>
      </c>
      <c r="B29" s="11"/>
      <c r="C29" s="11"/>
      <c r="D29" s="11"/>
      <c r="E29" s="11"/>
      <c r="F29" s="11"/>
      <c r="G29" s="11"/>
      <c r="H29" s="11"/>
      <c r="I29" s="11"/>
    </row>
    <row r="30" customFormat="false" ht="15" hidden="false" customHeight="false" outlineLevel="0" collapsed="false">
      <c r="A30" s="12" t="s">
        <v>169</v>
      </c>
      <c r="B30" s="13" t="s">
        <v>161</v>
      </c>
      <c r="D30" s="21" t="n">
        <f aca="false">ROUND(MIN(D21,$C25),0)</f>
        <v>19182845</v>
      </c>
      <c r="E30" s="21" t="n">
        <f aca="false">ROUND(MIN(E21,$C25-SUM($D30:D30)),0)</f>
        <v>19282845</v>
      </c>
      <c r="F30" s="21" t="n">
        <f aca="false">ROUND(MIN(F21,$C25-SUM($D30:E30)),0)</f>
        <v>19282845</v>
      </c>
      <c r="G30" s="21" t="n">
        <f aca="false">ROUND(MIN(G21,$C25-SUM($D30:F30)),0)</f>
        <v>3916481</v>
      </c>
      <c r="H30" s="21" t="n">
        <f aca="false">ROUND(MIN(H21,$C25-SUM($D30:G30)),0)</f>
        <v>0</v>
      </c>
    </row>
    <row r="31" customFormat="false" ht="15" hidden="false" customHeight="false" outlineLevel="0" collapsed="false">
      <c r="A31" s="12" t="s">
        <v>170</v>
      </c>
      <c r="B31" s="13" t="s">
        <v>161</v>
      </c>
      <c r="D31" s="21" t="n">
        <f aca="false">ROUND(SUMPRODUCT($D9:D9/$C16*((D$7-$D$7:D$7)&lt;$C16)),0)</f>
        <v>0</v>
      </c>
      <c r="E31" s="21" t="n">
        <f aca="false">ROUND(SUMPRODUCT($D9:E9/$C16*((E$7-$D$7:E$7)&lt;$C16)),0)</f>
        <v>0</v>
      </c>
      <c r="F31" s="21" t="n">
        <f aca="false">ROUND(SUMPRODUCT($D9:F9/$C16*((F$7-$D$7:F$7)&lt;$C16)),0)</f>
        <v>0</v>
      </c>
      <c r="G31" s="21" t="n">
        <f aca="false">ROUND(SUMPRODUCT($D9:G9/$C16*((G$7-$D$7:G$7)&lt;$C16)),0)</f>
        <v>0</v>
      </c>
      <c r="H31" s="21" t="n">
        <f aca="false">ROUND(SUMPRODUCT($D9:H9/$C16*((H$7-$D$7:H$7)&lt;$C16)),0)</f>
        <v>0</v>
      </c>
    </row>
    <row r="32" customFormat="false" ht="15" hidden="false" customHeight="false" outlineLevel="0" collapsed="false">
      <c r="A32" s="12" t="s">
        <v>171</v>
      </c>
      <c r="B32" s="13" t="s">
        <v>161</v>
      </c>
      <c r="D32" s="21" t="n">
        <f aca="false">ROUND(D30+D31,0)</f>
        <v>19182845</v>
      </c>
      <c r="E32" s="21" t="n">
        <f aca="false">ROUND(E30+E31,0)</f>
        <v>19282845</v>
      </c>
      <c r="F32" s="21" t="n">
        <f aca="false">ROUND(F30+F31,0)</f>
        <v>19282845</v>
      </c>
      <c r="G32" s="21" t="n">
        <f aca="false">ROUND(G30+G31,0)</f>
        <v>3916481</v>
      </c>
      <c r="H32" s="21" t="n">
        <f aca="false">ROUND(H30+H31,0)</f>
        <v>0</v>
      </c>
    </row>
    <row r="33" customFormat="false" ht="15" hidden="false" customHeight="false" outlineLevel="0" collapsed="false">
      <c r="A33" s="12" t="s">
        <v>172</v>
      </c>
      <c r="B33" s="13" t="s">
        <v>161</v>
      </c>
      <c r="D33" s="21" t="n">
        <f aca="false">ROUND(MIN(D22,$C26),0)</f>
        <v>45537467</v>
      </c>
      <c r="E33" s="21" t="n">
        <f aca="false">ROUND(MIN(E22,$C26-SUM($D33:D33)),0)</f>
        <v>44854932</v>
      </c>
      <c r="F33" s="21" t="n">
        <f aca="false">ROUND(MIN(F22,$C26-SUM($D33:E33)),0)</f>
        <v>44854932</v>
      </c>
      <c r="G33" s="21" t="n">
        <f aca="false">ROUND(MIN(G22,$C26-SUM($D33:F33)),0)</f>
        <v>44854932</v>
      </c>
      <c r="H33" s="21" t="n">
        <f aca="false">ROUND(MIN(H22,$C26-SUM($D33:G33)),0)</f>
        <v>44854932</v>
      </c>
    </row>
    <row r="34" customFormat="false" ht="15" hidden="false" customHeight="false" outlineLevel="0" collapsed="false">
      <c r="A34" s="12" t="s">
        <v>173</v>
      </c>
      <c r="B34" s="13" t="s">
        <v>161</v>
      </c>
      <c r="D34" s="21" t="n">
        <f aca="false">ROUND(SUMPRODUCT($D10:D10/$C17*((D$7-$D$7:D$7)&lt;$C17)),0)</f>
        <v>0</v>
      </c>
      <c r="E34" s="21" t="n">
        <f aca="false">ROUND(SUMPRODUCT($D10:E10/$C17*((E$7-$D$7:E$7)&lt;$C17)),0)</f>
        <v>6000000</v>
      </c>
      <c r="F34" s="21" t="n">
        <f aca="false">ROUND(SUMPRODUCT($D10:F10/$C17*((F$7-$D$7:F$7)&lt;$C17)),0)</f>
        <v>12000000</v>
      </c>
      <c r="G34" s="21" t="n">
        <f aca="false">ROUND(SUMPRODUCT($D10:G10/$C17*((G$7-$D$7:G$7)&lt;$C17)),0)</f>
        <v>18000000</v>
      </c>
      <c r="H34" s="21" t="n">
        <f aca="false">ROUND(SUMPRODUCT($D10:H10/$C17*((H$7-$D$7:H$7)&lt;$C17)),0)</f>
        <v>24000000</v>
      </c>
    </row>
    <row r="35" customFormat="false" ht="15" hidden="false" customHeight="false" outlineLevel="0" collapsed="false">
      <c r="A35" s="12" t="s">
        <v>174</v>
      </c>
      <c r="B35" s="13" t="s">
        <v>161</v>
      </c>
      <c r="D35" s="21" t="n">
        <f aca="false">ROUND(D33+D34,0)</f>
        <v>45537467</v>
      </c>
      <c r="E35" s="21" t="n">
        <f aca="false">ROUND(E33+E34,0)</f>
        <v>50854932</v>
      </c>
      <c r="F35" s="21" t="n">
        <f aca="false">ROUND(F33+F34,0)</f>
        <v>56854932</v>
      </c>
      <c r="G35" s="21" t="n">
        <f aca="false">ROUND(G33+G34,0)</f>
        <v>62854932</v>
      </c>
      <c r="H35" s="21" t="n">
        <f aca="false">ROUND(H33+H34,0)</f>
        <v>68854932</v>
      </c>
    </row>
    <row r="36" customFormat="false" ht="15" hidden="false" customHeight="false" outlineLevel="0" collapsed="false">
      <c r="A36" s="12" t="s">
        <v>175</v>
      </c>
      <c r="B36" s="13" t="s">
        <v>161</v>
      </c>
      <c r="D36" s="21" t="n">
        <f aca="false">ROUND(MIN(D23,$C27),0)</f>
        <v>4934884</v>
      </c>
      <c r="E36" s="21" t="n">
        <f aca="false">ROUND(MIN(E23,$C27-SUM($D36:D36)),0)</f>
        <v>4644173</v>
      </c>
      <c r="F36" s="21" t="n">
        <f aca="false">ROUND(MIN(F23,$C27-SUM($D36:E36)),0)</f>
        <v>0</v>
      </c>
      <c r="G36" s="21" t="n">
        <f aca="false">ROUND(MIN(G23,$C27-SUM($D36:F36)),0)</f>
        <v>0</v>
      </c>
      <c r="H36" s="21" t="n">
        <f aca="false">ROUND(MIN(H23,$C27-SUM($D36:G36)),0)</f>
        <v>0</v>
      </c>
    </row>
    <row r="37" customFormat="false" ht="15" hidden="false" customHeight="false" outlineLevel="0" collapsed="false">
      <c r="A37" s="12" t="s">
        <v>176</v>
      </c>
      <c r="B37" s="13" t="s">
        <v>161</v>
      </c>
      <c r="D37" s="21" t="n">
        <f aca="false">ROUND(SUMPRODUCT($D11:D11/$C18*((D$7-$D$7:D$7)&lt;$C18)),0)</f>
        <v>465000</v>
      </c>
      <c r="E37" s="21" t="n">
        <f aca="false">ROUND(SUMPRODUCT($D11:E11/$C18*((E$7-$D$7:E$7)&lt;$C18)),0)</f>
        <v>2965000</v>
      </c>
      <c r="F37" s="21" t="n">
        <f aca="false">ROUND(SUMPRODUCT($D11:F11/$C18*((F$7-$D$7:F$7)&lt;$C18)),0)</f>
        <v>5000000</v>
      </c>
      <c r="G37" s="21" t="n">
        <f aca="false">ROUND(SUMPRODUCT($D11:G11/$C18*((G$7-$D$7:G$7)&lt;$C18)),0)</f>
        <v>5000000</v>
      </c>
      <c r="H37" s="21" t="n">
        <f aca="false">ROUND(SUMPRODUCT($D11:H11/$C18*((H$7-$D$7:H$7)&lt;$C18)),0)</f>
        <v>5000000</v>
      </c>
    </row>
    <row r="38" customFormat="false" ht="15" hidden="false" customHeight="false" outlineLevel="0" collapsed="false">
      <c r="A38" s="12" t="s">
        <v>177</v>
      </c>
      <c r="B38" s="13" t="s">
        <v>161</v>
      </c>
      <c r="D38" s="21" t="n">
        <f aca="false">ROUND(D36+D37,0)</f>
        <v>5399884</v>
      </c>
      <c r="E38" s="21" t="n">
        <f aca="false">ROUND(E36+E37,0)</f>
        <v>7609173</v>
      </c>
      <c r="F38" s="21" t="n">
        <f aca="false">ROUND(F36+F37,0)</f>
        <v>5000000</v>
      </c>
      <c r="G38" s="21" t="n">
        <f aca="false">ROUND(G36+G37,0)</f>
        <v>5000000</v>
      </c>
      <c r="H38" s="21" t="n">
        <f aca="false">ROUND(H36+H37,0)</f>
        <v>5000000</v>
      </c>
    </row>
    <row r="39" customFormat="false" ht="15" hidden="false" customHeight="false" outlineLevel="0" collapsed="false">
      <c r="A39" s="12" t="s">
        <v>178</v>
      </c>
      <c r="B39" s="13" t="s">
        <v>161</v>
      </c>
      <c r="D39" s="21" t="n">
        <f aca="false">ROUND(MIN(D24,$C28),0)</f>
        <v>10760638</v>
      </c>
      <c r="E39" s="21" t="n">
        <f aca="false">ROUND(MIN(E24,$C28-SUM($D39:D39)),0)</f>
        <v>10760638</v>
      </c>
      <c r="F39" s="21" t="n">
        <f aca="false">ROUND(MIN(F24,$C28-SUM($D39:E39)),0)</f>
        <v>10760638</v>
      </c>
      <c r="G39" s="21" t="n">
        <f aca="false">ROUND(MIN(G24,$C28-SUM($D39:F39)),0)</f>
        <v>10760638</v>
      </c>
      <c r="H39" s="21" t="n">
        <f aca="false">ROUND(MIN(H24,$C28-SUM($D39:G39)),0)</f>
        <v>10760638</v>
      </c>
    </row>
    <row r="40" customFormat="false" ht="15" hidden="false" customHeight="false" outlineLevel="0" collapsed="false">
      <c r="A40" s="12" t="s">
        <v>179</v>
      </c>
      <c r="B40" s="13" t="s">
        <v>161</v>
      </c>
      <c r="D40" s="21" t="n">
        <f aca="false">ROUND(SUMPRODUCT($D12:D12/$C19*((D$7-$D$7:D$7)&lt;$C19)),0)</f>
        <v>5197740</v>
      </c>
      <c r="E40" s="21" t="n">
        <f aca="false">ROUND(SUMPRODUCT($D12:E12/$C19*((E$7-$D$7:E$7)&lt;$C19)),0)</f>
        <v>5197740</v>
      </c>
      <c r="F40" s="21" t="n">
        <f aca="false">ROUND(SUMPRODUCT($D12:F12/$C19*((F$7-$D$7:F$7)&lt;$C19)),0)</f>
        <v>5197740</v>
      </c>
      <c r="G40" s="21" t="n">
        <f aca="false">ROUND(SUMPRODUCT($D12:G12/$C19*((G$7-$D$7:G$7)&lt;$C19)),0)</f>
        <v>13333333</v>
      </c>
      <c r="H40" s="21" t="n">
        <f aca="false">ROUND(SUMPRODUCT($D12:H12/$C19*((H$7-$D$7:H$7)&lt;$C19)),0)</f>
        <v>13333333</v>
      </c>
    </row>
    <row r="41" customFormat="false" ht="15" hidden="false" customHeight="false" outlineLevel="0" collapsed="false">
      <c r="A41" s="12" t="s">
        <v>180</v>
      </c>
      <c r="B41" s="13" t="s">
        <v>161</v>
      </c>
      <c r="D41" s="21" t="n">
        <f aca="false">ROUND(D39+D40,0)</f>
        <v>15958378</v>
      </c>
      <c r="E41" s="21" t="n">
        <f aca="false">ROUND(E39+E40,0)</f>
        <v>15958378</v>
      </c>
      <c r="F41" s="21" t="n">
        <f aca="false">ROUND(F39+F40,0)</f>
        <v>15958378</v>
      </c>
      <c r="G41" s="21" t="n">
        <f aca="false">ROUND(G39+G40,0)</f>
        <v>24093971</v>
      </c>
      <c r="H41" s="21" t="n">
        <f aca="false">ROUND(H39+H40,0)</f>
        <v>24093971</v>
      </c>
    </row>
    <row r="42" customFormat="false" ht="15" hidden="false" customHeight="false" outlineLevel="0" collapsed="false">
      <c r="A42" s="4" t="s">
        <v>181</v>
      </c>
      <c r="B42" s="13"/>
      <c r="C42" s="24" t="n">
        <f aca="false">ROUND(C9+C10+C11+C12,0)</f>
        <v>364938869</v>
      </c>
      <c r="D42" s="24" t="n">
        <f aca="false">ROUND(D9+D10+D11+D12,0)</f>
        <v>16523220</v>
      </c>
      <c r="E42" s="24" t="n">
        <f aca="false">ROUND(E9+E10+E11+E12,0)</f>
        <v>35000000</v>
      </c>
      <c r="F42" s="24" t="n">
        <f aca="false">ROUND(F9+F10+F11+F12,0)</f>
        <v>35000000</v>
      </c>
      <c r="G42" s="24" t="n">
        <f aca="false">ROUND(G9+G10+G11+G12,0)</f>
        <v>75000000</v>
      </c>
      <c r="H42" s="24" t="n">
        <f aca="false">ROUND(H9+H10+H11+H12,0)</f>
        <v>35000000</v>
      </c>
    </row>
    <row r="43" customFormat="false" ht="15" hidden="false" customHeight="false" outlineLevel="0" collapsed="false">
      <c r="A43" s="4" t="s">
        <v>182</v>
      </c>
      <c r="B43" s="13" t="s">
        <v>161</v>
      </c>
      <c r="C43" s="25" t="n">
        <f aca="false">ROUND(SUMIFS('BALANCE 2024'!$H:$H,'BALANCE 2024'!$A:$A,"&gt;=681000",'BALANCE 2024'!$A:$A,"&lt;682000"),0)</f>
        <v>79833299</v>
      </c>
      <c r="D43" s="24" t="n">
        <f aca="false">ROUND(D32+D35+D38+D41,0)</f>
        <v>86078574</v>
      </c>
      <c r="E43" s="24" t="n">
        <f aca="false">ROUND(E32+E35+E38+E41,0)</f>
        <v>93705328</v>
      </c>
      <c r="F43" s="24" t="n">
        <f aca="false">ROUND(F32+F35+F38+F41,0)</f>
        <v>97096155</v>
      </c>
      <c r="G43" s="24" t="n">
        <f aca="false">ROUND(G32+G35+G38+G41,0)</f>
        <v>95865384</v>
      </c>
      <c r="H43" s="24" t="n">
        <f aca="false">ROUND(H32+H35+H38+H41,0)</f>
        <v>97948903</v>
      </c>
    </row>
    <row r="44" customFormat="false" ht="15" hidden="false" customHeight="false" outlineLevel="0" collapsed="false">
      <c r="A44" s="12" t="s">
        <v>183</v>
      </c>
      <c r="B44" s="13" t="s">
        <v>184</v>
      </c>
      <c r="C44" s="15" t="n">
        <f aca="false">ROUND(SUMIFS('BALANCE 2024'!$H:$H,'BALANCE 2024'!$C:$C,"AJ")+SUMIFS('BALANCE 2024'!$H:$H,'BALANCE 2024'!$C:$C,"AK")+SUMIFS('BALANCE 2024'!$H:$H,'BALANCE 2024'!$C:$C,"AL")+SUMIFS('BALANCE 2024'!$H:$H,'BALANCE 2024'!$C:$C,"AM")+SUMIFS('BALANCE 2024'!$H:$H,'BALANCE 2024'!$C:$C,"AN"),0)</f>
        <v>876398854</v>
      </c>
      <c r="D44" s="21" t="n">
        <f aca="false">ROUND(C44+D42,0)</f>
        <v>892922074</v>
      </c>
      <c r="E44" s="21" t="n">
        <f aca="false">ROUND(D44+E42,0)</f>
        <v>927922074</v>
      </c>
      <c r="F44" s="21" t="n">
        <f aca="false">ROUND(E44+F42,0)</f>
        <v>962922074</v>
      </c>
      <c r="G44" s="21" t="n">
        <f aca="false">ROUND(F44+G42,0)</f>
        <v>1037922074</v>
      </c>
      <c r="H44" s="21" t="n">
        <f aca="false">ROUND(G44+H42,0)</f>
        <v>1072922074</v>
      </c>
    </row>
    <row r="45" customFormat="false" ht="15" hidden="false" customHeight="false" outlineLevel="0" collapsed="false">
      <c r="A45" s="12" t="s">
        <v>185</v>
      </c>
      <c r="B45" s="13" t="s">
        <v>186</v>
      </c>
      <c r="C45" s="15" t="n">
        <f aca="false">ROUND(SUMIFS('BALANCE 2024'!$I:$I,'BALANCE 2024'!$C:$C,"AJ")+SUMIFS('BALANCE 2024'!$I:$I,'BALANCE 2024'!$C:$C,"AK")+SUMIFS('BALANCE 2024'!$I:$I,'BALANCE 2024'!$C:$C,"AL")+SUMIFS('BALANCE 2024'!$I:$I,'BALANCE 2024'!$C:$C,"AM")+SUMIFS('BALANCE 2024'!$I:$I,'BALANCE 2024'!$C:$C,"AN"),0)</f>
        <v>473537674</v>
      </c>
      <c r="D45" s="21" t="n">
        <f aca="false">ROUND(C45+D43,0)</f>
        <v>559616248</v>
      </c>
      <c r="E45" s="21" t="n">
        <f aca="false">ROUND(D45+E43,0)</f>
        <v>653321576</v>
      </c>
      <c r="F45" s="21" t="n">
        <f aca="false">ROUND(E45+F43,0)</f>
        <v>750417731</v>
      </c>
      <c r="G45" s="21" t="n">
        <f aca="false">ROUND(F45+G43,0)</f>
        <v>846283115</v>
      </c>
      <c r="H45" s="21" t="n">
        <f aca="false">ROUND(G45+H43,0)</f>
        <v>944232018</v>
      </c>
    </row>
    <row r="46" customFormat="false" ht="15" hidden="false" customHeight="false" outlineLevel="0" collapsed="false">
      <c r="A46" s="4" t="s">
        <v>187</v>
      </c>
      <c r="B46" s="13" t="s">
        <v>188</v>
      </c>
      <c r="C46" s="24" t="n">
        <f aca="false">ROUND(C44-C45,0)</f>
        <v>402861180</v>
      </c>
      <c r="D46" s="24" t="n">
        <f aca="false">ROUND(D44-D45,0)</f>
        <v>333305826</v>
      </c>
      <c r="E46" s="24" t="n">
        <f aca="false">ROUND(E44-E45,0)</f>
        <v>274600498</v>
      </c>
      <c r="F46" s="24" t="n">
        <f aca="false">ROUND(F44-F45,0)</f>
        <v>212504343</v>
      </c>
      <c r="G46" s="24" t="n">
        <f aca="false">ROUND(G44-G45,0)</f>
        <v>191638959</v>
      </c>
      <c r="H46" s="24" t="n">
        <f aca="false">ROUND(H44-H45,0)</f>
        <v>128690056</v>
      </c>
    </row>
    <row r="47" customFormat="false" ht="15" hidden="false" customHeight="false" outlineLevel="0" collapsed="false">
      <c r="A47" s="10" t="s">
        <v>189</v>
      </c>
      <c r="B47" s="11"/>
      <c r="C47" s="11"/>
      <c r="D47" s="11"/>
      <c r="E47" s="11"/>
      <c r="F47" s="11"/>
      <c r="G47" s="11"/>
      <c r="H47" s="11"/>
      <c r="I47" s="11"/>
    </row>
    <row r="48" customFormat="false" ht="15" hidden="false" customHeight="false" outlineLevel="0" collapsed="false">
      <c r="A48" s="12" t="s">
        <v>190</v>
      </c>
      <c r="B48" s="13" t="s">
        <v>191</v>
      </c>
      <c r="D48" s="16" t="n">
        <v>54395682</v>
      </c>
      <c r="E48" s="16" t="n">
        <v>0</v>
      </c>
      <c r="F48" s="16" t="n">
        <v>0</v>
      </c>
      <c r="G48" s="16" t="n">
        <v>0</v>
      </c>
      <c r="H48" s="16" t="n">
        <v>0</v>
      </c>
    </row>
    <row r="49" customFormat="false" ht="15" hidden="false" customHeight="false" outlineLevel="0" collapsed="false">
      <c r="A49" s="12" t="s">
        <v>192</v>
      </c>
      <c r="B49" s="13" t="s">
        <v>191</v>
      </c>
      <c r="D49" s="16" t="n">
        <v>94054514</v>
      </c>
      <c r="E49" s="16" t="n">
        <v>0</v>
      </c>
      <c r="F49" s="16" t="n">
        <v>0</v>
      </c>
      <c r="G49" s="16" t="n">
        <v>0</v>
      </c>
      <c r="H49" s="16" t="n">
        <v>0</v>
      </c>
      <c r="I49" s="7" t="s">
        <v>193</v>
      </c>
    </row>
    <row r="50" customFormat="false" ht="15" hidden="false" customHeight="false" outlineLevel="0" collapsed="false">
      <c r="A50" s="12" t="s">
        <v>194</v>
      </c>
      <c r="B50" s="13" t="s">
        <v>195</v>
      </c>
      <c r="D50" s="16" t="n">
        <v>10619694</v>
      </c>
      <c r="E50" s="16" t="n">
        <v>0</v>
      </c>
      <c r="F50" s="16" t="n">
        <v>0</v>
      </c>
      <c r="G50" s="16" t="n">
        <v>0</v>
      </c>
      <c r="H50" s="16" t="n">
        <v>0</v>
      </c>
      <c r="I50" s="7" t="s">
        <v>196</v>
      </c>
    </row>
    <row r="51" customFormat="false" ht="15" hidden="false" customHeight="false" outlineLevel="0" collapsed="false">
      <c r="A51" s="12" t="s">
        <v>197</v>
      </c>
      <c r="B51" s="13" t="s">
        <v>12</v>
      </c>
      <c r="D51" s="14" t="n">
        <v>0.06</v>
      </c>
      <c r="E51" s="14" t="n">
        <v>0.08</v>
      </c>
      <c r="F51" s="14" t="n">
        <v>0.08</v>
      </c>
      <c r="G51" s="14" t="n">
        <v>0.08</v>
      </c>
      <c r="H51" s="14" t="n">
        <v>0.08</v>
      </c>
      <c r="I51" s="7" t="s">
        <v>198</v>
      </c>
    </row>
    <row r="52" customFormat="false" ht="15" hidden="false" customHeight="false" outlineLevel="0" collapsed="false">
      <c r="A52" s="12" t="s">
        <v>199</v>
      </c>
      <c r="B52" s="13" t="s">
        <v>200</v>
      </c>
      <c r="D52" s="16" t="n">
        <v>0</v>
      </c>
      <c r="E52" s="16" t="n">
        <v>0</v>
      </c>
      <c r="F52" s="16" t="n">
        <v>0</v>
      </c>
      <c r="G52" s="16" t="n">
        <v>0</v>
      </c>
      <c r="H52" s="16" t="n">
        <v>0</v>
      </c>
    </row>
    <row r="53" customFormat="false" ht="15" hidden="false" customHeight="false" outlineLevel="0" collapsed="false">
      <c r="A53" s="12" t="s">
        <v>201</v>
      </c>
      <c r="B53" s="13" t="s">
        <v>202</v>
      </c>
      <c r="D53" s="14" t="n">
        <v>1</v>
      </c>
      <c r="E53" s="14" t="n">
        <v>0</v>
      </c>
      <c r="F53" s="14" t="n">
        <v>0</v>
      </c>
      <c r="G53" s="14" t="n">
        <v>0</v>
      </c>
      <c r="H53" s="14" t="n">
        <v>0</v>
      </c>
      <c r="I53" s="7" t="s">
        <v>203</v>
      </c>
    </row>
    <row r="54" customFormat="false" ht="15" hidden="false" customHeight="false" outlineLevel="0" collapsed="false">
      <c r="A54" s="12" t="s">
        <v>204</v>
      </c>
      <c r="B54" s="13" t="s">
        <v>202</v>
      </c>
      <c r="D54" s="16" t="n">
        <v>0</v>
      </c>
      <c r="E54" s="16" t="n">
        <v>0</v>
      </c>
      <c r="F54" s="16" t="n">
        <v>0</v>
      </c>
      <c r="G54" s="16" t="n">
        <v>0</v>
      </c>
      <c r="H54" s="16" t="n">
        <v>0</v>
      </c>
    </row>
    <row r="55" customFormat="false" ht="15" hidden="false" customHeight="false" outlineLevel="0" collapsed="false">
      <c r="A55" s="12" t="s">
        <v>205</v>
      </c>
      <c r="B55" s="13" t="s">
        <v>202</v>
      </c>
      <c r="C55" s="15" t="n">
        <f aca="false">ROUND(SUMIFS('BALANCE 2024'!$I:$I,'BALANCE 2024'!$A:$A,462100)-SUMIFS('BALANCE 2024'!$H:$H,'BALANCE 2024'!$A:$A,462100),0)</f>
        <v>3700000</v>
      </c>
      <c r="D55" s="21" t="n">
        <f aca="false">ROUND($C55*MAX(0,1-SUM($D53:D53))+SUM($D54:D54),0)</f>
        <v>0</v>
      </c>
      <c r="E55" s="21" t="n">
        <f aca="false">ROUND($C55*MAX(0,1-SUM($D53:E53))+SUM($D54:E54),0)</f>
        <v>0</v>
      </c>
      <c r="F55" s="21" t="n">
        <f aca="false">ROUND($C55*MAX(0,1-SUM($D53:F53))+SUM($D54:F54),0)</f>
        <v>0</v>
      </c>
      <c r="G55" s="21" t="n">
        <f aca="false">ROUND($C55*MAX(0,1-SUM($D53:G53))+SUM($D54:G54),0)</f>
        <v>0</v>
      </c>
      <c r="H55" s="21" t="n">
        <f aca="false">ROUND($C55*MAX(0,1-SUM($D53:H53))+SUM($D54:H54),0)</f>
        <v>0</v>
      </c>
    </row>
    <row r="56" customFormat="false" ht="15" hidden="false" customHeight="false" outlineLevel="0" collapsed="false">
      <c r="A56" s="12" t="s">
        <v>206</v>
      </c>
      <c r="B56" s="13" t="s">
        <v>12</v>
      </c>
      <c r="D56" s="14" t="n">
        <v>0</v>
      </c>
      <c r="E56" s="14" t="n">
        <v>0</v>
      </c>
      <c r="F56" s="14" t="n">
        <v>0</v>
      </c>
      <c r="G56" s="14" t="n">
        <v>0</v>
      </c>
      <c r="H56" s="14" t="n">
        <v>0</v>
      </c>
      <c r="I56" s="7" t="s">
        <v>207</v>
      </c>
    </row>
    <row r="57" customFormat="false" ht="15" hidden="false" customHeight="false" outlineLevel="0" collapsed="false">
      <c r="A57" s="10" t="s">
        <v>208</v>
      </c>
      <c r="B57" s="11"/>
      <c r="C57" s="11"/>
      <c r="D57" s="11"/>
      <c r="E57" s="11"/>
      <c r="F57" s="11"/>
      <c r="G57" s="11"/>
      <c r="H57" s="11"/>
      <c r="I57" s="11"/>
    </row>
    <row r="58" customFormat="false" ht="15" hidden="false" customHeight="false" outlineLevel="0" collapsed="false">
      <c r="A58" s="12" t="s">
        <v>209</v>
      </c>
      <c r="B58" s="13" t="s">
        <v>191</v>
      </c>
      <c r="D58" s="21" t="n">
        <f aca="false">ROUND('BALANCE 2024'!I17,0)</f>
        <v>39658832</v>
      </c>
      <c r="E58" s="21" t="n">
        <f aca="false">ROUND('BALANCE 2025'!I17,0)</f>
        <v>0</v>
      </c>
      <c r="F58" s="21" t="n">
        <f aca="false">ROUND('BALANCE 2026'!I17,0)</f>
        <v>0</v>
      </c>
      <c r="G58" s="21" t="n">
        <f aca="false">ROUND('BALANCE 2027'!I17,0)</f>
        <v>0</v>
      </c>
      <c r="H58" s="21" t="n">
        <f aca="false">ROUND('BALANCE 2028'!I17,0)</f>
        <v>0</v>
      </c>
    </row>
    <row r="59" customFormat="false" ht="15" hidden="false" customHeight="false" outlineLevel="0" collapsed="false">
      <c r="A59" s="12" t="s">
        <v>210</v>
      </c>
      <c r="B59" s="13" t="s">
        <v>191</v>
      </c>
      <c r="D59" s="21" t="n">
        <f aca="false">ROUND(D48,0)</f>
        <v>54395682</v>
      </c>
      <c r="E59" s="21" t="n">
        <f aca="false">ROUND(E48,0)</f>
        <v>0</v>
      </c>
      <c r="F59" s="21" t="n">
        <f aca="false">ROUND(F48,0)</f>
        <v>0</v>
      </c>
      <c r="G59" s="21" t="n">
        <f aca="false">ROUND(G48,0)</f>
        <v>0</v>
      </c>
      <c r="H59" s="21" t="n">
        <f aca="false">ROUND(H48,0)</f>
        <v>0</v>
      </c>
    </row>
    <row r="60" customFormat="false" ht="15" hidden="false" customHeight="false" outlineLevel="0" collapsed="false">
      <c r="A60" s="12" t="s">
        <v>211</v>
      </c>
      <c r="B60" s="13" t="s">
        <v>191</v>
      </c>
      <c r="D60" s="21" t="n">
        <f aca="false">ROUND(-D49,0)</f>
        <v>-94054514</v>
      </c>
      <c r="E60" s="21" t="n">
        <f aca="false">ROUND(-E49,0)</f>
        <v>-0</v>
      </c>
      <c r="F60" s="21" t="n">
        <f aca="false">ROUND(-F49,0)</f>
        <v>-0</v>
      </c>
      <c r="G60" s="21" t="n">
        <f aca="false">ROUND(-G49,0)</f>
        <v>-0</v>
      </c>
      <c r="H60" s="21" t="n">
        <f aca="false">ROUND(-H49,0)</f>
        <v>-0</v>
      </c>
    </row>
    <row r="61" customFormat="false" ht="15" hidden="false" customHeight="false" outlineLevel="0" collapsed="false">
      <c r="A61" s="4" t="s">
        <v>212</v>
      </c>
      <c r="B61" s="13" t="s">
        <v>213</v>
      </c>
      <c r="C61" s="25" t="n">
        <f aca="false">ROUND(SUMIFS('BALANCE 2024'!$I:$I,'BALANCE 2024'!$C:$C,"DA"),0)</f>
        <v>39658832</v>
      </c>
      <c r="D61" s="24" t="n">
        <f aca="false">ROUND(D58+D59+D60,0)</f>
        <v>0</v>
      </c>
      <c r="E61" s="24" t="n">
        <f aca="false">ROUND(E58+E59+E60,0)</f>
        <v>0</v>
      </c>
      <c r="F61" s="24" t="n">
        <f aca="false">ROUND(F58+F59+F60,0)</f>
        <v>0</v>
      </c>
      <c r="G61" s="24" t="n">
        <f aca="false">ROUND(G58+G59+G60,0)</f>
        <v>0</v>
      </c>
      <c r="H61" s="24" t="n">
        <f aca="false">ROUND(H58+H59+H60,0)</f>
        <v>0</v>
      </c>
    </row>
    <row r="62" customFormat="false" ht="15" hidden="false" customHeight="false" outlineLevel="0" collapsed="false">
      <c r="A62" s="12" t="s">
        <v>214</v>
      </c>
      <c r="B62" s="13" t="s">
        <v>195</v>
      </c>
      <c r="D62" s="21" t="n">
        <f aca="false">ROUND('BALANCE 2024'!I18,0)</f>
        <v>10619694</v>
      </c>
      <c r="E62" s="21" t="n">
        <f aca="false">ROUND('BALANCE 2025'!I18,0)</f>
        <v>0</v>
      </c>
      <c r="F62" s="21" t="n">
        <f aca="false">ROUND('BALANCE 2026'!I18,0)</f>
        <v>0</v>
      </c>
      <c r="G62" s="21" t="n">
        <f aca="false">ROUND('BALANCE 2027'!I18,0)</f>
        <v>0</v>
      </c>
      <c r="H62" s="21" t="n">
        <f aca="false">ROUND('BALANCE 2028'!I18,0)</f>
        <v>0</v>
      </c>
    </row>
    <row r="63" customFormat="false" ht="15" hidden="false" customHeight="false" outlineLevel="0" collapsed="false">
      <c r="A63" s="12" t="s">
        <v>211</v>
      </c>
      <c r="B63" s="13" t="s">
        <v>195</v>
      </c>
      <c r="D63" s="21" t="n">
        <f aca="false">ROUND(-D50,0)</f>
        <v>-10619694</v>
      </c>
      <c r="E63" s="21" t="n">
        <f aca="false">ROUND(-E50,0)</f>
        <v>-0</v>
      </c>
      <c r="F63" s="21" t="n">
        <f aca="false">ROUND(-F50,0)</f>
        <v>-0</v>
      </c>
      <c r="G63" s="21" t="n">
        <f aca="false">ROUND(-G50,0)</f>
        <v>-0</v>
      </c>
      <c r="H63" s="21" t="n">
        <f aca="false">ROUND(-H50,0)</f>
        <v>-0</v>
      </c>
    </row>
    <row r="64" customFormat="false" ht="15" hidden="false" customHeight="false" outlineLevel="0" collapsed="false">
      <c r="A64" s="4" t="s">
        <v>215</v>
      </c>
      <c r="B64" s="13" t="s">
        <v>216</v>
      </c>
      <c r="C64" s="25" t="n">
        <f aca="false">ROUND(SUMIFS('BALANCE 2024'!$I:$I,'BALANCE 2024'!$C:$C,"DB"),0)</f>
        <v>10619694</v>
      </c>
      <c r="D64" s="24" t="n">
        <f aca="false">ROUND(D62+D63,0)</f>
        <v>0</v>
      </c>
      <c r="E64" s="24" t="n">
        <f aca="false">ROUND(E62+E63,0)</f>
        <v>0</v>
      </c>
      <c r="F64" s="24" t="n">
        <f aca="false">ROUND(F62+F63,0)</f>
        <v>0</v>
      </c>
      <c r="G64" s="24" t="n">
        <f aca="false">ROUND(G62+G63,0)</f>
        <v>0</v>
      </c>
      <c r="H64" s="24" t="n">
        <f aca="false">ROUND(H62+H63,0)</f>
        <v>0</v>
      </c>
    </row>
    <row r="65" customFormat="false" ht="15" hidden="false" customHeight="false" outlineLevel="0" collapsed="false">
      <c r="A65" s="12" t="s">
        <v>217</v>
      </c>
      <c r="B65" s="13" t="s">
        <v>218</v>
      </c>
      <c r="C65" s="15" t="n">
        <f aca="false">ROUND(SUMIFS('BALANCE 2024'!$H:$H,'BALANCE 2024'!$A:$A,"&gt;=671000",'BALANCE 2024'!$A:$A,"&lt;672000"),0)</f>
        <v>4142819</v>
      </c>
      <c r="D65" s="21" t="n">
        <f aca="false">ROUND(D51*'BALANCE 2024'!I17,0)</f>
        <v>2379530</v>
      </c>
      <c r="E65" s="21" t="n">
        <f aca="false">ROUND(E51*'BALANCE 2025'!I17,0)</f>
        <v>0</v>
      </c>
      <c r="F65" s="21" t="n">
        <f aca="false">ROUND(F51*'BALANCE 2026'!I17,0)</f>
        <v>0</v>
      </c>
      <c r="G65" s="21" t="n">
        <f aca="false">ROUND(G51*'BALANCE 2027'!I17,0)</f>
        <v>0</v>
      </c>
      <c r="H65" s="21" t="n">
        <f aca="false">ROUND(H51*'BALANCE 2028'!I17,0)</f>
        <v>0</v>
      </c>
    </row>
    <row r="66" customFormat="false" ht="15" hidden="false" customHeight="false" outlineLevel="0" collapsed="false">
      <c r="A66" s="12" t="s">
        <v>219</v>
      </c>
      <c r="B66" s="13" t="s">
        <v>220</v>
      </c>
      <c r="C66" s="15" t="n">
        <f aca="false">ROUND(SUMIFS('BALANCE 2024'!$H:$H,'BALANCE 2024'!$A:$A,"&gt;=672000",'BALANCE 2024'!$A:$A,"&lt;673000"),0)</f>
        <v>3965478</v>
      </c>
      <c r="D66" s="21" t="n">
        <f aca="false">ROUND(D51*'BALANCE 2024'!I18,0)</f>
        <v>637182</v>
      </c>
      <c r="E66" s="21" t="n">
        <f aca="false">ROUND(E51*'BALANCE 2025'!I18,0)</f>
        <v>0</v>
      </c>
      <c r="F66" s="21" t="n">
        <f aca="false">ROUND(F51*'BALANCE 2026'!I18,0)</f>
        <v>0</v>
      </c>
      <c r="G66" s="21" t="n">
        <f aca="false">ROUND(G51*'BALANCE 2027'!I18,0)</f>
        <v>0</v>
      </c>
      <c r="H66" s="21" t="n">
        <f aca="false">ROUND(H51*'BALANCE 2028'!I18,0)</f>
        <v>0</v>
      </c>
    </row>
    <row r="67" customFormat="false" ht="15" hidden="false" customHeight="false" outlineLevel="0" collapsed="false">
      <c r="A67" s="4" t="s">
        <v>221</v>
      </c>
      <c r="B67" s="13"/>
      <c r="D67" s="24" t="n">
        <f aca="false">ROUND(D49+D50+D65+D66,0)</f>
        <v>107690920</v>
      </c>
      <c r="E67" s="24" t="n">
        <f aca="false">ROUND(E49+E50+E65+E66,0)</f>
        <v>0</v>
      </c>
      <c r="F67" s="24" t="n">
        <f aca="false">ROUND(F49+F50+F65+F66,0)</f>
        <v>0</v>
      </c>
      <c r="G67" s="24" t="n">
        <f aca="false">ROUND(G49+G50+G65+G66,0)</f>
        <v>0</v>
      </c>
      <c r="H67" s="24" t="n">
        <f aca="false">ROUND(H49+H50+H65+H66,0)</f>
        <v>0</v>
      </c>
    </row>
    <row r="68" customFormat="false" ht="15" hidden="false" customHeight="false" outlineLevel="0" collapsed="false">
      <c r="A68" s="10" t="s">
        <v>222</v>
      </c>
      <c r="B68" s="11"/>
      <c r="C68" s="11"/>
      <c r="D68" s="11"/>
      <c r="E68" s="11"/>
      <c r="F68" s="11"/>
      <c r="G68" s="11"/>
      <c r="H68" s="11"/>
      <c r="I68" s="11"/>
    </row>
    <row r="69" customFormat="false" ht="15" hidden="false" customHeight="false" outlineLevel="0" collapsed="false">
      <c r="A69" s="12" t="s">
        <v>223</v>
      </c>
      <c r="B69" s="13"/>
      <c r="D69" s="21" t="n">
        <f aca="false">ROUND(D42,0)</f>
        <v>16523220</v>
      </c>
      <c r="E69" s="21" t="n">
        <f aca="false">ROUND(E42,0)</f>
        <v>35000000</v>
      </c>
      <c r="F69" s="21" t="n">
        <f aca="false">ROUND(F42,0)</f>
        <v>35000000</v>
      </c>
      <c r="G69" s="21" t="n">
        <f aca="false">ROUND(G42,0)</f>
        <v>75000000</v>
      </c>
      <c r="H69" s="21" t="n">
        <f aca="false">ROUND(H42,0)</f>
        <v>35000000</v>
      </c>
    </row>
    <row r="70" customFormat="false" ht="15" hidden="false" customHeight="false" outlineLevel="0" collapsed="false">
      <c r="A70" s="12" t="s">
        <v>224</v>
      </c>
      <c r="B70" s="13"/>
      <c r="D70" s="21" t="n">
        <f aca="false">ROUND(D13,0)</f>
        <v>0</v>
      </c>
      <c r="E70" s="21" t="n">
        <f aca="false">ROUND(E13,0)</f>
        <v>0</v>
      </c>
      <c r="F70" s="21" t="n">
        <f aca="false">ROUND(F13,0)</f>
        <v>0</v>
      </c>
      <c r="G70" s="21" t="n">
        <f aca="false">ROUND(G13,0)</f>
        <v>0</v>
      </c>
      <c r="H70" s="21" t="n">
        <f aca="false">ROUND(H13,0)</f>
        <v>0</v>
      </c>
    </row>
    <row r="71" customFormat="false" ht="15" hidden="false" customHeight="false" outlineLevel="0" collapsed="false">
      <c r="A71" s="12" t="s">
        <v>225</v>
      </c>
      <c r="B71" s="13"/>
      <c r="D71" s="21" t="n">
        <f aca="false">ROUND(D49+D50,0)</f>
        <v>104674208</v>
      </c>
      <c r="E71" s="21" t="n">
        <f aca="false">ROUND(E49+E50,0)</f>
        <v>0</v>
      </c>
      <c r="F71" s="21" t="n">
        <f aca="false">ROUND(F49+F50,0)</f>
        <v>0</v>
      </c>
      <c r="G71" s="21" t="n">
        <f aca="false">ROUND(G49+G50,0)</f>
        <v>0</v>
      </c>
      <c r="H71" s="21" t="n">
        <f aca="false">ROUND(H49+H50,0)</f>
        <v>0</v>
      </c>
    </row>
    <row r="72" customFormat="false" ht="15" hidden="false" customHeight="false" outlineLevel="0" collapsed="false">
      <c r="A72" s="12" t="s">
        <v>226</v>
      </c>
      <c r="B72" s="13"/>
      <c r="D72" s="21" t="n">
        <f aca="false">ROUND(HYPOTHESES!D75,0)</f>
        <v>0</v>
      </c>
      <c r="E72" s="21" t="n">
        <f aca="false">ROUND(HYPOTHESES!E75,0)</f>
        <v>0</v>
      </c>
      <c r="F72" s="21" t="n">
        <f aca="false">ROUND(HYPOTHESES!F75,0)</f>
        <v>0</v>
      </c>
      <c r="G72" s="21" t="n">
        <f aca="false">ROUND(HYPOTHESES!G75,0)</f>
        <v>0</v>
      </c>
      <c r="H72" s="21" t="n">
        <f aca="false">ROUND(HYPOTHESES!H75,0)</f>
        <v>0</v>
      </c>
    </row>
    <row r="73" customFormat="false" ht="15" hidden="false" customHeight="false" outlineLevel="0" collapsed="false">
      <c r="A73" s="4" t="s">
        <v>227</v>
      </c>
      <c r="B73" s="13"/>
      <c r="D73" s="24" t="n">
        <f aca="false">ROUND(SUM(D69:D72),0)</f>
        <v>121197428</v>
      </c>
      <c r="E73" s="24" t="n">
        <f aca="false">ROUND(SUM(E69:E72),0)</f>
        <v>35000000</v>
      </c>
      <c r="F73" s="24" t="n">
        <f aca="false">ROUND(SUM(F69:F72),0)</f>
        <v>35000000</v>
      </c>
      <c r="G73" s="24" t="n">
        <f aca="false">ROUND(SUM(G69:G72),0)</f>
        <v>75000000</v>
      </c>
      <c r="H73" s="24" t="n">
        <f aca="false">ROUND(SUM(H69:H72),0)</f>
        <v>35000000</v>
      </c>
    </row>
    <row r="74" customFormat="false" ht="15" hidden="false" customHeight="false" outlineLevel="0" collapsed="false">
      <c r="A74" s="12" t="s">
        <v>228</v>
      </c>
      <c r="B74" s="13" t="s">
        <v>229</v>
      </c>
      <c r="D74" s="21" t="n">
        <f aca="false">ROUND(HYPOTHESES!D73+D43+HYPOTHESES!D65,0)</f>
        <v>185539025</v>
      </c>
      <c r="E74" s="21" t="n">
        <f aca="false">ROUND(HYPOTHESES!E73+E43+HYPOTHESES!E65,0)</f>
        <v>180052002</v>
      </c>
      <c r="F74" s="21" t="n">
        <f aca="false">ROUND(HYPOTHESES!F73+F43+HYPOTHESES!F65,0)</f>
        <v>188217530</v>
      </c>
      <c r="G74" s="21" t="n">
        <f aca="false">ROUND(HYPOTHESES!G73+G43+HYPOTHESES!G65,0)</f>
        <v>196017393</v>
      </c>
      <c r="H74" s="21" t="n">
        <f aca="false">ROUND(HYPOTHESES!H73+H43+HYPOTHESES!H65,0)</f>
        <v>204685159</v>
      </c>
    </row>
    <row r="75" customFormat="false" ht="15" hidden="false" customHeight="false" outlineLevel="0" collapsed="false">
      <c r="A75" s="12" t="s">
        <v>230</v>
      </c>
      <c r="B75" s="13"/>
      <c r="D75" s="21" t="n">
        <f aca="false">ROUND(D52,0)</f>
        <v>0</v>
      </c>
      <c r="E75" s="21" t="n">
        <f aca="false">ROUND(E52,0)</f>
        <v>0</v>
      </c>
      <c r="F75" s="21" t="n">
        <f aca="false">ROUND(F52,0)</f>
        <v>0</v>
      </c>
      <c r="G75" s="21" t="n">
        <f aca="false">ROUND(G52,0)</f>
        <v>0</v>
      </c>
      <c r="H75" s="21" t="n">
        <f aca="false">ROUND(H52,0)</f>
        <v>0</v>
      </c>
    </row>
    <row r="76" customFormat="false" ht="15" hidden="false" customHeight="false" outlineLevel="0" collapsed="false">
      <c r="A76" s="12" t="s">
        <v>231</v>
      </c>
      <c r="B76" s="13"/>
      <c r="D76" s="21" t="n">
        <f aca="false">ROUND(D48,0)</f>
        <v>54395682</v>
      </c>
      <c r="E76" s="21" t="n">
        <f aca="false">ROUND(E48,0)</f>
        <v>0</v>
      </c>
      <c r="F76" s="21" t="n">
        <f aca="false">ROUND(F48,0)</f>
        <v>0</v>
      </c>
      <c r="G76" s="21" t="n">
        <f aca="false">ROUND(G48,0)</f>
        <v>0</v>
      </c>
      <c r="H76" s="21" t="n">
        <f aca="false">ROUND(H48,0)</f>
        <v>0</v>
      </c>
    </row>
    <row r="77" customFormat="false" ht="15" hidden="false" customHeight="false" outlineLevel="0" collapsed="false">
      <c r="A77" s="4" t="s">
        <v>232</v>
      </c>
      <c r="B77" s="13"/>
      <c r="D77" s="24" t="n">
        <f aca="false">ROUND(SUM(D74:D76),0)</f>
        <v>239934707</v>
      </c>
      <c r="E77" s="24" t="n">
        <f aca="false">ROUND(SUM(E74:E76),0)</f>
        <v>180052002</v>
      </c>
      <c r="F77" s="24" t="n">
        <f aca="false">ROUND(SUM(F74:F76),0)</f>
        <v>188217530</v>
      </c>
      <c r="G77" s="24" t="n">
        <f aca="false">ROUND(SUM(G74:G76),0)</f>
        <v>196017393</v>
      </c>
      <c r="H77" s="24" t="n">
        <f aca="false">ROUND(SUM(H74:H76),0)</f>
        <v>204685159</v>
      </c>
    </row>
    <row r="78" customFormat="false" ht="15" hidden="false" customHeight="false" outlineLevel="0" collapsed="false">
      <c r="A78" s="4" t="s">
        <v>233</v>
      </c>
      <c r="B78" s="13"/>
      <c r="D78" s="24" t="n">
        <f aca="false">ROUND(D77-D73,0)</f>
        <v>118737279</v>
      </c>
      <c r="E78" s="24" t="n">
        <f aca="false">ROUND(E77-E73,0)</f>
        <v>145052002</v>
      </c>
      <c r="F78" s="24" t="n">
        <f aca="false">ROUND(F77-F73,0)</f>
        <v>153217530</v>
      </c>
      <c r="G78" s="24" t="n">
        <f aca="false">ROUND(G77-G73,0)</f>
        <v>121017393</v>
      </c>
      <c r="H78" s="24" t="n">
        <f aca="false">ROUND(H77-H73,0)</f>
        <v>169685159</v>
      </c>
      <c r="I78" s="7" t="s">
        <v>234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235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236</v>
      </c>
    </row>
    <row r="3" customFormat="false" ht="15" hidden="false" customHeight="false" outlineLevel="0" collapsed="false">
      <c r="A3" s="27"/>
      <c r="B3" s="27"/>
      <c r="C3" s="27"/>
      <c r="D3" s="28" t="s">
        <v>237</v>
      </c>
      <c r="E3" s="28"/>
      <c r="F3" s="28" t="s">
        <v>238</v>
      </c>
      <c r="G3" s="28"/>
      <c r="H3" s="28" t="s">
        <v>239</v>
      </c>
      <c r="I3" s="28"/>
      <c r="J3" s="29" t="s">
        <v>240</v>
      </c>
      <c r="K3" s="29" t="s">
        <v>241</v>
      </c>
      <c r="M3" s="30" t="s">
        <v>242</v>
      </c>
      <c r="N3" s="30"/>
    </row>
    <row r="4" customFormat="false" ht="15" hidden="false" customHeight="false" outlineLevel="0" collapsed="false">
      <c r="A4" s="8" t="s">
        <v>243</v>
      </c>
      <c r="B4" s="8" t="s">
        <v>244</v>
      </c>
      <c r="C4" s="8" t="s">
        <v>245</v>
      </c>
      <c r="D4" s="8" t="s">
        <v>246</v>
      </c>
      <c r="E4" s="8" t="s">
        <v>247</v>
      </c>
      <c r="F4" s="8" t="s">
        <v>246</v>
      </c>
      <c r="G4" s="8" t="s">
        <v>247</v>
      </c>
      <c r="H4" s="8" t="s">
        <v>246</v>
      </c>
      <c r="I4" s="8" t="s">
        <v>247</v>
      </c>
      <c r="J4" s="8" t="s">
        <v>248</v>
      </c>
      <c r="M4" s="31" t="s">
        <v>249</v>
      </c>
    </row>
    <row r="5" customFormat="false" ht="15" hidden="false" customHeight="false" outlineLevel="0" collapsed="false">
      <c r="A5" s="32"/>
      <c r="B5" s="33" t="s">
        <v>250</v>
      </c>
      <c r="C5" s="32"/>
      <c r="D5" s="34" t="n">
        <f aca="false">SUBTOTAL(109,T_BAL_2024[Ouverture Débit])</f>
        <v>1308965390</v>
      </c>
      <c r="E5" s="34" t="n">
        <f aca="false">SUBTOTAL(109,T_BAL_2024[Ouverture Crédit])</f>
        <v>1308965390</v>
      </c>
      <c r="F5" s="34" t="n">
        <f aca="false">SUBTOTAL(109,T_BAL_2024[Mouvements Débit])</f>
        <v>4378495087</v>
      </c>
      <c r="G5" s="34" t="n">
        <f aca="false">SUBTOTAL(109,T_BAL_2024[Mouvements Crédit])</f>
        <v>4378495087</v>
      </c>
      <c r="H5" s="34" t="n">
        <f aca="false">SUBTOTAL(109,T_BAL_2024[Clôture Débit])</f>
        <v>2342400758</v>
      </c>
      <c r="I5" s="34" t="n">
        <f aca="false">SUBTOTAL(109,T_BAL_2024[Clôture Crédit])</f>
        <v>2342400758</v>
      </c>
      <c r="J5" s="34" t="n">
        <f aca="false">SUBTOTAL(109,T_BAL_2024[Contrôle])</f>
        <v>0</v>
      </c>
      <c r="M5" s="31" t="s">
        <v>251</v>
      </c>
    </row>
    <row r="6" customFormat="false" ht="15" hidden="false" customHeight="false" outlineLevel="0" collapsed="false">
      <c r="B6" s="4" t="s">
        <v>252</v>
      </c>
      <c r="D6" s="24" t="n">
        <f aca="false">D5-E5</f>
        <v>0</v>
      </c>
      <c r="F6" s="24" t="n">
        <f aca="false">F5-G5</f>
        <v>0</v>
      </c>
      <c r="H6" s="24" t="n">
        <f aca="false">H5-I5</f>
        <v>0</v>
      </c>
      <c r="M6" s="31" t="s">
        <v>253</v>
      </c>
    </row>
    <row r="7" customFormat="false" ht="15" hidden="false" customHeight="false" outlineLevel="0" collapsed="false">
      <c r="M7" s="31" t="s">
        <v>254</v>
      </c>
    </row>
    <row r="8" customFormat="false" ht="15" hidden="false" customHeight="false" outlineLevel="0" collapsed="false">
      <c r="M8" s="31" t="s">
        <v>255</v>
      </c>
    </row>
    <row r="9" customFormat="false" ht="15" hidden="false" customHeight="false" outlineLevel="0" collapsed="false">
      <c r="M9" s="31" t="s">
        <v>256</v>
      </c>
    </row>
    <row r="10" customFormat="false" ht="15" hidden="false" customHeight="false" outlineLevel="0" collapsed="false">
      <c r="M10" s="31" t="s">
        <v>257</v>
      </c>
    </row>
    <row r="11" customFormat="false" ht="15" hidden="false" customHeight="false" outlineLevel="0" collapsed="false">
      <c r="A11" s="27"/>
      <c r="B11" s="29" t="s">
        <v>258</v>
      </c>
      <c r="C11" s="27"/>
      <c r="D11" s="28" t="s">
        <v>237</v>
      </c>
      <c r="E11" s="28"/>
      <c r="F11" s="28" t="s">
        <v>238</v>
      </c>
      <c r="G11" s="28"/>
      <c r="H11" s="28" t="s">
        <v>239</v>
      </c>
      <c r="I11" s="28"/>
      <c r="J11" s="29" t="s">
        <v>240</v>
      </c>
      <c r="K11" s="29" t="s">
        <v>241</v>
      </c>
      <c r="M11" s="31" t="s">
        <v>259</v>
      </c>
    </row>
    <row r="12" customFormat="false" ht="15" hidden="false" customHeight="false" outlineLevel="0" collapsed="false">
      <c r="A12" s="8" t="s">
        <v>243</v>
      </c>
      <c r="B12" s="8" t="s">
        <v>244</v>
      </c>
      <c r="C12" s="8" t="s">
        <v>245</v>
      </c>
      <c r="D12" s="8" t="s">
        <v>260</v>
      </c>
      <c r="E12" s="8" t="s">
        <v>261</v>
      </c>
      <c r="F12" s="8" t="s">
        <v>262</v>
      </c>
      <c r="G12" s="8" t="s">
        <v>263</v>
      </c>
      <c r="H12" s="8" t="s">
        <v>264</v>
      </c>
      <c r="I12" s="8" t="s">
        <v>265</v>
      </c>
      <c r="J12" s="8" t="s">
        <v>240</v>
      </c>
      <c r="K12" s="8" t="s">
        <v>266</v>
      </c>
      <c r="M12" s="29" t="s">
        <v>267</v>
      </c>
      <c r="N12" s="29" t="s">
        <v>268</v>
      </c>
    </row>
    <row r="13" customFormat="false" ht="15" hidden="false" customHeight="false" outlineLevel="0" collapsed="false">
      <c r="A13" s="35" t="n">
        <v>101000</v>
      </c>
      <c r="B13" s="36" t="s">
        <v>269</v>
      </c>
      <c r="C13" s="37" t="s">
        <v>270</v>
      </c>
      <c r="D13" s="38" t="n">
        <v>0</v>
      </c>
      <c r="E13" s="38" t="n">
        <v>10000000</v>
      </c>
      <c r="F13" s="38" t="n">
        <v>0</v>
      </c>
      <c r="G13" s="38" t="n">
        <v>0</v>
      </c>
      <c r="H13" s="38" t="n">
        <v>0</v>
      </c>
      <c r="I13" s="38" t="n">
        <v>10000000</v>
      </c>
      <c r="J13" s="39" t="n">
        <f aca="false">(D13-E13)+(F13-G13)-(H13-I13)</f>
        <v>0</v>
      </c>
      <c r="K13" s="40" t="n">
        <f aca="false">H13-I13</f>
        <v>-10000000</v>
      </c>
      <c r="M13" s="41" t="s">
        <v>271</v>
      </c>
      <c r="N13" s="31" t="s">
        <v>272</v>
      </c>
    </row>
    <row r="14" customFormat="false" ht="15" hidden="false" customHeight="false" outlineLevel="0" collapsed="false">
      <c r="A14" s="42" t="n">
        <v>111000</v>
      </c>
      <c r="B14" s="12" t="s">
        <v>273</v>
      </c>
      <c r="C14" s="13" t="s">
        <v>274</v>
      </c>
      <c r="D14" s="26" t="n">
        <v>0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1" t="n">
        <f aca="false">(D14-E14)+(F14-G14)-(H14-I14)</f>
        <v>0</v>
      </c>
      <c r="K14" s="43" t="n">
        <f aca="false">H14-I14</f>
        <v>0</v>
      </c>
      <c r="M14" s="41" t="s">
        <v>275</v>
      </c>
      <c r="N14" s="31" t="s">
        <v>276</v>
      </c>
    </row>
    <row r="15" customFormat="false" ht="15" hidden="false" customHeight="false" outlineLevel="0" collapsed="false">
      <c r="A15" s="42" t="n">
        <v>121000</v>
      </c>
      <c r="B15" s="12" t="s">
        <v>277</v>
      </c>
      <c r="C15" s="13" t="s">
        <v>278</v>
      </c>
      <c r="D15" s="26" t="n">
        <v>0</v>
      </c>
      <c r="E15" s="26" t="n">
        <v>654621364</v>
      </c>
      <c r="F15" s="26" t="n">
        <v>0</v>
      </c>
      <c r="G15" s="26" t="n">
        <v>119178487</v>
      </c>
      <c r="H15" s="26" t="n">
        <v>0</v>
      </c>
      <c r="I15" s="26" t="n">
        <v>773799851</v>
      </c>
      <c r="J15" s="21" t="n">
        <f aca="false">(D15-E15)+(F15-G15)-(H15-I15)</f>
        <v>0</v>
      </c>
      <c r="K15" s="43" t="n">
        <f aca="false">H15-I15</f>
        <v>-773799851</v>
      </c>
      <c r="M15" s="41" t="s">
        <v>279</v>
      </c>
      <c r="N15" s="31" t="s">
        <v>280</v>
      </c>
    </row>
    <row r="16" customFormat="false" ht="15" hidden="false" customHeight="false" outlineLevel="0" collapsed="false">
      <c r="A16" s="42" t="n">
        <v>130100</v>
      </c>
      <c r="B16" s="12" t="s">
        <v>281</v>
      </c>
      <c r="C16" s="13" t="s">
        <v>282</v>
      </c>
      <c r="D16" s="26" t="n">
        <v>0</v>
      </c>
      <c r="E16" s="26" t="n">
        <v>119178487</v>
      </c>
      <c r="F16" s="26" t="n">
        <v>119178487</v>
      </c>
      <c r="G16" s="26" t="n">
        <v>0</v>
      </c>
      <c r="H16" s="26" t="n">
        <v>0</v>
      </c>
      <c r="I16" s="26" t="n">
        <v>0</v>
      </c>
      <c r="J16" s="21" t="n">
        <f aca="false">(D16-E16)+(F16-G16)-(H16-I16)</f>
        <v>0</v>
      </c>
      <c r="K16" s="43" t="n">
        <f aca="false">H16-I16</f>
        <v>0</v>
      </c>
      <c r="M16" s="41" t="s">
        <v>283</v>
      </c>
      <c r="N16" s="31" t="s">
        <v>284</v>
      </c>
    </row>
    <row r="17" customFormat="false" ht="15" hidden="false" customHeight="false" outlineLevel="0" collapsed="false">
      <c r="A17" s="42" t="n">
        <v>162002</v>
      </c>
      <c r="B17" s="12" t="s">
        <v>285</v>
      </c>
      <c r="C17" s="13" t="s">
        <v>213</v>
      </c>
      <c r="D17" s="26" t="n">
        <v>0</v>
      </c>
      <c r="E17" s="26" t="n">
        <v>0</v>
      </c>
      <c r="F17" s="26" t="n">
        <v>351341168</v>
      </c>
      <c r="G17" s="26" t="n">
        <v>391000000</v>
      </c>
      <c r="H17" s="26" t="n">
        <v>0</v>
      </c>
      <c r="I17" s="26" t="n">
        <v>39658832</v>
      </c>
      <c r="J17" s="21" t="n">
        <f aca="false">(D17-E17)+(F17-G17)-(H17-I17)</f>
        <v>0</v>
      </c>
      <c r="K17" s="43" t="n">
        <f aca="false">H17-I17</f>
        <v>-39658832</v>
      </c>
      <c r="M17" s="41" t="s">
        <v>286</v>
      </c>
      <c r="N17" s="31" t="s">
        <v>287</v>
      </c>
    </row>
    <row r="18" customFormat="false" ht="15" hidden="false" customHeight="false" outlineLevel="0" collapsed="false">
      <c r="A18" s="42" t="n">
        <v>173060</v>
      </c>
      <c r="B18" s="12" t="s">
        <v>288</v>
      </c>
      <c r="C18" s="13" t="s">
        <v>216</v>
      </c>
      <c r="D18" s="26" t="n">
        <v>0</v>
      </c>
      <c r="E18" s="26" t="n">
        <v>0</v>
      </c>
      <c r="F18" s="26" t="n">
        <v>18000000</v>
      </c>
      <c r="G18" s="26" t="n">
        <v>28619694</v>
      </c>
      <c r="H18" s="26" t="n">
        <v>0</v>
      </c>
      <c r="I18" s="26" t="n">
        <v>10619694</v>
      </c>
      <c r="J18" s="21" t="n">
        <f aca="false">(D18-E18)+(F18-G18)-(H18-I18)</f>
        <v>0</v>
      </c>
      <c r="K18" s="43" t="n">
        <f aca="false">H18-I18</f>
        <v>-10619694</v>
      </c>
      <c r="M18" s="41" t="s">
        <v>289</v>
      </c>
      <c r="N18" s="31" t="s">
        <v>290</v>
      </c>
    </row>
    <row r="19" customFormat="false" ht="15" hidden="false" customHeight="false" outlineLevel="0" collapsed="false">
      <c r="A19" s="42" t="n">
        <v>196100</v>
      </c>
      <c r="B19" s="12" t="s">
        <v>291</v>
      </c>
      <c r="C19" s="13" t="s">
        <v>292</v>
      </c>
      <c r="D19" s="26" t="n">
        <v>0</v>
      </c>
      <c r="E19" s="26" t="n">
        <v>15214600</v>
      </c>
      <c r="F19" s="26" t="n">
        <v>0</v>
      </c>
      <c r="G19" s="26" t="n">
        <v>6059296</v>
      </c>
      <c r="H19" s="26" t="n">
        <v>0</v>
      </c>
      <c r="I19" s="26" t="n">
        <v>21273896</v>
      </c>
      <c r="J19" s="21" t="n">
        <f aca="false">(D19-E19)+(F19-G19)-(H19-I19)</f>
        <v>0</v>
      </c>
      <c r="K19" s="43" t="n">
        <f aca="false">H19-I19</f>
        <v>-21273896</v>
      </c>
      <c r="M19" s="41" t="s">
        <v>293</v>
      </c>
      <c r="N19" s="31" t="s">
        <v>294</v>
      </c>
    </row>
    <row r="20" customFormat="false" ht="15" hidden="false" customHeight="false" outlineLevel="0" collapsed="false">
      <c r="A20" s="35" t="n">
        <v>234100</v>
      </c>
      <c r="B20" s="36" t="s">
        <v>295</v>
      </c>
      <c r="C20" s="37" t="s">
        <v>296</v>
      </c>
      <c r="D20" s="38" t="n">
        <v>103601492</v>
      </c>
      <c r="E20" s="38" t="n">
        <v>0</v>
      </c>
      <c r="F20" s="38" t="n">
        <v>0</v>
      </c>
      <c r="G20" s="38" t="n">
        <v>0</v>
      </c>
      <c r="H20" s="38" t="n">
        <v>103601492</v>
      </c>
      <c r="I20" s="38" t="n">
        <v>0</v>
      </c>
      <c r="J20" s="39" t="n">
        <f aca="false">(D20-E20)+(F20-G20)-(H20-I20)</f>
        <v>0</v>
      </c>
      <c r="K20" s="40" t="n">
        <f aca="false">H20-I20</f>
        <v>103601492</v>
      </c>
      <c r="M20" s="41" t="s">
        <v>297</v>
      </c>
      <c r="N20" s="31" t="s">
        <v>298</v>
      </c>
    </row>
    <row r="21" customFormat="false" ht="15" hidden="false" customHeight="false" outlineLevel="0" collapsed="false">
      <c r="A21" s="42" t="n">
        <v>241100</v>
      </c>
      <c r="B21" s="12" t="s">
        <v>299</v>
      </c>
      <c r="C21" s="13" t="s">
        <v>300</v>
      </c>
      <c r="D21" s="26" t="n">
        <v>19316887</v>
      </c>
      <c r="E21" s="26" t="n">
        <v>0</v>
      </c>
      <c r="F21" s="26" t="n">
        <v>294528381</v>
      </c>
      <c r="G21" s="26" t="n">
        <v>0</v>
      </c>
      <c r="H21" s="26" t="n">
        <v>313845268</v>
      </c>
      <c r="I21" s="26" t="n">
        <v>0</v>
      </c>
      <c r="J21" s="21" t="n">
        <f aca="false">(D21-E21)+(F21-G21)-(H21-I21)</f>
        <v>0</v>
      </c>
      <c r="K21" s="43" t="n">
        <f aca="false">H21-I21</f>
        <v>313845268</v>
      </c>
      <c r="M21" s="41" t="s">
        <v>301</v>
      </c>
      <c r="N21" s="31" t="s">
        <v>302</v>
      </c>
    </row>
    <row r="22" customFormat="false" ht="15" hidden="false" customHeight="false" outlineLevel="0" collapsed="false">
      <c r="A22" s="42" t="n">
        <v>244100</v>
      </c>
      <c r="B22" s="12" t="s">
        <v>303</v>
      </c>
      <c r="C22" s="13" t="s">
        <v>300</v>
      </c>
      <c r="D22" s="26" t="n">
        <v>2050000</v>
      </c>
      <c r="E22" s="26" t="n">
        <v>0</v>
      </c>
      <c r="F22" s="26" t="n">
        <v>7256956</v>
      </c>
      <c r="G22" s="26" t="n">
        <v>0</v>
      </c>
      <c r="H22" s="26" t="n">
        <v>9306956</v>
      </c>
      <c r="I22" s="26" t="n">
        <v>0</v>
      </c>
      <c r="J22" s="21" t="n">
        <f aca="false">(D22-E22)+(F22-G22)-(H22-I22)</f>
        <v>0</v>
      </c>
      <c r="K22" s="43" t="n">
        <f aca="false">H22-I22</f>
        <v>9306956</v>
      </c>
    </row>
    <row r="23" customFormat="false" ht="15" hidden="false" customHeight="false" outlineLevel="0" collapsed="false">
      <c r="A23" s="42" t="n">
        <v>244200</v>
      </c>
      <c r="B23" s="12" t="s">
        <v>304</v>
      </c>
      <c r="C23" s="13" t="s">
        <v>300</v>
      </c>
      <c r="D23" s="26" t="n">
        <v>5723474</v>
      </c>
      <c r="E23" s="26" t="n">
        <v>0</v>
      </c>
      <c r="F23" s="26" t="n">
        <v>7256985</v>
      </c>
      <c r="G23" s="26" t="n">
        <v>0</v>
      </c>
      <c r="H23" s="26" t="n">
        <v>12980459</v>
      </c>
      <c r="I23" s="26" t="n">
        <v>0</v>
      </c>
      <c r="J23" s="21" t="n">
        <f aca="false">(D23-E23)+(F23-G23)-(H23-I23)</f>
        <v>0</v>
      </c>
      <c r="K23" s="43" t="n">
        <f aca="false">H23-I23</f>
        <v>12980459</v>
      </c>
    </row>
    <row r="24" customFormat="false" ht="15" hidden="false" customHeight="false" outlineLevel="0" collapsed="false">
      <c r="A24" s="42" t="n">
        <v>245100</v>
      </c>
      <c r="B24" s="12" t="s">
        <v>305</v>
      </c>
      <c r="C24" s="13" t="s">
        <v>306</v>
      </c>
      <c r="D24" s="26" t="n">
        <v>352148438</v>
      </c>
      <c r="E24" s="26" t="n">
        <v>0</v>
      </c>
      <c r="F24" s="26" t="n">
        <v>55896547</v>
      </c>
      <c r="G24" s="26" t="n">
        <v>0</v>
      </c>
      <c r="H24" s="26" t="n">
        <v>408044985</v>
      </c>
      <c r="I24" s="26" t="n">
        <v>0</v>
      </c>
      <c r="J24" s="21" t="n">
        <f aca="false">(D24-E24)+(F24-G24)-(H24-I24)</f>
        <v>0</v>
      </c>
      <c r="K24" s="43" t="n">
        <f aca="false">H24-I24</f>
        <v>408044985</v>
      </c>
    </row>
    <row r="25" customFormat="false" ht="15" hidden="false" customHeight="false" outlineLevel="0" collapsed="false">
      <c r="A25" s="42" t="n">
        <v>245600</v>
      </c>
      <c r="B25" s="12" t="s">
        <v>307</v>
      </c>
      <c r="C25" s="13" t="s">
        <v>306</v>
      </c>
      <c r="D25" s="26" t="n">
        <v>0</v>
      </c>
      <c r="E25" s="26" t="n">
        <v>0</v>
      </c>
      <c r="F25" s="26" t="n">
        <v>28619694</v>
      </c>
      <c r="G25" s="26" t="n">
        <v>0</v>
      </c>
      <c r="H25" s="26" t="n">
        <v>28619694</v>
      </c>
      <c r="I25" s="26" t="n">
        <v>0</v>
      </c>
      <c r="J25" s="21" t="n">
        <f aca="false">(D25-E25)+(F25-G25)-(H25-I25)</f>
        <v>0</v>
      </c>
      <c r="K25" s="43" t="n">
        <f aca="false">H25-I25</f>
        <v>28619694</v>
      </c>
    </row>
    <row r="26" customFormat="false" ht="15" hidden="false" customHeight="false" outlineLevel="0" collapsed="false">
      <c r="A26" s="42" t="n">
        <v>271800</v>
      </c>
      <c r="B26" s="12" t="s">
        <v>308</v>
      </c>
      <c r="C26" s="13" t="s">
        <v>309</v>
      </c>
      <c r="D26" s="26" t="n">
        <v>0</v>
      </c>
      <c r="E26" s="26" t="n">
        <v>0</v>
      </c>
      <c r="F26" s="26" t="n">
        <v>25000000</v>
      </c>
      <c r="G26" s="26" t="n">
        <v>0</v>
      </c>
      <c r="H26" s="26" t="n">
        <v>25000000</v>
      </c>
      <c r="I26" s="26" t="n">
        <v>0</v>
      </c>
      <c r="J26" s="21" t="n">
        <f aca="false">(D26-E26)+(F26-G26)-(H26-I26)</f>
        <v>0</v>
      </c>
      <c r="K26" s="43" t="n">
        <f aca="false">H26-I26</f>
        <v>25000000</v>
      </c>
    </row>
    <row r="27" customFormat="false" ht="15" hidden="false" customHeight="false" outlineLevel="0" collapsed="false">
      <c r="A27" s="42" t="n">
        <v>275100</v>
      </c>
      <c r="B27" s="12" t="s">
        <v>310</v>
      </c>
      <c r="C27" s="13" t="s">
        <v>309</v>
      </c>
      <c r="D27" s="26" t="n">
        <v>10150000</v>
      </c>
      <c r="E27" s="26" t="n">
        <v>0</v>
      </c>
      <c r="F27" s="26" t="n">
        <v>221270138</v>
      </c>
      <c r="G27" s="26" t="n">
        <v>0</v>
      </c>
      <c r="H27" s="26" t="n">
        <v>231420138</v>
      </c>
      <c r="I27" s="26" t="n">
        <v>0</v>
      </c>
      <c r="J27" s="21" t="n">
        <f aca="false">(D27-E27)+(F27-G27)-(H27-I27)</f>
        <v>0</v>
      </c>
      <c r="K27" s="43" t="n">
        <f aca="false">H27-I27</f>
        <v>231420138</v>
      </c>
    </row>
    <row r="28" customFormat="false" ht="15" hidden="false" customHeight="false" outlineLevel="0" collapsed="false">
      <c r="A28" s="42" t="n">
        <v>283400</v>
      </c>
      <c r="B28" s="12" t="s">
        <v>311</v>
      </c>
      <c r="C28" s="13" t="s">
        <v>296</v>
      </c>
      <c r="D28" s="26" t="n">
        <v>0</v>
      </c>
      <c r="E28" s="26" t="n">
        <v>22653631</v>
      </c>
      <c r="F28" s="26" t="n">
        <v>0</v>
      </c>
      <c r="G28" s="26" t="n">
        <v>19282845</v>
      </c>
      <c r="H28" s="26" t="n">
        <v>0</v>
      </c>
      <c r="I28" s="26" t="n">
        <v>41936476</v>
      </c>
      <c r="J28" s="21" t="n">
        <f aca="false">(D28-E28)+(F28-G28)-(H28-I28)</f>
        <v>0</v>
      </c>
      <c r="K28" s="43" t="n">
        <f aca="false">H28-I28</f>
        <v>-41936476</v>
      </c>
    </row>
    <row r="29" customFormat="false" ht="15" hidden="false" customHeight="false" outlineLevel="0" collapsed="false">
      <c r="A29" s="42" t="n">
        <v>284100</v>
      </c>
      <c r="B29" s="12" t="s">
        <v>312</v>
      </c>
      <c r="C29" s="13" t="s">
        <v>300</v>
      </c>
      <c r="D29" s="26" t="n">
        <v>0</v>
      </c>
      <c r="E29" s="26" t="n">
        <v>11128832</v>
      </c>
      <c r="F29" s="26" t="n">
        <v>0</v>
      </c>
      <c r="G29" s="26" t="n">
        <v>44854932</v>
      </c>
      <c r="H29" s="26" t="n">
        <v>0</v>
      </c>
      <c r="I29" s="26" t="n">
        <v>55983764</v>
      </c>
      <c r="J29" s="21" t="n">
        <f aca="false">(D29-E29)+(F29-G29)-(H29-I29)</f>
        <v>0</v>
      </c>
      <c r="K29" s="43" t="n">
        <f aca="false">H29-I29</f>
        <v>-55983764</v>
      </c>
    </row>
    <row r="30" customFormat="false" ht="15" hidden="false" customHeight="false" outlineLevel="0" collapsed="false">
      <c r="A30" s="42" t="n">
        <v>284400</v>
      </c>
      <c r="B30" s="12" t="s">
        <v>313</v>
      </c>
      <c r="C30" s="13" t="s">
        <v>300</v>
      </c>
      <c r="D30" s="26" t="n">
        <v>0</v>
      </c>
      <c r="E30" s="26" t="n">
        <v>7773474</v>
      </c>
      <c r="F30" s="26" t="n">
        <v>0</v>
      </c>
      <c r="G30" s="26" t="n">
        <v>4934884</v>
      </c>
      <c r="H30" s="26" t="n">
        <v>0</v>
      </c>
      <c r="I30" s="26" t="n">
        <v>12708358</v>
      </c>
      <c r="J30" s="21" t="n">
        <f aca="false">(D30-E30)+(F30-G30)-(H30-I30)</f>
        <v>0</v>
      </c>
      <c r="K30" s="43" t="n">
        <f aca="false">H30-I30</f>
        <v>-12708358</v>
      </c>
    </row>
    <row r="31" customFormat="false" ht="15" hidden="false" customHeight="false" outlineLevel="0" collapsed="false">
      <c r="A31" s="42" t="n">
        <v>284500</v>
      </c>
      <c r="B31" s="12" t="s">
        <v>314</v>
      </c>
      <c r="C31" s="13" t="s">
        <v>306</v>
      </c>
      <c r="D31" s="26" t="n">
        <v>0</v>
      </c>
      <c r="E31" s="26" t="n">
        <v>352148438</v>
      </c>
      <c r="F31" s="26" t="n">
        <v>0</v>
      </c>
      <c r="G31" s="26" t="n">
        <v>10760638</v>
      </c>
      <c r="H31" s="26" t="n">
        <v>0</v>
      </c>
      <c r="I31" s="26" t="n">
        <v>362909076</v>
      </c>
      <c r="J31" s="21" t="n">
        <f aca="false">(D31-E31)+(F31-G31)-(H31-I31)</f>
        <v>0</v>
      </c>
      <c r="K31" s="43" t="n">
        <f aca="false">H31-I31</f>
        <v>-362909076</v>
      </c>
    </row>
    <row r="32" customFormat="false" ht="15" hidden="false" customHeight="false" outlineLevel="0" collapsed="false">
      <c r="A32" s="35" t="n">
        <v>401100</v>
      </c>
      <c r="B32" s="36" t="s">
        <v>315</v>
      </c>
      <c r="C32" s="37" t="s">
        <v>316</v>
      </c>
      <c r="D32" s="38" t="n">
        <v>0</v>
      </c>
      <c r="E32" s="38" t="n">
        <v>75819203</v>
      </c>
      <c r="F32" s="38" t="n">
        <v>389098615</v>
      </c>
      <c r="G32" s="38" t="n">
        <v>386227278</v>
      </c>
      <c r="H32" s="38" t="n">
        <v>0</v>
      </c>
      <c r="I32" s="38" t="n">
        <v>72947866</v>
      </c>
      <c r="J32" s="39" t="n">
        <f aca="false">(D32-E32)+(F32-G32)-(H32-I32)</f>
        <v>0</v>
      </c>
      <c r="K32" s="40" t="n">
        <f aca="false">H32-I32</f>
        <v>-72947866</v>
      </c>
    </row>
    <row r="33" customFormat="false" ht="15" hidden="false" customHeight="false" outlineLevel="0" collapsed="false">
      <c r="A33" s="42" t="n">
        <v>409100</v>
      </c>
      <c r="B33" s="12" t="s">
        <v>317</v>
      </c>
      <c r="C33" s="13" t="s">
        <v>318</v>
      </c>
      <c r="D33" s="26" t="n">
        <v>67361582</v>
      </c>
      <c r="E33" s="26" t="n">
        <v>0</v>
      </c>
      <c r="F33" s="26" t="n">
        <v>0</v>
      </c>
      <c r="G33" s="26" t="n">
        <v>67361582</v>
      </c>
      <c r="H33" s="26" t="n">
        <v>0</v>
      </c>
      <c r="I33" s="26" t="n">
        <v>0</v>
      </c>
      <c r="J33" s="21" t="n">
        <f aca="false">(D33-E33)+(F33-G33)-(H33-I33)</f>
        <v>0</v>
      </c>
      <c r="K33" s="43" t="n">
        <f aca="false">H33-I33</f>
        <v>0</v>
      </c>
    </row>
    <row r="34" customFormat="false" ht="15" hidden="false" customHeight="false" outlineLevel="0" collapsed="false">
      <c r="A34" s="42" t="n">
        <v>411100</v>
      </c>
      <c r="B34" s="12" t="s">
        <v>319</v>
      </c>
      <c r="C34" s="13" t="s">
        <v>320</v>
      </c>
      <c r="D34" s="26" t="n">
        <v>371642188</v>
      </c>
      <c r="E34" s="26" t="n">
        <v>0</v>
      </c>
      <c r="F34" s="26" t="n">
        <v>753172393</v>
      </c>
      <c r="G34" s="26" t="n">
        <v>672543185</v>
      </c>
      <c r="H34" s="26" t="n">
        <v>452271396</v>
      </c>
      <c r="I34" s="26" t="n">
        <v>0</v>
      </c>
      <c r="J34" s="21" t="n">
        <f aca="false">(D34-E34)+(F34-G34)-(H34-I34)</f>
        <v>0</v>
      </c>
      <c r="K34" s="43" t="n">
        <f aca="false">H34-I34</f>
        <v>452271396</v>
      </c>
    </row>
    <row r="35" customFormat="false" ht="15" hidden="false" customHeight="false" outlineLevel="0" collapsed="false">
      <c r="A35" s="42" t="n">
        <v>422000</v>
      </c>
      <c r="B35" s="12" t="s">
        <v>321</v>
      </c>
      <c r="C35" s="13" t="s">
        <v>322</v>
      </c>
      <c r="D35" s="26" t="n">
        <v>0</v>
      </c>
      <c r="E35" s="26" t="n">
        <v>0</v>
      </c>
      <c r="F35" s="26" t="n">
        <v>70124589</v>
      </c>
      <c r="G35" s="26" t="n">
        <v>81272138</v>
      </c>
      <c r="H35" s="26" t="n">
        <v>0</v>
      </c>
      <c r="I35" s="26" t="n">
        <v>11147549</v>
      </c>
      <c r="J35" s="21" t="n">
        <f aca="false">(D35-E35)+(F35-G35)-(H35-I35)</f>
        <v>0</v>
      </c>
      <c r="K35" s="43" t="n">
        <f aca="false">H35-I35</f>
        <v>-11147549</v>
      </c>
    </row>
    <row r="36" customFormat="false" ht="15" hidden="false" customHeight="false" outlineLevel="0" collapsed="false">
      <c r="A36" s="42" t="n">
        <v>431100</v>
      </c>
      <c r="B36" s="12" t="s">
        <v>323</v>
      </c>
      <c r="C36" s="13" t="s">
        <v>322</v>
      </c>
      <c r="D36" s="26" t="n">
        <v>0</v>
      </c>
      <c r="E36" s="26" t="n">
        <v>0</v>
      </c>
      <c r="F36" s="26" t="n">
        <v>0</v>
      </c>
      <c r="G36" s="26" t="n">
        <v>0</v>
      </c>
      <c r="H36" s="26" t="n">
        <v>0</v>
      </c>
      <c r="I36" s="26" t="n">
        <v>0</v>
      </c>
      <c r="J36" s="21" t="n">
        <f aca="false">(D36-E36)+(F36-G36)-(H36-I36)</f>
        <v>0</v>
      </c>
      <c r="K36" s="43" t="n">
        <f aca="false">H36-I36</f>
        <v>0</v>
      </c>
    </row>
    <row r="37" customFormat="false" ht="15" hidden="false" customHeight="false" outlineLevel="0" collapsed="false">
      <c r="A37" s="42" t="n">
        <v>431200</v>
      </c>
      <c r="B37" s="12" t="s">
        <v>324</v>
      </c>
      <c r="C37" s="13" t="s">
        <v>322</v>
      </c>
      <c r="D37" s="26" t="n">
        <v>0</v>
      </c>
      <c r="E37" s="26" t="n">
        <v>0</v>
      </c>
      <c r="F37" s="26" t="n">
        <v>0</v>
      </c>
      <c r="G37" s="26" t="n">
        <v>0</v>
      </c>
      <c r="H37" s="26" t="n">
        <v>0</v>
      </c>
      <c r="I37" s="26" t="n">
        <v>0</v>
      </c>
      <c r="J37" s="21" t="n">
        <f aca="false">(D37-E37)+(F37-G37)-(H37-I37)</f>
        <v>0</v>
      </c>
      <c r="K37" s="43" t="n">
        <f aca="false">H37-I37</f>
        <v>0</v>
      </c>
    </row>
    <row r="38" customFormat="false" ht="15" hidden="false" customHeight="false" outlineLevel="0" collapsed="false">
      <c r="A38" s="42" t="n">
        <v>431301</v>
      </c>
      <c r="B38" s="12" t="s">
        <v>325</v>
      </c>
      <c r="C38" s="13" t="s">
        <v>322</v>
      </c>
      <c r="D38" s="26" t="n">
        <v>0</v>
      </c>
      <c r="E38" s="26" t="n">
        <v>0</v>
      </c>
      <c r="F38" s="26" t="n">
        <v>2145896</v>
      </c>
      <c r="G38" s="26" t="n">
        <v>7005273</v>
      </c>
      <c r="H38" s="26" t="n">
        <v>0</v>
      </c>
      <c r="I38" s="26" t="n">
        <v>4859377</v>
      </c>
      <c r="J38" s="21" t="n">
        <f aca="false">(D38-E38)+(F38-G38)-(H38-I38)</f>
        <v>0</v>
      </c>
      <c r="K38" s="43" t="n">
        <f aca="false">H38-I38</f>
        <v>-4859377</v>
      </c>
    </row>
    <row r="39" customFormat="false" ht="15" hidden="false" customHeight="false" outlineLevel="0" collapsed="false">
      <c r="A39" s="42" t="n">
        <v>431302</v>
      </c>
      <c r="B39" s="12" t="s">
        <v>326</v>
      </c>
      <c r="C39" s="13" t="s">
        <v>322</v>
      </c>
      <c r="D39" s="26" t="n">
        <v>0</v>
      </c>
      <c r="E39" s="26" t="n">
        <v>0</v>
      </c>
      <c r="F39" s="26" t="n">
        <v>10256985</v>
      </c>
      <c r="G39" s="26" t="n">
        <v>11459390</v>
      </c>
      <c r="H39" s="26" t="n">
        <v>0</v>
      </c>
      <c r="I39" s="26" t="n">
        <v>1202405</v>
      </c>
      <c r="J39" s="21" t="n">
        <f aca="false">(D39-E39)+(F39-G39)-(H39-I39)</f>
        <v>0</v>
      </c>
      <c r="K39" s="43" t="n">
        <f aca="false">H39-I39</f>
        <v>-1202405</v>
      </c>
    </row>
    <row r="40" customFormat="false" ht="15" hidden="false" customHeight="false" outlineLevel="0" collapsed="false">
      <c r="A40" s="42" t="n">
        <v>431802</v>
      </c>
      <c r="B40" s="12" t="s">
        <v>327</v>
      </c>
      <c r="C40" s="13" t="s">
        <v>322</v>
      </c>
      <c r="D40" s="26" t="n">
        <v>0</v>
      </c>
      <c r="E40" s="26" t="n">
        <v>0</v>
      </c>
      <c r="F40" s="26" t="n">
        <v>225682</v>
      </c>
      <c r="G40" s="26" t="n">
        <v>387620</v>
      </c>
      <c r="H40" s="26" t="n">
        <v>0</v>
      </c>
      <c r="I40" s="26" t="n">
        <v>161938</v>
      </c>
      <c r="J40" s="21" t="n">
        <f aca="false">(D40-E40)+(F40-G40)-(H40-I40)</f>
        <v>0</v>
      </c>
      <c r="K40" s="43" t="n">
        <f aca="false">H40-I40</f>
        <v>-161938</v>
      </c>
    </row>
    <row r="41" customFormat="false" ht="15" hidden="false" customHeight="false" outlineLevel="0" collapsed="false">
      <c r="A41" s="42" t="n">
        <v>431803</v>
      </c>
      <c r="B41" s="12" t="s">
        <v>328</v>
      </c>
      <c r="C41" s="13" t="s">
        <v>322</v>
      </c>
      <c r="D41" s="26" t="n">
        <v>0</v>
      </c>
      <c r="E41" s="26" t="n">
        <v>0</v>
      </c>
      <c r="F41" s="26" t="n">
        <v>0</v>
      </c>
      <c r="G41" s="26" t="n">
        <v>0</v>
      </c>
      <c r="H41" s="26" t="n">
        <v>0</v>
      </c>
      <c r="I41" s="26" t="n">
        <v>0</v>
      </c>
      <c r="J41" s="21" t="n">
        <f aca="false">(D41-E41)+(F41-G41)-(H41-I41)</f>
        <v>0</v>
      </c>
      <c r="K41" s="43" t="n">
        <f aca="false">H41-I41</f>
        <v>0</v>
      </c>
    </row>
    <row r="42" customFormat="false" ht="15" hidden="false" customHeight="false" outlineLevel="0" collapsed="false">
      <c r="A42" s="42" t="n">
        <v>433300</v>
      </c>
      <c r="B42" s="12" t="s">
        <v>329</v>
      </c>
      <c r="C42" s="13" t="s">
        <v>322</v>
      </c>
      <c r="D42" s="26" t="n">
        <v>0</v>
      </c>
      <c r="E42" s="26" t="n">
        <v>182715</v>
      </c>
      <c r="F42" s="26" t="n">
        <v>182715</v>
      </c>
      <c r="G42" s="26" t="n">
        <v>0</v>
      </c>
      <c r="H42" s="26" t="n">
        <v>0</v>
      </c>
      <c r="I42" s="26" t="n">
        <v>0</v>
      </c>
      <c r="J42" s="21" t="n">
        <f aca="false">(D42-E42)+(F42-G42)-(H42-I42)</f>
        <v>0</v>
      </c>
      <c r="K42" s="43" t="n">
        <f aca="false">H42-I42</f>
        <v>0</v>
      </c>
    </row>
    <row r="43" customFormat="false" ht="15" hidden="false" customHeight="false" outlineLevel="0" collapsed="false">
      <c r="A43" s="42" t="n">
        <v>441000</v>
      </c>
      <c r="B43" s="12" t="s">
        <v>330</v>
      </c>
      <c r="C43" s="13" t="s">
        <v>322</v>
      </c>
      <c r="D43" s="26" t="n">
        <v>0</v>
      </c>
      <c r="E43" s="26" t="n">
        <v>39726162</v>
      </c>
      <c r="F43" s="26" t="n">
        <v>39726162</v>
      </c>
      <c r="G43" s="26" t="n">
        <v>24232959</v>
      </c>
      <c r="H43" s="26" t="n">
        <v>0</v>
      </c>
      <c r="I43" s="26" t="n">
        <v>24232959</v>
      </c>
      <c r="J43" s="21" t="n">
        <f aca="false">(D43-E43)+(F43-G43)-(H43-I43)</f>
        <v>0</v>
      </c>
      <c r="K43" s="43" t="n">
        <f aca="false">H43-I43</f>
        <v>-24232959</v>
      </c>
    </row>
    <row r="44" customFormat="false" ht="15" hidden="false" customHeight="false" outlineLevel="0" collapsed="false">
      <c r="A44" s="42" t="n">
        <v>442800</v>
      </c>
      <c r="B44" s="12" t="s">
        <v>331</v>
      </c>
      <c r="C44" s="13" t="s">
        <v>322</v>
      </c>
      <c r="D44" s="26" t="n">
        <v>0</v>
      </c>
      <c r="E44" s="26" t="n">
        <v>198286</v>
      </c>
      <c r="F44" s="26" t="n">
        <v>198286</v>
      </c>
      <c r="G44" s="26" t="n">
        <v>725658</v>
      </c>
      <c r="H44" s="26" t="n">
        <v>0</v>
      </c>
      <c r="I44" s="26" t="n">
        <v>725658</v>
      </c>
      <c r="J44" s="21" t="n">
        <f aca="false">(D44-E44)+(F44-G44)-(H44-I44)</f>
        <v>0</v>
      </c>
      <c r="K44" s="43" t="n">
        <f aca="false">H44-I44</f>
        <v>-725658</v>
      </c>
    </row>
    <row r="45" customFormat="false" ht="15" hidden="false" customHeight="false" outlineLevel="0" collapsed="false">
      <c r="A45" s="42" t="n">
        <v>442801</v>
      </c>
      <c r="B45" s="12" t="s">
        <v>332</v>
      </c>
      <c r="C45" s="13" t="s">
        <v>322</v>
      </c>
      <c r="D45" s="26" t="n">
        <v>0</v>
      </c>
      <c r="E45" s="26" t="n">
        <v>0</v>
      </c>
      <c r="F45" s="26" t="n">
        <v>0</v>
      </c>
      <c r="G45" s="26" t="n">
        <v>104066</v>
      </c>
      <c r="H45" s="26" t="n">
        <v>0</v>
      </c>
      <c r="I45" s="26" t="n">
        <v>104066</v>
      </c>
      <c r="J45" s="21" t="n">
        <f aca="false">(D45-E45)+(F45-G45)-(H45-I45)</f>
        <v>0</v>
      </c>
      <c r="K45" s="43" t="n">
        <f aca="false">H45-I45</f>
        <v>-104066</v>
      </c>
    </row>
    <row r="46" customFormat="false" ht="15" hidden="false" customHeight="false" outlineLevel="0" collapsed="false">
      <c r="A46" s="42" t="n">
        <v>442802</v>
      </c>
      <c r="B46" s="12" t="s">
        <v>333</v>
      </c>
      <c r="C46" s="13" t="s">
        <v>322</v>
      </c>
      <c r="D46" s="26" t="n">
        <v>0</v>
      </c>
      <c r="E46" s="26" t="n">
        <v>0</v>
      </c>
      <c r="F46" s="26" t="n">
        <v>0</v>
      </c>
      <c r="G46" s="26" t="n">
        <v>156106</v>
      </c>
      <c r="H46" s="26" t="n">
        <v>0</v>
      </c>
      <c r="I46" s="26" t="n">
        <v>156106</v>
      </c>
      <c r="J46" s="21" t="n">
        <f aca="false">(D46-E46)+(F46-G46)-(H46-I46)</f>
        <v>0</v>
      </c>
      <c r="K46" s="43" t="n">
        <f aca="false">H46-I46</f>
        <v>-156106</v>
      </c>
    </row>
    <row r="47" customFormat="false" ht="15" hidden="false" customHeight="false" outlineLevel="0" collapsed="false">
      <c r="A47" s="42" t="n">
        <v>442803</v>
      </c>
      <c r="B47" s="12" t="s">
        <v>334</v>
      </c>
      <c r="C47" s="13" t="s">
        <v>322</v>
      </c>
      <c r="D47" s="26" t="n">
        <v>0</v>
      </c>
      <c r="E47" s="26" t="n">
        <v>0</v>
      </c>
      <c r="F47" s="26" t="n">
        <v>0</v>
      </c>
      <c r="G47" s="26" t="n">
        <v>156105</v>
      </c>
      <c r="H47" s="26" t="n">
        <v>0</v>
      </c>
      <c r="I47" s="26" t="n">
        <v>156105</v>
      </c>
      <c r="J47" s="21" t="n">
        <f aca="false">(D47-E47)+(F47-G47)-(H47-I47)</f>
        <v>0</v>
      </c>
      <c r="K47" s="43" t="n">
        <f aca="false">H47-I47</f>
        <v>-156105</v>
      </c>
    </row>
    <row r="48" customFormat="false" ht="15" hidden="false" customHeight="false" outlineLevel="0" collapsed="false">
      <c r="A48" s="42" t="n">
        <v>442820</v>
      </c>
      <c r="B48" s="12" t="s">
        <v>335</v>
      </c>
      <c r="C48" s="13" t="s">
        <v>322</v>
      </c>
      <c r="D48" s="26" t="n">
        <v>0</v>
      </c>
      <c r="E48" s="26" t="n">
        <v>0</v>
      </c>
      <c r="F48" s="26" t="n">
        <v>458965</v>
      </c>
      <c r="G48" s="26" t="n">
        <v>826575</v>
      </c>
      <c r="H48" s="26" t="n">
        <v>0</v>
      </c>
      <c r="I48" s="26" t="n">
        <v>367610</v>
      </c>
      <c r="J48" s="21" t="n">
        <f aca="false">(D48-E48)+(F48-G48)-(H48-I48)</f>
        <v>0</v>
      </c>
      <c r="K48" s="43" t="n">
        <f aca="false">H48-I48</f>
        <v>-367610</v>
      </c>
    </row>
    <row r="49" customFormat="false" ht="15" hidden="false" customHeight="false" outlineLevel="0" collapsed="false">
      <c r="A49" s="42" t="n">
        <v>442840</v>
      </c>
      <c r="B49" s="12" t="s">
        <v>336</v>
      </c>
      <c r="C49" s="13" t="s">
        <v>322</v>
      </c>
      <c r="D49" s="26" t="n">
        <v>0</v>
      </c>
      <c r="E49" s="26" t="n">
        <v>0</v>
      </c>
      <c r="F49" s="26" t="n">
        <v>4055133</v>
      </c>
      <c r="G49" s="26" t="n">
        <v>9055133</v>
      </c>
      <c r="H49" s="26" t="n">
        <v>0</v>
      </c>
      <c r="I49" s="26" t="n">
        <v>5000000</v>
      </c>
      <c r="J49" s="21" t="n">
        <f aca="false">(D49-E49)+(F49-G49)-(H49-I49)</f>
        <v>0</v>
      </c>
      <c r="K49" s="43" t="n">
        <f aca="false">H49-I49</f>
        <v>-5000000</v>
      </c>
    </row>
    <row r="50" customFormat="false" ht="15" hidden="false" customHeight="false" outlineLevel="0" collapsed="false">
      <c r="A50" s="42" t="n">
        <v>443300</v>
      </c>
      <c r="B50" s="12" t="s">
        <v>337</v>
      </c>
      <c r="C50" s="13" t="s">
        <v>322</v>
      </c>
      <c r="D50" s="26" t="n">
        <v>0</v>
      </c>
      <c r="E50" s="26" t="n">
        <v>0</v>
      </c>
      <c r="F50" s="26" t="n">
        <v>0</v>
      </c>
      <c r="G50" s="26" t="n">
        <v>52145698</v>
      </c>
      <c r="H50" s="26" t="n">
        <v>0</v>
      </c>
      <c r="I50" s="26" t="n">
        <v>52145698</v>
      </c>
      <c r="J50" s="21" t="n">
        <f aca="false">(D50-E50)+(F50-G50)-(H50-I50)</f>
        <v>0</v>
      </c>
      <c r="K50" s="43" t="n">
        <f aca="false">H50-I50</f>
        <v>-52145698</v>
      </c>
    </row>
    <row r="51" customFormat="false" ht="15" hidden="false" customHeight="false" outlineLevel="0" collapsed="false">
      <c r="A51" s="42" t="n">
        <v>446000</v>
      </c>
      <c r="B51" s="12" t="s">
        <v>338</v>
      </c>
      <c r="C51" s="13" t="s">
        <v>322</v>
      </c>
      <c r="D51" s="26" t="n">
        <v>0</v>
      </c>
      <c r="E51" s="26" t="n">
        <v>0</v>
      </c>
      <c r="F51" s="26" t="n">
        <v>11685</v>
      </c>
      <c r="G51" s="26" t="n">
        <v>211685</v>
      </c>
      <c r="H51" s="26" t="n">
        <v>0</v>
      </c>
      <c r="I51" s="26" t="n">
        <v>200000</v>
      </c>
      <c r="J51" s="21" t="n">
        <f aca="false">(D51-E51)+(F51-G51)-(H51-I51)</f>
        <v>0</v>
      </c>
      <c r="K51" s="43" t="n">
        <f aca="false">H51-I51</f>
        <v>-200000</v>
      </c>
    </row>
    <row r="52" customFormat="false" ht="15" hidden="false" customHeight="false" outlineLevel="0" collapsed="false">
      <c r="A52" s="42" t="n">
        <v>447201</v>
      </c>
      <c r="B52" s="12" t="s">
        <v>339</v>
      </c>
      <c r="C52" s="13" t="s">
        <v>322</v>
      </c>
      <c r="D52" s="26" t="n">
        <v>0</v>
      </c>
      <c r="E52" s="26" t="n">
        <v>320198</v>
      </c>
      <c r="F52" s="26" t="n">
        <v>4589654</v>
      </c>
      <c r="G52" s="26" t="n">
        <v>5901094</v>
      </c>
      <c r="H52" s="26" t="n">
        <v>0</v>
      </c>
      <c r="I52" s="26" t="n">
        <v>1631638</v>
      </c>
      <c r="J52" s="21" t="n">
        <f aca="false">(D52-E52)+(F52-G52)-(H52-I52)</f>
        <v>0</v>
      </c>
      <c r="K52" s="43" t="n">
        <f aca="false">H52-I52</f>
        <v>-1631638</v>
      </c>
    </row>
    <row r="53" customFormat="false" ht="15" hidden="false" customHeight="false" outlineLevel="0" collapsed="false">
      <c r="A53" s="42" t="n">
        <v>462100</v>
      </c>
      <c r="B53" s="12" t="s">
        <v>340</v>
      </c>
      <c r="C53" s="13" t="s">
        <v>341</v>
      </c>
      <c r="D53" s="26" t="n">
        <v>0</v>
      </c>
      <c r="E53" s="26" t="n">
        <v>0</v>
      </c>
      <c r="F53" s="26" t="n">
        <v>20000000</v>
      </c>
      <c r="G53" s="26" t="n">
        <v>23700000</v>
      </c>
      <c r="H53" s="26" t="n">
        <v>0</v>
      </c>
      <c r="I53" s="26" t="n">
        <v>3700000</v>
      </c>
      <c r="J53" s="21" t="n">
        <f aca="false">(D53-E53)+(F53-G53)-(H53-I53)</f>
        <v>0</v>
      </c>
      <c r="K53" s="43" t="n">
        <f aca="false">H53-I53</f>
        <v>-3700000</v>
      </c>
    </row>
    <row r="54" customFormat="false" ht="15" hidden="false" customHeight="false" outlineLevel="0" collapsed="false">
      <c r="A54" s="42" t="n">
        <v>471200</v>
      </c>
      <c r="B54" s="12" t="s">
        <v>342</v>
      </c>
      <c r="C54" s="13" t="s">
        <v>343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0</v>
      </c>
      <c r="J54" s="21" t="n">
        <f aca="false">(D54-E54)+(F54-G54)-(H54-I54)</f>
        <v>0</v>
      </c>
      <c r="K54" s="43" t="n">
        <f aca="false">H54-I54</f>
        <v>0</v>
      </c>
    </row>
    <row r="55" customFormat="false" ht="15" hidden="false" customHeight="false" outlineLevel="0" collapsed="false">
      <c r="A55" s="42" t="n">
        <v>481200</v>
      </c>
      <c r="B55" s="12" t="s">
        <v>344</v>
      </c>
      <c r="C55" s="13" t="s">
        <v>345</v>
      </c>
      <c r="D55" s="26" t="n">
        <v>0</v>
      </c>
      <c r="E55" s="26" t="n">
        <v>0</v>
      </c>
      <c r="F55" s="26" t="n">
        <v>232042322</v>
      </c>
      <c r="G55" s="26" t="n">
        <v>364938869</v>
      </c>
      <c r="H55" s="26" t="n">
        <v>0</v>
      </c>
      <c r="I55" s="26" t="n">
        <v>132896547</v>
      </c>
      <c r="J55" s="21" t="n">
        <f aca="false">(D55-E55)+(F55-G55)-(H55-I55)</f>
        <v>0</v>
      </c>
      <c r="K55" s="43" t="n">
        <f aca="false">H55-I55</f>
        <v>-132896547</v>
      </c>
    </row>
    <row r="56" customFormat="false" ht="15" hidden="false" customHeight="false" outlineLevel="0" collapsed="false">
      <c r="A56" s="35" t="n">
        <v>521101</v>
      </c>
      <c r="B56" s="36" t="s">
        <v>346</v>
      </c>
      <c r="C56" s="37" t="s">
        <v>347</v>
      </c>
      <c r="D56" s="38" t="n">
        <v>372469349</v>
      </c>
      <c r="E56" s="38" t="n">
        <v>0</v>
      </c>
      <c r="F56" s="38" t="n">
        <v>1088091779</v>
      </c>
      <c r="G56" s="38" t="n">
        <v>1337972863</v>
      </c>
      <c r="H56" s="38" t="n">
        <v>122588265</v>
      </c>
      <c r="I56" s="38" t="n">
        <v>0</v>
      </c>
      <c r="J56" s="39" t="n">
        <f aca="false">(D56-E56)+(F56-G56)-(H56-I56)</f>
        <v>0</v>
      </c>
      <c r="K56" s="40" t="n">
        <v>0</v>
      </c>
    </row>
    <row r="57" customFormat="false" ht="15" hidden="false" customHeight="false" outlineLevel="0" collapsed="false">
      <c r="A57" s="42" t="n">
        <v>571101</v>
      </c>
      <c r="B57" s="12" t="s">
        <v>348</v>
      </c>
      <c r="C57" s="13" t="s">
        <v>349</v>
      </c>
      <c r="D57" s="26" t="n">
        <v>4501980</v>
      </c>
      <c r="E57" s="26" t="n">
        <v>0</v>
      </c>
      <c r="F57" s="26" t="n">
        <v>6589458</v>
      </c>
      <c r="G57" s="26" t="n">
        <v>5545745</v>
      </c>
      <c r="H57" s="26" t="n">
        <v>5545693</v>
      </c>
      <c r="I57" s="26" t="n">
        <v>0</v>
      </c>
      <c r="J57" s="21" t="n">
        <f aca="false">(D57-E57)+(F57-G57)-(H57-I57)</f>
        <v>0</v>
      </c>
      <c r="K57" s="43" t="n">
        <v>0</v>
      </c>
    </row>
    <row r="58" customFormat="false" ht="15" hidden="false" customHeight="false" outlineLevel="0" collapsed="false">
      <c r="A58" s="42" t="n">
        <v>585000</v>
      </c>
      <c r="B58" s="12" t="s">
        <v>350</v>
      </c>
      <c r="C58" s="13" t="s">
        <v>349</v>
      </c>
      <c r="D58" s="26" t="n">
        <v>0</v>
      </c>
      <c r="E58" s="26" t="n">
        <v>0</v>
      </c>
      <c r="F58" s="26" t="n">
        <v>0</v>
      </c>
      <c r="G58" s="26" t="n">
        <v>0</v>
      </c>
      <c r="H58" s="26" t="n">
        <v>0</v>
      </c>
      <c r="I58" s="26" t="n">
        <v>0</v>
      </c>
      <c r="J58" s="21" t="n">
        <f aca="false">(D58-E58)+(F58-G58)-(H58-I58)</f>
        <v>0</v>
      </c>
      <c r="K58" s="43" t="n">
        <f aca="false">H58-I58</f>
        <v>0</v>
      </c>
    </row>
    <row r="59" customFormat="false" ht="15" hidden="false" customHeight="false" outlineLevel="0" collapsed="false">
      <c r="A59" s="35" t="n">
        <v>604300</v>
      </c>
      <c r="B59" s="36" t="s">
        <v>351</v>
      </c>
      <c r="C59" s="37" t="s">
        <v>352</v>
      </c>
      <c r="D59" s="38" t="n">
        <v>0</v>
      </c>
      <c r="E59" s="38" t="n">
        <v>0</v>
      </c>
      <c r="F59" s="38" t="n">
        <v>1250398</v>
      </c>
      <c r="G59" s="38" t="n">
        <v>0</v>
      </c>
      <c r="H59" s="38" t="n">
        <v>1250398</v>
      </c>
      <c r="I59" s="38" t="n">
        <v>0</v>
      </c>
      <c r="J59" s="39" t="n">
        <f aca="false">(D59-E59)+(F59-G59)-(H59-I59)</f>
        <v>0</v>
      </c>
      <c r="K59" s="40" t="n">
        <f aca="false">H59-I59</f>
        <v>1250398</v>
      </c>
    </row>
    <row r="60" customFormat="false" ht="15" hidden="false" customHeight="false" outlineLevel="0" collapsed="false">
      <c r="A60" s="42" t="n">
        <v>605100</v>
      </c>
      <c r="B60" s="12" t="s">
        <v>353</v>
      </c>
      <c r="C60" s="13" t="s">
        <v>352</v>
      </c>
      <c r="D60" s="26" t="n">
        <v>0</v>
      </c>
      <c r="E60" s="26" t="n">
        <v>0</v>
      </c>
      <c r="F60" s="26" t="n">
        <v>124576</v>
      </c>
      <c r="G60" s="26" t="n">
        <v>0</v>
      </c>
      <c r="H60" s="26" t="n">
        <v>124576</v>
      </c>
      <c r="I60" s="26" t="n">
        <v>0</v>
      </c>
      <c r="J60" s="21" t="n">
        <f aca="false">(D60-E60)+(F60-G60)-(H60-I60)</f>
        <v>0</v>
      </c>
      <c r="K60" s="43" t="n">
        <f aca="false">H60-I60</f>
        <v>124576</v>
      </c>
    </row>
    <row r="61" customFormat="false" ht="15" hidden="false" customHeight="false" outlineLevel="0" collapsed="false">
      <c r="A61" s="42" t="n">
        <v>605200</v>
      </c>
      <c r="B61" s="12" t="s">
        <v>354</v>
      </c>
      <c r="C61" s="13" t="s">
        <v>352</v>
      </c>
      <c r="D61" s="26" t="n">
        <v>0</v>
      </c>
      <c r="E61" s="26" t="n">
        <v>0</v>
      </c>
      <c r="F61" s="26" t="n">
        <v>39961389</v>
      </c>
      <c r="G61" s="26" t="n">
        <v>0</v>
      </c>
      <c r="H61" s="26" t="n">
        <v>39961389</v>
      </c>
      <c r="I61" s="26" t="n">
        <v>0</v>
      </c>
      <c r="J61" s="21" t="n">
        <f aca="false">(D61-E61)+(F61-G61)-(H61-I61)</f>
        <v>0</v>
      </c>
      <c r="K61" s="43" t="n">
        <f aca="false">H61-I61</f>
        <v>39961389</v>
      </c>
    </row>
    <row r="62" customFormat="false" ht="15" hidden="false" customHeight="false" outlineLevel="0" collapsed="false">
      <c r="A62" s="42" t="n">
        <v>605300</v>
      </c>
      <c r="B62" s="12" t="s">
        <v>355</v>
      </c>
      <c r="C62" s="13" t="s">
        <v>352</v>
      </c>
      <c r="D62" s="26" t="n">
        <v>0</v>
      </c>
      <c r="E62" s="26" t="n">
        <v>0</v>
      </c>
      <c r="F62" s="26" t="n">
        <v>19839054</v>
      </c>
      <c r="G62" s="26" t="n">
        <v>0</v>
      </c>
      <c r="H62" s="26" t="n">
        <v>19839054</v>
      </c>
      <c r="I62" s="26" t="n">
        <v>0</v>
      </c>
      <c r="J62" s="21" t="n">
        <f aca="false">(D62-E62)+(F62-G62)-(H62-I62)</f>
        <v>0</v>
      </c>
      <c r="K62" s="43" t="n">
        <f aca="false">H62-I62</f>
        <v>19839054</v>
      </c>
    </row>
    <row r="63" customFormat="false" ht="15" hidden="false" customHeight="false" outlineLevel="0" collapsed="false">
      <c r="A63" s="42" t="n">
        <v>605500</v>
      </c>
      <c r="B63" s="12" t="s">
        <v>356</v>
      </c>
      <c r="C63" s="13" t="s">
        <v>352</v>
      </c>
      <c r="D63" s="26" t="n">
        <v>0</v>
      </c>
      <c r="E63" s="26" t="n">
        <v>0</v>
      </c>
      <c r="F63" s="26" t="n">
        <v>12873612</v>
      </c>
      <c r="G63" s="26" t="n">
        <v>0</v>
      </c>
      <c r="H63" s="26" t="n">
        <v>12873612</v>
      </c>
      <c r="I63" s="26" t="n">
        <v>0</v>
      </c>
      <c r="J63" s="21" t="n">
        <f aca="false">(D63-E63)+(F63-G63)-(H63-I63)</f>
        <v>0</v>
      </c>
      <c r="K63" s="43" t="n">
        <f aca="false">H63-I63</f>
        <v>12873612</v>
      </c>
    </row>
    <row r="64" customFormat="false" ht="15" hidden="false" customHeight="false" outlineLevel="0" collapsed="false">
      <c r="A64" s="42" t="n">
        <v>605600</v>
      </c>
      <c r="B64" s="12" t="s">
        <v>357</v>
      </c>
      <c r="C64" s="13" t="s">
        <v>352</v>
      </c>
      <c r="D64" s="26" t="n">
        <v>0</v>
      </c>
      <c r="E64" s="26" t="n">
        <v>0</v>
      </c>
      <c r="F64" s="26" t="n">
        <v>3691625</v>
      </c>
      <c r="G64" s="26" t="n">
        <v>0</v>
      </c>
      <c r="H64" s="26" t="n">
        <v>3691625</v>
      </c>
      <c r="I64" s="26" t="n">
        <v>0</v>
      </c>
      <c r="J64" s="21" t="n">
        <f aca="false">(D64-E64)+(F64-G64)-(H64-I64)</f>
        <v>0</v>
      </c>
      <c r="K64" s="43" t="n">
        <f aca="false">H64-I64</f>
        <v>3691625</v>
      </c>
    </row>
    <row r="65" customFormat="false" ht="15" hidden="false" customHeight="false" outlineLevel="0" collapsed="false">
      <c r="A65" s="42" t="n">
        <v>605700</v>
      </c>
      <c r="B65" s="12" t="s">
        <v>358</v>
      </c>
      <c r="C65" s="13" t="s">
        <v>352</v>
      </c>
      <c r="D65" s="26" t="n">
        <v>0</v>
      </c>
      <c r="E65" s="26" t="n">
        <v>0</v>
      </c>
      <c r="F65" s="26" t="n">
        <v>80160324</v>
      </c>
      <c r="G65" s="26" t="n">
        <v>0</v>
      </c>
      <c r="H65" s="26" t="n">
        <v>80160324</v>
      </c>
      <c r="I65" s="26" t="n">
        <v>0</v>
      </c>
      <c r="J65" s="21" t="n">
        <f aca="false">(D65-E65)+(F65-G65)-(H65-I65)</f>
        <v>0</v>
      </c>
      <c r="K65" s="43" t="n">
        <f aca="false">H65-I65</f>
        <v>80160324</v>
      </c>
    </row>
    <row r="66" customFormat="false" ht="15" hidden="false" customHeight="false" outlineLevel="0" collapsed="false">
      <c r="A66" s="42" t="n">
        <v>605800</v>
      </c>
      <c r="B66" s="12" t="s">
        <v>359</v>
      </c>
      <c r="C66" s="13" t="s">
        <v>352</v>
      </c>
      <c r="D66" s="26" t="n">
        <v>0</v>
      </c>
      <c r="E66" s="26" t="n">
        <v>0</v>
      </c>
      <c r="F66" s="26" t="n">
        <v>120240486</v>
      </c>
      <c r="G66" s="26" t="n">
        <v>0</v>
      </c>
      <c r="H66" s="26" t="n">
        <v>120240486</v>
      </c>
      <c r="I66" s="26" t="n">
        <v>0</v>
      </c>
      <c r="J66" s="21" t="n">
        <f aca="false">(D66-E66)+(F66-G66)-(H66-I66)</f>
        <v>0</v>
      </c>
      <c r="K66" s="43" t="n">
        <f aca="false">H66-I66</f>
        <v>120240486</v>
      </c>
    </row>
    <row r="67" customFormat="false" ht="15" hidden="false" customHeight="false" outlineLevel="0" collapsed="false">
      <c r="A67" s="42" t="n">
        <v>616000</v>
      </c>
      <c r="B67" s="12" t="s">
        <v>360</v>
      </c>
      <c r="C67" s="13" t="s">
        <v>361</v>
      </c>
      <c r="D67" s="26" t="n">
        <v>0</v>
      </c>
      <c r="E67" s="26" t="n">
        <v>0</v>
      </c>
      <c r="F67" s="26" t="n">
        <v>93905</v>
      </c>
      <c r="G67" s="26" t="n">
        <v>0</v>
      </c>
      <c r="H67" s="26" t="n">
        <v>93905</v>
      </c>
      <c r="I67" s="26" t="n">
        <v>0</v>
      </c>
      <c r="J67" s="21" t="n">
        <f aca="false">(D67-E67)+(F67-G67)-(H67-I67)</f>
        <v>0</v>
      </c>
      <c r="K67" s="43" t="n">
        <f aca="false">H67-I67</f>
        <v>93905</v>
      </c>
    </row>
    <row r="68" customFormat="false" ht="15" hidden="false" customHeight="false" outlineLevel="0" collapsed="false">
      <c r="A68" s="42" t="n">
        <v>618200</v>
      </c>
      <c r="B68" s="12" t="s">
        <v>362</v>
      </c>
      <c r="C68" s="13" t="s">
        <v>361</v>
      </c>
      <c r="D68" s="26" t="n">
        <v>0</v>
      </c>
      <c r="E68" s="26" t="n">
        <v>0</v>
      </c>
      <c r="F68" s="26" t="n">
        <v>1566944</v>
      </c>
      <c r="G68" s="26" t="n">
        <v>0</v>
      </c>
      <c r="H68" s="26" t="n">
        <v>1566944</v>
      </c>
      <c r="I68" s="26" t="n">
        <v>0</v>
      </c>
      <c r="J68" s="21" t="n">
        <f aca="false">(D68-E68)+(F68-G68)-(H68-I68)</f>
        <v>0</v>
      </c>
      <c r="K68" s="43" t="n">
        <f aca="false">H68-I68</f>
        <v>1566944</v>
      </c>
    </row>
    <row r="69" customFormat="false" ht="15" hidden="false" customHeight="false" outlineLevel="0" collapsed="false">
      <c r="A69" s="42" t="n">
        <v>618300</v>
      </c>
      <c r="B69" s="12" t="s">
        <v>363</v>
      </c>
      <c r="C69" s="13" t="s">
        <v>361</v>
      </c>
      <c r="D69" s="26" t="n">
        <v>0</v>
      </c>
      <c r="E69" s="26" t="n">
        <v>0</v>
      </c>
      <c r="F69" s="26" t="n">
        <v>2159249</v>
      </c>
      <c r="G69" s="26" t="n">
        <v>0</v>
      </c>
      <c r="H69" s="26" t="n">
        <v>2159249</v>
      </c>
      <c r="I69" s="26" t="n">
        <v>0</v>
      </c>
      <c r="J69" s="21" t="n">
        <f aca="false">(D69-E69)+(F69-G69)-(H69-I69)</f>
        <v>0</v>
      </c>
      <c r="K69" s="43" t="n">
        <f aca="false">H69-I69</f>
        <v>2159249</v>
      </c>
    </row>
    <row r="70" customFormat="false" ht="15" hidden="false" customHeight="false" outlineLevel="0" collapsed="false">
      <c r="A70" s="42" t="n">
        <v>622200</v>
      </c>
      <c r="B70" s="12" t="s">
        <v>364</v>
      </c>
      <c r="C70" s="13" t="s">
        <v>365</v>
      </c>
      <c r="D70" s="26" t="n">
        <v>0</v>
      </c>
      <c r="E70" s="26" t="n">
        <v>0</v>
      </c>
      <c r="F70" s="26" t="n">
        <v>16635091</v>
      </c>
      <c r="G70" s="26" t="n">
        <v>0</v>
      </c>
      <c r="H70" s="26" t="n">
        <v>16635091</v>
      </c>
      <c r="I70" s="26" t="n">
        <v>0</v>
      </c>
      <c r="J70" s="21" t="n">
        <f aca="false">(D70-E70)+(F70-G70)-(H70-I70)</f>
        <v>0</v>
      </c>
      <c r="K70" s="43" t="n">
        <f aca="false">H70-I70</f>
        <v>16635091</v>
      </c>
    </row>
    <row r="71" customFormat="false" ht="15" hidden="false" customHeight="false" outlineLevel="0" collapsed="false">
      <c r="A71" s="42" t="n">
        <v>624200</v>
      </c>
      <c r="B71" s="12" t="s">
        <v>366</v>
      </c>
      <c r="C71" s="13" t="s">
        <v>365</v>
      </c>
      <c r="D71" s="26" t="n">
        <v>0</v>
      </c>
      <c r="E71" s="26" t="n">
        <v>0</v>
      </c>
      <c r="F71" s="26" t="n">
        <v>34203480</v>
      </c>
      <c r="G71" s="26" t="n">
        <v>0</v>
      </c>
      <c r="H71" s="26" t="n">
        <v>34203480</v>
      </c>
      <c r="I71" s="26" t="n">
        <v>0</v>
      </c>
      <c r="J71" s="21" t="n">
        <f aca="false">(D71-E71)+(F71-G71)-(H71-I71)</f>
        <v>0</v>
      </c>
      <c r="K71" s="43" t="n">
        <f aca="false">H71-I71</f>
        <v>34203480</v>
      </c>
    </row>
    <row r="72" customFormat="false" ht="15" hidden="false" customHeight="false" outlineLevel="0" collapsed="false">
      <c r="A72" s="42" t="n">
        <v>625800</v>
      </c>
      <c r="B72" s="12" t="s">
        <v>367</v>
      </c>
      <c r="C72" s="13" t="s">
        <v>365</v>
      </c>
      <c r="D72" s="26" t="n">
        <v>0</v>
      </c>
      <c r="E72" s="26" t="n">
        <v>0</v>
      </c>
      <c r="F72" s="26" t="n">
        <v>4589652</v>
      </c>
      <c r="G72" s="26" t="n">
        <v>0</v>
      </c>
      <c r="H72" s="26" t="n">
        <v>4589652</v>
      </c>
      <c r="I72" s="26" t="n">
        <v>0</v>
      </c>
      <c r="J72" s="21" t="n">
        <f aca="false">(D72-E72)+(F72-G72)-(H72-I72)</f>
        <v>0</v>
      </c>
      <c r="K72" s="43" t="n">
        <f aca="false">H72-I72</f>
        <v>4589652</v>
      </c>
    </row>
    <row r="73" customFormat="false" ht="15" hidden="false" customHeight="false" outlineLevel="0" collapsed="false">
      <c r="A73" s="42" t="n">
        <v>626600</v>
      </c>
      <c r="B73" s="12" t="s">
        <v>368</v>
      </c>
      <c r="C73" s="13" t="s">
        <v>365</v>
      </c>
      <c r="D73" s="26" t="n">
        <v>0</v>
      </c>
      <c r="E73" s="26" t="n">
        <v>0</v>
      </c>
      <c r="F73" s="26" t="n">
        <v>32000</v>
      </c>
      <c r="G73" s="26" t="n">
        <v>0</v>
      </c>
      <c r="H73" s="26" t="n">
        <v>32000</v>
      </c>
      <c r="I73" s="26" t="n">
        <v>0</v>
      </c>
      <c r="J73" s="21" t="n">
        <f aca="false">(D73-E73)+(F73-G73)-(H73-I73)</f>
        <v>0</v>
      </c>
      <c r="K73" s="43" t="n">
        <f aca="false">H73-I73</f>
        <v>32000</v>
      </c>
    </row>
    <row r="74" customFormat="false" ht="15" hidden="false" customHeight="false" outlineLevel="0" collapsed="false">
      <c r="A74" s="42" t="n">
        <v>627700</v>
      </c>
      <c r="B74" s="12" t="s">
        <v>369</v>
      </c>
      <c r="C74" s="13" t="s">
        <v>365</v>
      </c>
      <c r="D74" s="26" t="n">
        <v>0</v>
      </c>
      <c r="E74" s="26" t="n">
        <v>0</v>
      </c>
      <c r="F74" s="26" t="n">
        <v>58500</v>
      </c>
      <c r="G74" s="26" t="n">
        <v>0</v>
      </c>
      <c r="H74" s="26" t="n">
        <v>58500</v>
      </c>
      <c r="I74" s="26" t="n">
        <v>0</v>
      </c>
      <c r="J74" s="21" t="n">
        <f aca="false">(D74-E74)+(F74-G74)-(H74-I74)</f>
        <v>0</v>
      </c>
      <c r="K74" s="43" t="n">
        <f aca="false">H74-I74</f>
        <v>58500</v>
      </c>
    </row>
    <row r="75" customFormat="false" ht="15" hidden="false" customHeight="false" outlineLevel="0" collapsed="false">
      <c r="A75" s="42" t="n">
        <v>628800</v>
      </c>
      <c r="B75" s="12" t="s">
        <v>370</v>
      </c>
      <c r="C75" s="13" t="s">
        <v>365</v>
      </c>
      <c r="D75" s="26" t="n">
        <v>0</v>
      </c>
      <c r="E75" s="26" t="n">
        <v>0</v>
      </c>
      <c r="F75" s="26" t="n">
        <v>794044</v>
      </c>
      <c r="G75" s="26" t="n">
        <v>0</v>
      </c>
      <c r="H75" s="26" t="n">
        <v>794044</v>
      </c>
      <c r="I75" s="26" t="n">
        <v>0</v>
      </c>
      <c r="J75" s="21" t="n">
        <f aca="false">(D75-E75)+(F75-G75)-(H75-I75)</f>
        <v>0</v>
      </c>
      <c r="K75" s="43" t="n">
        <f aca="false">H75-I75</f>
        <v>794044</v>
      </c>
    </row>
    <row r="76" customFormat="false" ht="15" hidden="false" customHeight="false" outlineLevel="0" collapsed="false">
      <c r="A76" s="42" t="n">
        <v>631800</v>
      </c>
      <c r="B76" s="12" t="s">
        <v>371</v>
      </c>
      <c r="C76" s="13" t="s">
        <v>365</v>
      </c>
      <c r="D76" s="26" t="n">
        <v>0</v>
      </c>
      <c r="E76" s="26" t="n">
        <v>0</v>
      </c>
      <c r="F76" s="26" t="n">
        <v>22590164</v>
      </c>
      <c r="G76" s="26" t="n">
        <v>0</v>
      </c>
      <c r="H76" s="26" t="n">
        <v>22590164</v>
      </c>
      <c r="I76" s="26" t="n">
        <v>0</v>
      </c>
      <c r="J76" s="21" t="n">
        <f aca="false">(D76-E76)+(F76-G76)-(H76-I76)</f>
        <v>0</v>
      </c>
      <c r="K76" s="43" t="n">
        <f aca="false">H76-I76</f>
        <v>22590164</v>
      </c>
    </row>
    <row r="77" customFormat="false" ht="15" hidden="false" customHeight="false" outlineLevel="0" collapsed="false">
      <c r="A77" s="42" t="n">
        <v>632800</v>
      </c>
      <c r="B77" s="12" t="s">
        <v>372</v>
      </c>
      <c r="C77" s="13" t="s">
        <v>365</v>
      </c>
      <c r="D77" s="26" t="n">
        <v>0</v>
      </c>
      <c r="E77" s="26" t="n">
        <v>0</v>
      </c>
      <c r="F77" s="26" t="n">
        <v>4753040</v>
      </c>
      <c r="G77" s="26" t="n">
        <v>0</v>
      </c>
      <c r="H77" s="26" t="n">
        <v>4753040</v>
      </c>
      <c r="I77" s="26" t="n">
        <v>0</v>
      </c>
      <c r="J77" s="21" t="n">
        <f aca="false">(D77-E77)+(F77-G77)-(H77-I77)</f>
        <v>0</v>
      </c>
      <c r="K77" s="43" t="n">
        <f aca="false">H77-I77</f>
        <v>4753040</v>
      </c>
    </row>
    <row r="78" customFormat="false" ht="15" hidden="false" customHeight="false" outlineLevel="0" collapsed="false">
      <c r="A78" s="42" t="n">
        <v>638800</v>
      </c>
      <c r="B78" s="12" t="s">
        <v>373</v>
      </c>
      <c r="C78" s="13" t="s">
        <v>365</v>
      </c>
      <c r="D78" s="26" t="n">
        <v>0</v>
      </c>
      <c r="E78" s="26" t="n">
        <v>0</v>
      </c>
      <c r="F78" s="26" t="n">
        <v>23113112</v>
      </c>
      <c r="G78" s="26" t="n">
        <v>0</v>
      </c>
      <c r="H78" s="26" t="n">
        <v>23113112</v>
      </c>
      <c r="I78" s="26" t="n">
        <v>0</v>
      </c>
      <c r="J78" s="21" t="n">
        <f aca="false">(D78-E78)+(F78-G78)-(H78-I78)</f>
        <v>0</v>
      </c>
      <c r="K78" s="43" t="n">
        <f aca="false">H78-I78</f>
        <v>23113112</v>
      </c>
    </row>
    <row r="79" customFormat="false" ht="15" hidden="false" customHeight="false" outlineLevel="0" collapsed="false">
      <c r="A79" s="42" t="n">
        <v>641100</v>
      </c>
      <c r="B79" s="12" t="s">
        <v>374</v>
      </c>
      <c r="C79" s="13" t="s">
        <v>375</v>
      </c>
      <c r="D79" s="26" t="n">
        <v>0</v>
      </c>
      <c r="E79" s="26" t="n">
        <v>0</v>
      </c>
      <c r="F79" s="26" t="n">
        <v>360000</v>
      </c>
      <c r="G79" s="26" t="n">
        <v>0</v>
      </c>
      <c r="H79" s="26" t="n">
        <v>360000</v>
      </c>
      <c r="I79" s="26" t="n">
        <v>0</v>
      </c>
      <c r="J79" s="21" t="n">
        <f aca="false">(D79-E79)+(F79-G79)-(H79-I79)</f>
        <v>0</v>
      </c>
      <c r="K79" s="43" t="n">
        <f aca="false">H79-I79</f>
        <v>360000</v>
      </c>
    </row>
    <row r="80" customFormat="false" ht="15" hidden="false" customHeight="false" outlineLevel="0" collapsed="false">
      <c r="A80" s="42" t="n">
        <v>641201</v>
      </c>
      <c r="B80" s="12" t="s">
        <v>376</v>
      </c>
      <c r="C80" s="13" t="s">
        <v>375</v>
      </c>
      <c r="D80" s="26" t="n">
        <v>0</v>
      </c>
      <c r="E80" s="26" t="n">
        <v>0</v>
      </c>
      <c r="F80" s="26" t="n">
        <v>9055133</v>
      </c>
      <c r="G80" s="26" t="n">
        <v>0</v>
      </c>
      <c r="H80" s="26" t="n">
        <v>9055133</v>
      </c>
      <c r="I80" s="26" t="n">
        <v>0</v>
      </c>
      <c r="J80" s="21" t="n">
        <f aca="false">(D80-E80)+(F80-G80)-(H80-I80)</f>
        <v>0</v>
      </c>
      <c r="K80" s="43" t="n">
        <f aca="false">H80-I80</f>
        <v>9055133</v>
      </c>
    </row>
    <row r="81" customFormat="false" ht="15" hidden="false" customHeight="false" outlineLevel="0" collapsed="false">
      <c r="A81" s="42" t="n">
        <v>641202</v>
      </c>
      <c r="B81" s="12" t="s">
        <v>377</v>
      </c>
      <c r="C81" s="13" t="s">
        <v>375</v>
      </c>
      <c r="D81" s="26" t="n">
        <v>0</v>
      </c>
      <c r="E81" s="26" t="n">
        <v>0</v>
      </c>
      <c r="F81" s="26" t="n">
        <v>1548695</v>
      </c>
      <c r="G81" s="26" t="n">
        <v>0</v>
      </c>
      <c r="H81" s="26" t="n">
        <v>1548695</v>
      </c>
      <c r="I81" s="26" t="n">
        <v>0</v>
      </c>
      <c r="J81" s="21" t="n">
        <f aca="false">(D81-E81)+(F81-G81)-(H81-I81)</f>
        <v>0</v>
      </c>
      <c r="K81" s="43" t="n">
        <f aca="false">H81-I81</f>
        <v>1548695</v>
      </c>
    </row>
    <row r="82" customFormat="false" ht="15" hidden="false" customHeight="false" outlineLevel="0" collapsed="false">
      <c r="A82" s="42" t="n">
        <v>641300</v>
      </c>
      <c r="B82" s="12" t="s">
        <v>378</v>
      </c>
      <c r="C82" s="13" t="s">
        <v>375</v>
      </c>
      <c r="D82" s="26" t="n">
        <v>0</v>
      </c>
      <c r="E82" s="26" t="n">
        <v>0</v>
      </c>
      <c r="F82" s="26" t="n">
        <v>826575</v>
      </c>
      <c r="G82" s="26" t="n">
        <v>0</v>
      </c>
      <c r="H82" s="26" t="n">
        <v>826575</v>
      </c>
      <c r="I82" s="26" t="n">
        <v>0</v>
      </c>
      <c r="J82" s="21" t="n">
        <f aca="false">(D82-E82)+(F82-G82)-(H82-I82)</f>
        <v>0</v>
      </c>
      <c r="K82" s="43" t="n">
        <f aca="false">H82-I82</f>
        <v>826575</v>
      </c>
    </row>
    <row r="83" customFormat="false" ht="15" hidden="false" customHeight="false" outlineLevel="0" collapsed="false">
      <c r="A83" s="42" t="n">
        <v>641400</v>
      </c>
      <c r="B83" s="12" t="s">
        <v>379</v>
      </c>
      <c r="C83" s="13" t="s">
        <v>375</v>
      </c>
      <c r="D83" s="26" t="n">
        <v>0</v>
      </c>
      <c r="E83" s="26" t="n">
        <v>0</v>
      </c>
      <c r="F83" s="26" t="n">
        <v>104066</v>
      </c>
      <c r="G83" s="26" t="n">
        <v>0</v>
      </c>
      <c r="H83" s="26" t="n">
        <v>104066</v>
      </c>
      <c r="I83" s="26" t="n">
        <v>0</v>
      </c>
      <c r="J83" s="21" t="n">
        <f aca="false">(D83-E83)+(F83-G83)-(H83-I83)</f>
        <v>0</v>
      </c>
      <c r="K83" s="43" t="n">
        <f aca="false">H83-I83</f>
        <v>104066</v>
      </c>
    </row>
    <row r="84" customFormat="false" ht="15" hidden="false" customHeight="false" outlineLevel="0" collapsed="false">
      <c r="A84" s="42" t="n">
        <v>641500</v>
      </c>
      <c r="B84" s="12" t="s">
        <v>380</v>
      </c>
      <c r="C84" s="13" t="s">
        <v>375</v>
      </c>
      <c r="D84" s="26" t="n">
        <v>0</v>
      </c>
      <c r="E84" s="26" t="n">
        <v>0</v>
      </c>
      <c r="F84" s="26" t="n">
        <v>312211</v>
      </c>
      <c r="G84" s="26" t="n">
        <v>0</v>
      </c>
      <c r="H84" s="26" t="n">
        <v>312211</v>
      </c>
      <c r="I84" s="26" t="n">
        <v>0</v>
      </c>
      <c r="J84" s="21" t="n">
        <f aca="false">(D84-E84)+(F84-G84)-(H84-I84)</f>
        <v>0</v>
      </c>
      <c r="K84" s="43" t="n">
        <f aca="false">H84-I84</f>
        <v>312211</v>
      </c>
    </row>
    <row r="85" customFormat="false" ht="15" hidden="false" customHeight="false" outlineLevel="0" collapsed="false">
      <c r="A85" s="42" t="n">
        <v>641830</v>
      </c>
      <c r="B85" s="12" t="s">
        <v>381</v>
      </c>
      <c r="C85" s="13" t="s">
        <v>375</v>
      </c>
      <c r="D85" s="26" t="n">
        <v>0</v>
      </c>
      <c r="E85" s="26" t="n">
        <v>0</v>
      </c>
      <c r="F85" s="26" t="n">
        <v>211685</v>
      </c>
      <c r="G85" s="26" t="n">
        <v>0</v>
      </c>
      <c r="H85" s="26" t="n">
        <v>211685</v>
      </c>
      <c r="I85" s="26" t="n">
        <v>0</v>
      </c>
      <c r="J85" s="21" t="n">
        <f aca="false">(D85-E85)+(F85-G85)-(H85-I85)</f>
        <v>0</v>
      </c>
      <c r="K85" s="43" t="n">
        <f aca="false">H85-I85</f>
        <v>211685</v>
      </c>
    </row>
    <row r="86" customFormat="false" ht="15" hidden="false" customHeight="false" outlineLevel="0" collapsed="false">
      <c r="A86" s="42" t="n">
        <v>646200</v>
      </c>
      <c r="B86" s="12" t="s">
        <v>382</v>
      </c>
      <c r="C86" s="13" t="s">
        <v>375</v>
      </c>
      <c r="D86" s="26" t="n">
        <v>0</v>
      </c>
      <c r="E86" s="26" t="n">
        <v>0</v>
      </c>
      <c r="F86" s="26" t="n">
        <v>1725647</v>
      </c>
      <c r="G86" s="26" t="n">
        <v>0</v>
      </c>
      <c r="H86" s="26" t="n">
        <v>1725647</v>
      </c>
      <c r="I86" s="26" t="n">
        <v>0</v>
      </c>
      <c r="J86" s="21" t="n">
        <f aca="false">(D86-E86)+(F86-G86)-(H86-I86)</f>
        <v>0</v>
      </c>
      <c r="K86" s="43" t="n">
        <f aca="false">H86-I86</f>
        <v>1725647</v>
      </c>
    </row>
    <row r="87" customFormat="false" ht="15" hidden="false" customHeight="false" outlineLevel="0" collapsed="false">
      <c r="A87" s="42" t="n">
        <v>648000</v>
      </c>
      <c r="B87" s="12" t="s">
        <v>383</v>
      </c>
      <c r="C87" s="13" t="s">
        <v>375</v>
      </c>
      <c r="D87" s="26" t="n">
        <v>0</v>
      </c>
      <c r="E87" s="26" t="n">
        <v>0</v>
      </c>
      <c r="F87" s="26" t="n">
        <v>725658</v>
      </c>
      <c r="G87" s="26" t="n">
        <v>0</v>
      </c>
      <c r="H87" s="26" t="n">
        <v>725658</v>
      </c>
      <c r="I87" s="26" t="n">
        <v>0</v>
      </c>
      <c r="J87" s="21" t="n">
        <f aca="false">(D87-E87)+(F87-G87)-(H87-I87)</f>
        <v>0</v>
      </c>
      <c r="K87" s="43" t="n">
        <f aca="false">H87-I87</f>
        <v>725658</v>
      </c>
    </row>
    <row r="88" customFormat="false" ht="15" hidden="false" customHeight="false" outlineLevel="0" collapsed="false">
      <c r="A88" s="42" t="n">
        <v>658800</v>
      </c>
      <c r="B88" s="12" t="s">
        <v>384</v>
      </c>
      <c r="C88" s="13" t="s">
        <v>385</v>
      </c>
      <c r="D88" s="26" t="n">
        <v>0</v>
      </c>
      <c r="E88" s="26" t="n">
        <v>0</v>
      </c>
      <c r="F88" s="26" t="n">
        <v>1316731</v>
      </c>
      <c r="G88" s="26" t="n">
        <v>0</v>
      </c>
      <c r="H88" s="26" t="n">
        <v>1316731</v>
      </c>
      <c r="I88" s="26" t="n">
        <v>0</v>
      </c>
      <c r="J88" s="21" t="n">
        <f aca="false">(D88-E88)+(F88-G88)-(H88-I88)</f>
        <v>0</v>
      </c>
      <c r="K88" s="43" t="n">
        <f aca="false">H88-I88</f>
        <v>1316731</v>
      </c>
    </row>
    <row r="89" customFormat="false" ht="15" hidden="false" customHeight="false" outlineLevel="0" collapsed="false">
      <c r="A89" s="42" t="n">
        <v>661100</v>
      </c>
      <c r="B89" s="12" t="s">
        <v>386</v>
      </c>
      <c r="C89" s="13" t="s">
        <v>387</v>
      </c>
      <c r="D89" s="26" t="n">
        <v>0</v>
      </c>
      <c r="E89" s="26" t="n">
        <v>0</v>
      </c>
      <c r="F89" s="26" t="n">
        <v>58979354</v>
      </c>
      <c r="G89" s="26" t="n">
        <v>0</v>
      </c>
      <c r="H89" s="26" t="n">
        <v>58979354</v>
      </c>
      <c r="I89" s="26" t="n">
        <v>0</v>
      </c>
      <c r="J89" s="21" t="n">
        <f aca="false">(D89-E89)+(F89-G89)-(H89-I89)</f>
        <v>0</v>
      </c>
      <c r="K89" s="43" t="n">
        <f aca="false">H89-I89</f>
        <v>58979354</v>
      </c>
    </row>
    <row r="90" customFormat="false" ht="15" hidden="false" customHeight="false" outlineLevel="0" collapsed="false">
      <c r="A90" s="42" t="n">
        <v>661200</v>
      </c>
      <c r="B90" s="12" t="s">
        <v>388</v>
      </c>
      <c r="C90" s="13" t="s">
        <v>387</v>
      </c>
      <c r="D90" s="26" t="n">
        <v>0</v>
      </c>
      <c r="E90" s="26" t="n">
        <v>0</v>
      </c>
      <c r="F90" s="26" t="n">
        <v>19937999</v>
      </c>
      <c r="G90" s="26" t="n">
        <v>0</v>
      </c>
      <c r="H90" s="26" t="n">
        <v>19937999</v>
      </c>
      <c r="I90" s="26" t="n">
        <v>0</v>
      </c>
      <c r="J90" s="21" t="n">
        <f aca="false">(D90-E90)+(F90-G90)-(H90-I90)</f>
        <v>0</v>
      </c>
      <c r="K90" s="43" t="n">
        <f aca="false">H90-I90</f>
        <v>19937999</v>
      </c>
    </row>
    <row r="91" customFormat="false" ht="15" hidden="false" customHeight="false" outlineLevel="0" collapsed="false">
      <c r="A91" s="42" t="n">
        <v>661300</v>
      </c>
      <c r="B91" s="12" t="s">
        <v>389</v>
      </c>
      <c r="C91" s="13" t="s">
        <v>387</v>
      </c>
      <c r="D91" s="26" t="n">
        <v>0</v>
      </c>
      <c r="E91" s="26" t="n">
        <v>0</v>
      </c>
      <c r="F91" s="26" t="n">
        <v>6578578</v>
      </c>
      <c r="G91" s="26" t="n">
        <v>0</v>
      </c>
      <c r="H91" s="26" t="n">
        <v>6578578</v>
      </c>
      <c r="I91" s="26" t="n">
        <v>0</v>
      </c>
      <c r="J91" s="21" t="n">
        <f aca="false">(D91-E91)+(F91-G91)-(H91-I91)</f>
        <v>0</v>
      </c>
      <c r="K91" s="43" t="n">
        <f aca="false">H91-I91</f>
        <v>6578578</v>
      </c>
    </row>
    <row r="92" customFormat="false" ht="15" hidden="false" customHeight="false" outlineLevel="0" collapsed="false">
      <c r="A92" s="42" t="n">
        <v>661400</v>
      </c>
      <c r="B92" s="12" t="s">
        <v>390</v>
      </c>
      <c r="C92" s="13" t="s">
        <v>387</v>
      </c>
      <c r="D92" s="26" t="n">
        <v>0</v>
      </c>
      <c r="E92" s="26" t="n">
        <v>0</v>
      </c>
      <c r="F92" s="26" t="n">
        <v>6643514</v>
      </c>
      <c r="G92" s="26" t="n">
        <v>0</v>
      </c>
      <c r="H92" s="26" t="n">
        <v>6643514</v>
      </c>
      <c r="I92" s="26" t="n">
        <v>0</v>
      </c>
      <c r="J92" s="21" t="n">
        <f aca="false">(D92-E92)+(F92-G92)-(H92-I92)</f>
        <v>0</v>
      </c>
      <c r="K92" s="43" t="n">
        <f aca="false">H92-I92</f>
        <v>6643514</v>
      </c>
    </row>
    <row r="93" customFormat="false" ht="15" hidden="false" customHeight="false" outlineLevel="0" collapsed="false">
      <c r="A93" s="42" t="n">
        <v>663400</v>
      </c>
      <c r="B93" s="12" t="s">
        <v>391</v>
      </c>
      <c r="C93" s="13" t="s">
        <v>387</v>
      </c>
      <c r="D93" s="26" t="n">
        <v>0</v>
      </c>
      <c r="E93" s="26" t="n">
        <v>0</v>
      </c>
      <c r="F93" s="26" t="n">
        <v>6880797</v>
      </c>
      <c r="G93" s="26" t="n">
        <v>0</v>
      </c>
      <c r="H93" s="26" t="n">
        <v>6880797</v>
      </c>
      <c r="I93" s="26" t="n">
        <v>0</v>
      </c>
      <c r="J93" s="21" t="n">
        <f aca="false">(D93-E93)+(F93-G93)-(H93-I93)</f>
        <v>0</v>
      </c>
      <c r="K93" s="43" t="n">
        <f aca="false">H93-I93</f>
        <v>6880797</v>
      </c>
    </row>
    <row r="94" customFormat="false" ht="15" hidden="false" customHeight="false" outlineLevel="0" collapsed="false">
      <c r="A94" s="42" t="n">
        <v>664101</v>
      </c>
      <c r="B94" s="12" t="s">
        <v>392</v>
      </c>
      <c r="C94" s="13" t="s">
        <v>387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0</v>
      </c>
      <c r="J94" s="21" t="n">
        <f aca="false">(D94-E94)+(F94-G94)-(H94-I94)</f>
        <v>0</v>
      </c>
      <c r="K94" s="43" t="n">
        <f aca="false">H94-I94</f>
        <v>0</v>
      </c>
    </row>
    <row r="95" customFormat="false" ht="15" hidden="false" customHeight="false" outlineLevel="0" collapsed="false">
      <c r="A95" s="42" t="n">
        <v>664102</v>
      </c>
      <c r="B95" s="12" t="s">
        <v>393</v>
      </c>
      <c r="C95" s="13" t="s">
        <v>387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0</v>
      </c>
      <c r="J95" s="21" t="n">
        <f aca="false">(D95-E95)+(F95-G95)-(H95-I95)</f>
        <v>0</v>
      </c>
      <c r="K95" s="43" t="n">
        <f aca="false">H95-I95</f>
        <v>0</v>
      </c>
    </row>
    <row r="96" customFormat="false" ht="15" hidden="false" customHeight="false" outlineLevel="0" collapsed="false">
      <c r="A96" s="42" t="n">
        <v>664103</v>
      </c>
      <c r="B96" s="12" t="s">
        <v>394</v>
      </c>
      <c r="C96" s="13" t="s">
        <v>387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0</v>
      </c>
      <c r="J96" s="21" t="n">
        <f aca="false">(D96-E96)+(F96-G96)-(H96-I96)</f>
        <v>0</v>
      </c>
      <c r="K96" s="43" t="n">
        <f aca="false">H96-I96</f>
        <v>0</v>
      </c>
    </row>
    <row r="97" customFormat="false" ht="15" hidden="false" customHeight="false" outlineLevel="0" collapsed="false">
      <c r="A97" s="42" t="n">
        <v>664104</v>
      </c>
      <c r="B97" s="12" t="s">
        <v>395</v>
      </c>
      <c r="C97" s="13" t="s">
        <v>387</v>
      </c>
      <c r="D97" s="26" t="n">
        <v>0</v>
      </c>
      <c r="E97" s="26" t="n">
        <v>0</v>
      </c>
      <c r="F97" s="26" t="n">
        <v>7005273</v>
      </c>
      <c r="G97" s="26" t="n">
        <v>0</v>
      </c>
      <c r="H97" s="26" t="n">
        <v>7005273</v>
      </c>
      <c r="I97" s="26" t="n">
        <v>0</v>
      </c>
      <c r="J97" s="21" t="n">
        <f aca="false">(D97-E97)+(F97-G97)-(H97-I97)</f>
        <v>0</v>
      </c>
      <c r="K97" s="43" t="n">
        <f aca="false">H97-I97</f>
        <v>7005273</v>
      </c>
    </row>
    <row r="98" customFormat="false" ht="15" hidden="false" customHeight="false" outlineLevel="0" collapsed="false">
      <c r="A98" s="42" t="n">
        <v>671201</v>
      </c>
      <c r="B98" s="12" t="s">
        <v>396</v>
      </c>
      <c r="C98" s="13" t="s">
        <v>397</v>
      </c>
      <c r="D98" s="26" t="n">
        <v>0</v>
      </c>
      <c r="E98" s="26" t="n">
        <v>0</v>
      </c>
      <c r="F98" s="26" t="n">
        <v>4142819</v>
      </c>
      <c r="G98" s="26" t="n">
        <v>0</v>
      </c>
      <c r="H98" s="26" t="n">
        <v>4142819</v>
      </c>
      <c r="I98" s="26" t="n">
        <v>0</v>
      </c>
      <c r="J98" s="21" t="n">
        <f aca="false">(D98-E98)+(F98-G98)-(H98-I98)</f>
        <v>0</v>
      </c>
      <c r="K98" s="43" t="n">
        <f aca="false">H98-I98</f>
        <v>4142819</v>
      </c>
    </row>
    <row r="99" customFormat="false" ht="15" hidden="false" customHeight="false" outlineLevel="0" collapsed="false">
      <c r="A99" s="42" t="n">
        <v>672301</v>
      </c>
      <c r="B99" s="12" t="s">
        <v>398</v>
      </c>
      <c r="C99" s="13" t="s">
        <v>397</v>
      </c>
      <c r="D99" s="26" t="n">
        <v>0</v>
      </c>
      <c r="E99" s="26" t="n">
        <v>0</v>
      </c>
      <c r="F99" s="26" t="n">
        <v>3965478</v>
      </c>
      <c r="G99" s="26" t="n">
        <v>0</v>
      </c>
      <c r="H99" s="26" t="n">
        <v>3965478</v>
      </c>
      <c r="I99" s="26" t="n">
        <v>0</v>
      </c>
      <c r="J99" s="21" t="n">
        <f aca="false">(D99-E99)+(F99-G99)-(H99-I99)</f>
        <v>0</v>
      </c>
      <c r="K99" s="43" t="n">
        <f aca="false">H99-I99</f>
        <v>3965478</v>
      </c>
    </row>
    <row r="100" customFormat="false" ht="15" hidden="false" customHeight="false" outlineLevel="0" collapsed="false">
      <c r="A100" s="42" t="n">
        <v>681301</v>
      </c>
      <c r="B100" s="12" t="s">
        <v>399</v>
      </c>
      <c r="C100" s="13" t="s">
        <v>400</v>
      </c>
      <c r="D100" s="26" t="n">
        <v>0</v>
      </c>
      <c r="E100" s="26" t="n">
        <v>0</v>
      </c>
      <c r="F100" s="26" t="n">
        <v>19282845</v>
      </c>
      <c r="G100" s="26" t="n">
        <v>0</v>
      </c>
      <c r="H100" s="26" t="n">
        <v>19282845</v>
      </c>
      <c r="I100" s="26" t="n">
        <v>0</v>
      </c>
      <c r="J100" s="21" t="n">
        <f aca="false">(D100-E100)+(F100-G100)-(H100-I100)</f>
        <v>0</v>
      </c>
      <c r="K100" s="43" t="n">
        <f aca="false">H100-I100</f>
        <v>19282845</v>
      </c>
    </row>
    <row r="101" customFormat="false" ht="15" hidden="false" customHeight="false" outlineLevel="0" collapsed="false">
      <c r="A101" s="42" t="n">
        <v>681302</v>
      </c>
      <c r="B101" s="12" t="s">
        <v>401</v>
      </c>
      <c r="C101" s="13" t="s">
        <v>400</v>
      </c>
      <c r="D101" s="26" t="n">
        <v>0</v>
      </c>
      <c r="E101" s="26" t="n">
        <v>0</v>
      </c>
      <c r="F101" s="26" t="n">
        <v>44854932</v>
      </c>
      <c r="G101" s="26" t="n">
        <v>0</v>
      </c>
      <c r="H101" s="26" t="n">
        <v>44854932</v>
      </c>
      <c r="I101" s="26" t="n">
        <v>0</v>
      </c>
      <c r="J101" s="21" t="n">
        <f aca="false">(D101-E101)+(F101-G101)-(H101-I101)</f>
        <v>0</v>
      </c>
      <c r="K101" s="43" t="n">
        <f aca="false">H101-I101</f>
        <v>44854932</v>
      </c>
    </row>
    <row r="102" customFormat="false" ht="15" hidden="false" customHeight="false" outlineLevel="0" collapsed="false">
      <c r="A102" s="42" t="n">
        <v>681303</v>
      </c>
      <c r="B102" s="12" t="s">
        <v>402</v>
      </c>
      <c r="C102" s="13" t="s">
        <v>400</v>
      </c>
      <c r="D102" s="26" t="n">
        <v>0</v>
      </c>
      <c r="E102" s="26" t="n">
        <v>0</v>
      </c>
      <c r="F102" s="26" t="n">
        <v>4934884</v>
      </c>
      <c r="G102" s="26" t="n">
        <v>0</v>
      </c>
      <c r="H102" s="26" t="n">
        <v>4934884</v>
      </c>
      <c r="I102" s="26" t="n">
        <v>0</v>
      </c>
      <c r="J102" s="21" t="n">
        <f aca="false">(D102-E102)+(F102-G102)-(H102-I102)</f>
        <v>0</v>
      </c>
      <c r="K102" s="43" t="n">
        <f aca="false">H102-I102</f>
        <v>4934884</v>
      </c>
    </row>
    <row r="103" customFormat="false" ht="15" hidden="false" customHeight="false" outlineLevel="0" collapsed="false">
      <c r="A103" s="42" t="n">
        <v>681304</v>
      </c>
      <c r="B103" s="12" t="s">
        <v>403</v>
      </c>
      <c r="C103" s="13" t="s">
        <v>400</v>
      </c>
      <c r="D103" s="26" t="n">
        <v>0</v>
      </c>
      <c r="E103" s="26" t="n">
        <v>0</v>
      </c>
      <c r="F103" s="26" t="n">
        <v>10760638</v>
      </c>
      <c r="G103" s="26" t="n">
        <v>0</v>
      </c>
      <c r="H103" s="26" t="n">
        <v>10760638</v>
      </c>
      <c r="I103" s="26" t="n">
        <v>0</v>
      </c>
      <c r="J103" s="21" t="n">
        <f aca="false">(D103-E103)+(F103-G103)-(H103-I103)</f>
        <v>0</v>
      </c>
      <c r="K103" s="43" t="n">
        <f aca="false">H103-I103</f>
        <v>10760638</v>
      </c>
    </row>
    <row r="104" customFormat="false" ht="15" hidden="false" customHeight="false" outlineLevel="0" collapsed="false">
      <c r="A104" s="42" t="n">
        <v>691100</v>
      </c>
      <c r="B104" s="12" t="s">
        <v>404</v>
      </c>
      <c r="C104" s="13" t="s">
        <v>400</v>
      </c>
      <c r="D104" s="26" t="n">
        <v>0</v>
      </c>
      <c r="E104" s="26" t="n">
        <v>0</v>
      </c>
      <c r="F104" s="26" t="n">
        <v>6059296</v>
      </c>
      <c r="G104" s="26" t="n">
        <v>0</v>
      </c>
      <c r="H104" s="26" t="n">
        <v>6059296</v>
      </c>
      <c r="I104" s="26" t="n">
        <v>0</v>
      </c>
      <c r="J104" s="21" t="n">
        <f aca="false">(D104-E104)+(F104-G104)-(H104-I104)</f>
        <v>0</v>
      </c>
      <c r="K104" s="43" t="n">
        <f aca="false">H104-I104</f>
        <v>6059296</v>
      </c>
    </row>
    <row r="105" customFormat="false" ht="15" hidden="false" customHeight="false" outlineLevel="0" collapsed="false">
      <c r="A105" s="35" t="n">
        <v>705100</v>
      </c>
      <c r="B105" s="36" t="s">
        <v>405</v>
      </c>
      <c r="C105" s="37" t="s">
        <v>406</v>
      </c>
      <c r="D105" s="38" t="n">
        <v>0</v>
      </c>
      <c r="E105" s="38" t="n">
        <v>0</v>
      </c>
      <c r="F105" s="38" t="n">
        <v>0</v>
      </c>
      <c r="G105" s="38" t="n">
        <v>701026695</v>
      </c>
      <c r="H105" s="38" t="n">
        <v>0</v>
      </c>
      <c r="I105" s="38" t="n">
        <v>701026695</v>
      </c>
      <c r="J105" s="39" t="n">
        <f aca="false">(D105-E105)+(F105-G105)-(H105-I105)</f>
        <v>0</v>
      </c>
      <c r="K105" s="40" t="n">
        <f aca="false">H105-I105</f>
        <v>-701026695</v>
      </c>
    </row>
    <row r="106" customFormat="false" ht="15" hidden="false" customHeight="false" outlineLevel="0" collapsed="false">
      <c r="A106" s="42" t="n">
        <v>771200</v>
      </c>
      <c r="B106" s="12" t="s">
        <v>407</v>
      </c>
      <c r="C106" s="13" t="s">
        <v>408</v>
      </c>
      <c r="D106" s="26" t="n">
        <v>0</v>
      </c>
      <c r="E106" s="26" t="n">
        <v>0</v>
      </c>
      <c r="F106" s="26" t="n">
        <v>0</v>
      </c>
      <c r="G106" s="26" t="n">
        <v>848594</v>
      </c>
      <c r="H106" s="26" t="n">
        <v>0</v>
      </c>
      <c r="I106" s="26" t="n">
        <v>848594</v>
      </c>
      <c r="J106" s="21" t="n">
        <f aca="false">(D106-E106)+(F106-G106)-(H106-I106)</f>
        <v>0</v>
      </c>
      <c r="K106" s="43" t="n">
        <f aca="false">H106-I106</f>
        <v>-848594</v>
      </c>
    </row>
    <row r="107" customFormat="false" ht="15" hidden="false" customHeight="false" outlineLevel="0" collapsed="false">
      <c r="A107" s="35" t="n">
        <v>891100</v>
      </c>
      <c r="B107" s="36" t="s">
        <v>409</v>
      </c>
      <c r="C107" s="37" t="s">
        <v>410</v>
      </c>
      <c r="D107" s="38" t="n">
        <v>0</v>
      </c>
      <c r="E107" s="38" t="n">
        <v>0</v>
      </c>
      <c r="F107" s="38" t="n">
        <v>24232959</v>
      </c>
      <c r="G107" s="38" t="n">
        <v>0</v>
      </c>
      <c r="H107" s="38" t="n">
        <v>24232959</v>
      </c>
      <c r="I107" s="38" t="n">
        <v>0</v>
      </c>
      <c r="J107" s="39" t="n">
        <f aca="false">(D107-E107)+(F107-G107)-(H107-I107)</f>
        <v>0</v>
      </c>
      <c r="K107" s="40" t="n">
        <f aca="false">H107-I107</f>
        <v>24232959</v>
      </c>
    </row>
    <row r="108" customFormat="false" ht="15" hidden="false" customHeight="false" outlineLevel="0" collapsed="false">
      <c r="A108" s="42" t="n">
        <v>895000</v>
      </c>
      <c r="B108" s="12" t="s">
        <v>411</v>
      </c>
      <c r="C108" s="13" t="s">
        <v>410</v>
      </c>
      <c r="D108" s="26" t="n">
        <v>0</v>
      </c>
      <c r="E108" s="26" t="n">
        <v>0</v>
      </c>
      <c r="F108" s="26" t="n">
        <v>0</v>
      </c>
      <c r="G108" s="26" t="n">
        <v>0</v>
      </c>
      <c r="H108" s="26" t="n">
        <v>0</v>
      </c>
      <c r="I108" s="26" t="n">
        <v>0</v>
      </c>
      <c r="J108" s="21" t="n">
        <f aca="false">(D108-E108)+(F108-G108)-(H108-I108)</f>
        <v>0</v>
      </c>
      <c r="K108" s="43" t="n">
        <f aca="false">H108-I108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412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413</v>
      </c>
    </row>
    <row r="3" customFormat="false" ht="15" hidden="false" customHeight="false" outlineLevel="0" collapsed="false">
      <c r="A3" s="27"/>
      <c r="B3" s="27"/>
      <c r="C3" s="27"/>
      <c r="D3" s="28" t="s">
        <v>237</v>
      </c>
      <c r="E3" s="28"/>
      <c r="F3" s="28" t="s">
        <v>238</v>
      </c>
      <c r="G3" s="28"/>
      <c r="H3" s="28" t="s">
        <v>239</v>
      </c>
      <c r="I3" s="28"/>
      <c r="J3" s="29" t="s">
        <v>240</v>
      </c>
      <c r="K3" s="29" t="s">
        <v>241</v>
      </c>
      <c r="M3" s="30" t="s">
        <v>242</v>
      </c>
      <c r="N3" s="30"/>
    </row>
    <row r="4" customFormat="false" ht="15" hidden="false" customHeight="false" outlineLevel="0" collapsed="false">
      <c r="A4" s="8" t="s">
        <v>243</v>
      </c>
      <c r="B4" s="8" t="s">
        <v>244</v>
      </c>
      <c r="C4" s="8" t="s">
        <v>245</v>
      </c>
      <c r="D4" s="8" t="s">
        <v>246</v>
      </c>
      <c r="E4" s="8" t="s">
        <v>247</v>
      </c>
      <c r="F4" s="8" t="s">
        <v>246</v>
      </c>
      <c r="G4" s="8" t="s">
        <v>247</v>
      </c>
      <c r="H4" s="8" t="s">
        <v>246</v>
      </c>
      <c r="I4" s="8" t="s">
        <v>247</v>
      </c>
      <c r="J4" s="8" t="s">
        <v>248</v>
      </c>
      <c r="M4" s="31" t="s">
        <v>249</v>
      </c>
    </row>
    <row r="5" customFormat="false" ht="15" hidden="false" customHeight="false" outlineLevel="0" collapsed="false">
      <c r="A5" s="32"/>
      <c r="B5" s="33" t="s">
        <v>250</v>
      </c>
      <c r="C5" s="32"/>
      <c r="D5" s="34" t="n">
        <f aca="false">SUBTOTAL(109,T_BAL_2025[Ouverture Débit])</f>
        <v>1713224346</v>
      </c>
      <c r="E5" s="34" t="n">
        <f aca="false">SUBTOTAL(109,T_BAL_2025[Ouverture Crédit])</f>
        <v>1713224346</v>
      </c>
      <c r="F5" s="34" t="n">
        <f aca="false">SUBTOTAL(109,T_BAL_2025[Mouvements Débit])</f>
        <v>3821015452</v>
      </c>
      <c r="G5" s="34" t="n">
        <f aca="false">SUBTOTAL(109,T_BAL_2025[Mouvements Crédit])</f>
        <v>3821015452</v>
      </c>
      <c r="H5" s="34" t="n">
        <f aca="false">SUBTOTAL(109,T_BAL_2025[Clôture Débit])</f>
        <v>2490865433</v>
      </c>
      <c r="I5" s="34" t="n">
        <f aca="false">SUBTOTAL(109,T_BAL_2025[Clôture Crédit])</f>
        <v>2490865433</v>
      </c>
      <c r="J5" s="34" t="n">
        <f aca="false">SUBTOTAL(109,T_BAL_2025[Contrôle])</f>
        <v>0</v>
      </c>
      <c r="M5" s="31" t="s">
        <v>251</v>
      </c>
    </row>
    <row r="6" customFormat="false" ht="15" hidden="false" customHeight="false" outlineLevel="0" collapsed="false">
      <c r="B6" s="4" t="s">
        <v>252</v>
      </c>
      <c r="D6" s="24" t="n">
        <f aca="false">D5-E5</f>
        <v>0</v>
      </c>
      <c r="F6" s="24" t="n">
        <f aca="false">F5-G5</f>
        <v>0</v>
      </c>
      <c r="H6" s="24" t="n">
        <f aca="false">H5-I5</f>
        <v>0</v>
      </c>
      <c r="M6" s="31" t="s">
        <v>253</v>
      </c>
    </row>
    <row r="7" customFormat="false" ht="15" hidden="false" customHeight="false" outlineLevel="0" collapsed="false">
      <c r="B7" s="7" t="s">
        <v>414</v>
      </c>
      <c r="H7" s="21" t="n">
        <f aca="false">-SUM(T_BAL_2025[Hors trésorerie])</f>
        <v>215946214</v>
      </c>
      <c r="M7" s="31" t="s">
        <v>254</v>
      </c>
    </row>
    <row r="8" customFormat="false" ht="15" hidden="false" customHeight="false" outlineLevel="0" collapsed="false">
      <c r="B8" s="7" t="s">
        <v>415</v>
      </c>
      <c r="H8" s="21" t="n">
        <f aca="false">ROUND((G34+HYPOTHESES!D$66+'INVEST ET FINANCEMENT'!D$48+'INVEST ET FINANCEMENT'!D$52+(D56-E56)+(D57-E57)-H7)/(1-HYPOTHESES!D$37*(1-HYPOTHESES!D$38)),0)</f>
        <v>839353712</v>
      </c>
      <c r="M8" s="31" t="s">
        <v>255</v>
      </c>
    </row>
    <row r="9" customFormat="false" ht="15" hidden="false" customHeight="false" outlineLevel="0" collapsed="false">
      <c r="B9" s="7" t="s">
        <v>416</v>
      </c>
      <c r="H9" s="21" t="n">
        <f aca="false">ROUND(HYPOTHESES!D$37*H8,0)</f>
        <v>167870742</v>
      </c>
      <c r="M9" s="31" t="s">
        <v>256</v>
      </c>
    </row>
    <row r="10" customFormat="false" ht="15" hidden="false" customHeight="false" outlineLevel="0" collapsed="false">
      <c r="M10" s="31" t="s">
        <v>257</v>
      </c>
    </row>
    <row r="11" customFormat="false" ht="15" hidden="false" customHeight="false" outlineLevel="0" collapsed="false">
      <c r="A11" s="27"/>
      <c r="B11" s="29" t="s">
        <v>258</v>
      </c>
      <c r="C11" s="27"/>
      <c r="D11" s="28" t="s">
        <v>237</v>
      </c>
      <c r="E11" s="28"/>
      <c r="F11" s="28" t="s">
        <v>238</v>
      </c>
      <c r="G11" s="28"/>
      <c r="H11" s="28" t="s">
        <v>239</v>
      </c>
      <c r="I11" s="28"/>
      <c r="J11" s="29" t="s">
        <v>240</v>
      </c>
      <c r="K11" s="29" t="s">
        <v>241</v>
      </c>
      <c r="M11" s="31" t="s">
        <v>259</v>
      </c>
    </row>
    <row r="12" customFormat="false" ht="15" hidden="false" customHeight="false" outlineLevel="0" collapsed="false">
      <c r="A12" s="8" t="s">
        <v>243</v>
      </c>
      <c r="B12" s="8" t="s">
        <v>244</v>
      </c>
      <c r="C12" s="8" t="s">
        <v>245</v>
      </c>
      <c r="D12" s="8" t="s">
        <v>260</v>
      </c>
      <c r="E12" s="8" t="s">
        <v>261</v>
      </c>
      <c r="F12" s="8" t="s">
        <v>262</v>
      </c>
      <c r="G12" s="8" t="s">
        <v>263</v>
      </c>
      <c r="H12" s="8" t="s">
        <v>264</v>
      </c>
      <c r="I12" s="8" t="s">
        <v>265</v>
      </c>
      <c r="J12" s="8" t="s">
        <v>240</v>
      </c>
      <c r="K12" s="8" t="s">
        <v>266</v>
      </c>
      <c r="M12" s="29" t="s">
        <v>267</v>
      </c>
      <c r="N12" s="29" t="s">
        <v>268</v>
      </c>
    </row>
    <row r="13" customFormat="false" ht="15" hidden="false" customHeight="false" outlineLevel="0" collapsed="false">
      <c r="A13" s="35" t="n">
        <v>101000</v>
      </c>
      <c r="B13" s="36" t="s">
        <v>269</v>
      </c>
      <c r="C13" s="37" t="s">
        <v>270</v>
      </c>
      <c r="D13" s="44" t="n">
        <f aca="false">IF(LEFT(A13,1)&gt;="6",0,SUMIFS('BALANCE 2024'!$H:$H,'BALANCE 2024'!$A:$A,A13))</f>
        <v>0</v>
      </c>
      <c r="E13" s="44" t="n">
        <f aca="false">IF(LEFT(A13,1)&gt;="6",0,SUMIFS('BALANCE 2024'!$I:$I,'BALANCE 2024'!$A:$A,A13))</f>
        <v>10000000</v>
      </c>
      <c r="F13" s="44" t="n">
        <f aca="false">ROUND('INVEST ET FINANCEMENT'!D$52,0)+(H13-I13)-(D13-E13)</f>
        <v>0</v>
      </c>
      <c r="G13" s="44" t="n">
        <f aca="false">ROUND('INVEST ET FINANCEMENT'!D$52,0)</f>
        <v>0</v>
      </c>
      <c r="H13" s="39" t="n">
        <v>0</v>
      </c>
      <c r="I13" s="44" t="n">
        <f aca="false">ROUND(E13+'INVEST ET FINANCEMENT'!D$52,0)</f>
        <v>10000000</v>
      </c>
      <c r="J13" s="39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3" s="40" t="n">
        <f aca="false">T_BAL_2025[[#This Row],[Clôture Débit]]-T_BAL_2025[[#This Row],[Clôture Crédit]]</f>
        <v>-10000000</v>
      </c>
      <c r="M13" s="41" t="s">
        <v>271</v>
      </c>
      <c r="N13" s="31" t="s">
        <v>272</v>
      </c>
    </row>
    <row r="14" customFormat="false" ht="15" hidden="false" customHeight="false" outlineLevel="0" collapsed="false">
      <c r="A14" s="42" t="n">
        <v>111000</v>
      </c>
      <c r="B14" s="12" t="s">
        <v>273</v>
      </c>
      <c r="C14" s="13" t="s">
        <v>274</v>
      </c>
      <c r="D14" s="15" t="n">
        <f aca="false">IF(LEFT(A14,1)&gt;="6",0,SUMIFS('BALANCE 2024'!$H:$H,'BALANCE 2024'!$A:$A,A14))</f>
        <v>0</v>
      </c>
      <c r="E14" s="15" t="n">
        <f aca="false">IF(LEFT(A14,1)&gt;="6",0,SUMIFS('BALANCE 2024'!$I:$I,'BALANCE 2024'!$A:$A,A14))</f>
        <v>0</v>
      </c>
      <c r="F14" s="15" t="n">
        <f aca="false">ROUND(HYPOTHESES!D$74,0)+(H14-I14)-(D14-E14)</f>
        <v>0</v>
      </c>
      <c r="G14" s="15" t="n">
        <f aca="false">ROUND(HYPOTHESES!D$74,0)</f>
        <v>2000000</v>
      </c>
      <c r="H14" s="21" t="n">
        <v>0</v>
      </c>
      <c r="I14" s="15" t="n">
        <f aca="false">ROUND(E14+HYPOTHESES!D$74,0)</f>
        <v>2000000</v>
      </c>
      <c r="J14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4" s="43" t="n">
        <f aca="false">T_BAL_2025[[#This Row],[Clôture Débit]]-T_BAL_2025[[#This Row],[Clôture Crédit]]</f>
        <v>-2000000</v>
      </c>
      <c r="M14" s="41" t="s">
        <v>275</v>
      </c>
      <c r="N14" s="31" t="s">
        <v>276</v>
      </c>
    </row>
    <row r="15" customFormat="false" ht="15" hidden="false" customHeight="false" outlineLevel="0" collapsed="false">
      <c r="A15" s="42" t="n">
        <v>121000</v>
      </c>
      <c r="B15" s="12" t="s">
        <v>277</v>
      </c>
      <c r="C15" s="13" t="s">
        <v>278</v>
      </c>
      <c r="D15" s="15" t="n">
        <f aca="false">IF(LEFT(A15,1)&gt;="6",0,SUMIFS('BALANCE 2024'!$H:$H,'BALANCE 2024'!$A:$A,A15))</f>
        <v>0</v>
      </c>
      <c r="E15" s="15" t="n">
        <f aca="false">IF(LEFT(A15,1)&gt;="6",0,SUMIFS('BALANCE 2024'!$I:$I,'BALANCE 2024'!$A:$A,A15))</f>
        <v>773799851</v>
      </c>
      <c r="F15" s="21" t="n">
        <f aca="false">MAX(0,(H15-I15)-(D15-E15))</f>
        <v>0</v>
      </c>
      <c r="G15" s="21" t="n">
        <f aca="false">MAX(0,(D15-E15)-(H15-I15))</f>
        <v>70698877</v>
      </c>
      <c r="H15" s="15" t="n">
        <f aca="false">ROUND(MAX(0,-(E15-D15+HYPOTHESES!D$76)),0)</f>
        <v>0</v>
      </c>
      <c r="I15" s="15" t="n">
        <f aca="false">ROUND(MAX(0,(E15-D15+HYPOTHESES!D$76)),0)</f>
        <v>844498728</v>
      </c>
      <c r="J15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5" s="43" t="n">
        <f aca="false">T_BAL_2025[[#This Row],[Clôture Débit]]-T_BAL_2025[[#This Row],[Clôture Crédit]]</f>
        <v>-844498728</v>
      </c>
      <c r="M15" s="41" t="s">
        <v>279</v>
      </c>
      <c r="N15" s="31" t="s">
        <v>280</v>
      </c>
    </row>
    <row r="16" customFormat="false" ht="15" hidden="false" customHeight="false" outlineLevel="0" collapsed="false">
      <c r="A16" s="42" t="n">
        <v>130100</v>
      </c>
      <c r="B16" s="12" t="s">
        <v>281</v>
      </c>
      <c r="C16" s="13" t="s">
        <v>282</v>
      </c>
      <c r="D16" s="21" t="n">
        <f aca="false">MAX(0,-SUMPRODUCT((LEFT(T_BAL_2024[Compte],1)&gt;="6")*(T_BAL_2024[Clôture Crédit]-T_BAL_2024[Clôture Débit])))</f>
        <v>0</v>
      </c>
      <c r="E16" s="21" t="n">
        <f aca="false">MAX(0,SUMPRODUCT((LEFT(T_BAL_2024[Compte],1)&gt;="6")*(T_BAL_2024[Clôture Crédit]-T_BAL_2024[Clôture Débit])))</f>
        <v>72698877</v>
      </c>
      <c r="F16" s="21" t="n">
        <f aca="false">MAX(0,(H16-I16)-(D16-E16))</f>
        <v>72698877</v>
      </c>
      <c r="G16" s="21" t="n">
        <f aca="false">MAX(0,(D16-E16)-(H16-I16))</f>
        <v>0</v>
      </c>
      <c r="H16" s="21" t="n">
        <v>0</v>
      </c>
      <c r="I16" s="21" t="n">
        <v>0</v>
      </c>
      <c r="J16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6" s="43" t="n">
        <f aca="false">T_BAL_2025[[#This Row],[Clôture Débit]]-T_BAL_2025[[#This Row],[Clôture Crédit]]</f>
        <v>0</v>
      </c>
      <c r="M16" s="41" t="s">
        <v>283</v>
      </c>
      <c r="N16" s="31" t="s">
        <v>284</v>
      </c>
    </row>
    <row r="17" customFormat="false" ht="15" hidden="false" customHeight="false" outlineLevel="0" collapsed="false">
      <c r="A17" s="42" t="n">
        <v>162002</v>
      </c>
      <c r="B17" s="12" t="s">
        <v>285</v>
      </c>
      <c r="C17" s="13" t="s">
        <v>213</v>
      </c>
      <c r="D17" s="15" t="n">
        <f aca="false">IF(LEFT(A17,1)&gt;="6",0,SUMIFS('BALANCE 2024'!$H:$H,'BALANCE 2024'!$A:$A,A17))</f>
        <v>0</v>
      </c>
      <c r="E17" s="15" t="n">
        <f aca="false">IF(LEFT(A17,1)&gt;="6",0,SUMIFS('BALANCE 2024'!$I:$I,'BALANCE 2024'!$A:$A,A17))</f>
        <v>39658832</v>
      </c>
      <c r="F17" s="15" t="n">
        <f aca="false">ROUND('INVEST ET FINANCEMENT'!D$48,0)+(H17-I17)-(D17-E17)</f>
        <v>94054514</v>
      </c>
      <c r="G17" s="15" t="n">
        <f aca="false">ROUND('INVEST ET FINANCEMENT'!D$48,0)</f>
        <v>54395682</v>
      </c>
      <c r="H17" s="21" t="n">
        <v>0</v>
      </c>
      <c r="I17" s="15" t="n">
        <f aca="false">ROUND(E17+'INVEST ET FINANCEMENT'!D$48-'INVEST ET FINANCEMENT'!D$49,0)</f>
        <v>0</v>
      </c>
      <c r="J17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7" s="43" t="n">
        <f aca="false">T_BAL_2025[[#This Row],[Clôture Débit]]-T_BAL_2025[[#This Row],[Clôture Crédit]]</f>
        <v>0</v>
      </c>
      <c r="M17" s="41" t="s">
        <v>286</v>
      </c>
      <c r="N17" s="31" t="s">
        <v>287</v>
      </c>
    </row>
    <row r="18" customFormat="false" ht="15" hidden="false" customHeight="false" outlineLevel="0" collapsed="false">
      <c r="A18" s="42" t="n">
        <v>173060</v>
      </c>
      <c r="B18" s="12" t="s">
        <v>288</v>
      </c>
      <c r="C18" s="13" t="s">
        <v>216</v>
      </c>
      <c r="D18" s="15" t="n">
        <f aca="false">IF(LEFT(A18,1)&gt;="6",0,SUMIFS('BALANCE 2024'!$H:$H,'BALANCE 2024'!$A:$A,A18))</f>
        <v>0</v>
      </c>
      <c r="E18" s="15" t="n">
        <f aca="false">IF(LEFT(A18,1)&gt;="6",0,SUMIFS('BALANCE 2024'!$I:$I,'BALANCE 2024'!$A:$A,A18))</f>
        <v>10619694</v>
      </c>
      <c r="F18" s="15" t="n">
        <f aca="false">ROUND('INVEST ET FINANCEMENT'!D$50,0)</f>
        <v>10619694</v>
      </c>
      <c r="G18" s="15" t="n">
        <f aca="false">ROUND('INVEST ET FINANCEMENT'!D$50,0)+(D18-E18)-(H18-I18)</f>
        <v>0</v>
      </c>
      <c r="H18" s="21" t="n">
        <v>0</v>
      </c>
      <c r="I18" s="15" t="n">
        <f aca="false">ROUND(E18-'INVEST ET FINANCEMENT'!D$50,0)</f>
        <v>0</v>
      </c>
      <c r="J18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8" s="43" t="n">
        <f aca="false">T_BAL_2025[[#This Row],[Clôture Débit]]-T_BAL_2025[[#This Row],[Clôture Crédit]]</f>
        <v>0</v>
      </c>
      <c r="M18" s="41" t="s">
        <v>289</v>
      </c>
      <c r="N18" s="31" t="s">
        <v>290</v>
      </c>
    </row>
    <row r="19" customFormat="false" ht="15" hidden="false" customHeight="false" outlineLevel="0" collapsed="false">
      <c r="A19" s="42" t="n">
        <v>196100</v>
      </c>
      <c r="B19" s="12" t="s">
        <v>291</v>
      </c>
      <c r="C19" s="13" t="s">
        <v>292</v>
      </c>
      <c r="D19" s="15" t="n">
        <f aca="false">IF(LEFT(A19,1)&gt;="6",0,SUMIFS('BALANCE 2024'!$H:$H,'BALANCE 2024'!$A:$A,A19))</f>
        <v>0</v>
      </c>
      <c r="E19" s="15" t="n">
        <f aca="false">IF(LEFT(A19,1)&gt;="6",0,SUMIFS('BALANCE 2024'!$I:$I,'BALANCE 2024'!$A:$A,A19))</f>
        <v>21273896</v>
      </c>
      <c r="F19" s="15" t="n">
        <f aca="false">ROUND(HYPOTHESES!D$28,0)+(H19-I19)-(D19-E19)</f>
        <v>0</v>
      </c>
      <c r="G19" s="15" t="n">
        <f aca="false">ROUND(HYPOTHESES!D$28,0)</f>
        <v>6945583</v>
      </c>
      <c r="H19" s="21" t="n">
        <v>0</v>
      </c>
      <c r="I19" s="15" t="n">
        <f aca="false">ROUND(E19+HYPOTHESES!D$28,0)</f>
        <v>28219479</v>
      </c>
      <c r="J19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9" s="43" t="n">
        <f aca="false">T_BAL_2025[[#This Row],[Clôture Débit]]-T_BAL_2025[[#This Row],[Clôture Crédit]]</f>
        <v>-28219479</v>
      </c>
      <c r="M19" s="41" t="s">
        <v>293</v>
      </c>
      <c r="N19" s="31" t="s">
        <v>294</v>
      </c>
    </row>
    <row r="20" customFormat="false" ht="15" hidden="false" customHeight="false" outlineLevel="0" collapsed="false">
      <c r="A20" s="35" t="n">
        <v>234100</v>
      </c>
      <c r="B20" s="36" t="s">
        <v>295</v>
      </c>
      <c r="C20" s="37" t="s">
        <v>296</v>
      </c>
      <c r="D20" s="44" t="n">
        <f aca="false">IF(LEFT(A20,1)&gt;="6",0,SUMIFS('BALANCE 2024'!$H:$H,'BALANCE 2024'!$A:$A,A20))</f>
        <v>103601492</v>
      </c>
      <c r="E20" s="44" t="n">
        <f aca="false">IF(LEFT(A20,1)&gt;="6",0,SUMIFS('BALANCE 2024'!$I:$I,'BALANCE 2024'!$A:$A,A20))</f>
        <v>0</v>
      </c>
      <c r="F20" s="44" t="n">
        <f aca="false">ROUND('INVEST ET FINANCEMENT'!D$9,0)</f>
        <v>0</v>
      </c>
      <c r="G20" s="44" t="n">
        <f aca="false">ROUND('INVEST ET FINANCEMENT'!D$9,0)+(D20-E20)-(H20-I20)</f>
        <v>0</v>
      </c>
      <c r="H20" s="44" t="n">
        <f aca="false">ROUND(D20+'INVEST ET FINANCEMENT'!D$9,0)</f>
        <v>103601492</v>
      </c>
      <c r="I20" s="39" t="n">
        <v>0</v>
      </c>
      <c r="J20" s="39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0" s="40" t="n">
        <f aca="false">T_BAL_2025[[#This Row],[Clôture Débit]]-T_BAL_2025[[#This Row],[Clôture Crédit]]</f>
        <v>103601492</v>
      </c>
      <c r="M20" s="41" t="s">
        <v>297</v>
      </c>
      <c r="N20" s="31" t="s">
        <v>298</v>
      </c>
    </row>
    <row r="21" customFormat="false" ht="15" hidden="false" customHeight="false" outlineLevel="0" collapsed="false">
      <c r="A21" s="42" t="n">
        <v>241100</v>
      </c>
      <c r="B21" s="12" t="s">
        <v>299</v>
      </c>
      <c r="C21" s="13" t="s">
        <v>300</v>
      </c>
      <c r="D21" s="15" t="n">
        <f aca="false">IF(LEFT(A21,1)&gt;="6",0,SUMIFS('BALANCE 2024'!$H:$H,'BALANCE 2024'!$A:$A,A21))</f>
        <v>313845268</v>
      </c>
      <c r="E21" s="15" t="n">
        <f aca="false">IF(LEFT(A21,1)&gt;="6",0,SUMIFS('BALANCE 2024'!$I:$I,'BALANCE 2024'!$A:$A,A21))</f>
        <v>0</v>
      </c>
      <c r="F21" s="15" t="n">
        <f aca="false">ROUND('INVEST ET FINANCEMENT'!D$10,0)</f>
        <v>0</v>
      </c>
      <c r="G21" s="15" t="n">
        <f aca="false">ROUND('INVEST ET FINANCEMENT'!D$10,0)+(D21-E21)-(H21-I21)</f>
        <v>0</v>
      </c>
      <c r="H21" s="15" t="n">
        <f aca="false">ROUND(D21+'INVEST ET FINANCEMENT'!D$10,0)</f>
        <v>313845268</v>
      </c>
      <c r="I21" s="21" t="n">
        <v>0</v>
      </c>
      <c r="J21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1" s="43" t="n">
        <f aca="false">T_BAL_2025[[#This Row],[Clôture Débit]]-T_BAL_2025[[#This Row],[Clôture Crédit]]</f>
        <v>313845268</v>
      </c>
      <c r="M21" s="41" t="s">
        <v>301</v>
      </c>
      <c r="N21" s="31" t="s">
        <v>302</v>
      </c>
    </row>
    <row r="22" customFormat="false" ht="15" hidden="false" customHeight="false" outlineLevel="0" collapsed="false">
      <c r="A22" s="42" t="n">
        <v>244100</v>
      </c>
      <c r="B22" s="12" t="s">
        <v>303</v>
      </c>
      <c r="C22" s="13" t="s">
        <v>300</v>
      </c>
      <c r="D22" s="15" t="n">
        <f aca="false">IF(LEFT(A22,1)&gt;="6",0,SUMIFS('BALANCE 2024'!$H:$H,'BALANCE 2024'!$A:$A,A22))</f>
        <v>9306956</v>
      </c>
      <c r="E22" s="15" t="n">
        <f aca="false">IF(LEFT(A22,1)&gt;="6",0,SUMIFS('BALANCE 2024'!$I:$I,'BALANCE 2024'!$A:$A,A22))</f>
        <v>0</v>
      </c>
      <c r="F22" s="21" t="n">
        <f aca="false">MAX(0,(H22-I22)-(D22-E22))</f>
        <v>0</v>
      </c>
      <c r="G22" s="21" t="n">
        <f aca="false">MAX(0,(D22-E22)-(H22-I22))</f>
        <v>0</v>
      </c>
      <c r="H22" s="21" t="n">
        <f aca="false">ROUND(D22,0)</f>
        <v>9306956</v>
      </c>
      <c r="I22" s="21" t="n">
        <v>0</v>
      </c>
      <c r="J22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2" s="43" t="n">
        <f aca="false">T_BAL_2025[[#This Row],[Clôture Débit]]-T_BAL_2025[[#This Row],[Clôture Crédit]]</f>
        <v>9306956</v>
      </c>
    </row>
    <row r="23" customFormat="false" ht="15" hidden="false" customHeight="false" outlineLevel="0" collapsed="false">
      <c r="A23" s="42" t="n">
        <v>244200</v>
      </c>
      <c r="B23" s="12" t="s">
        <v>304</v>
      </c>
      <c r="C23" s="13" t="s">
        <v>300</v>
      </c>
      <c r="D23" s="15" t="n">
        <f aca="false">IF(LEFT(A23,1)&gt;="6",0,SUMIFS('BALANCE 2024'!$H:$H,'BALANCE 2024'!$A:$A,A23))</f>
        <v>12980459</v>
      </c>
      <c r="E23" s="15" t="n">
        <f aca="false">IF(LEFT(A23,1)&gt;="6",0,SUMIFS('BALANCE 2024'!$I:$I,'BALANCE 2024'!$A:$A,A23))</f>
        <v>0</v>
      </c>
      <c r="F23" s="15" t="n">
        <f aca="false">ROUND('INVEST ET FINANCEMENT'!D$11,0)</f>
        <v>930000</v>
      </c>
      <c r="G23" s="15" t="n">
        <f aca="false">ROUND('INVEST ET FINANCEMENT'!D$11,0)+(D23-E23)-(H23-I23)</f>
        <v>0</v>
      </c>
      <c r="H23" s="15" t="n">
        <f aca="false">ROUND(D23+'INVEST ET FINANCEMENT'!D$11,0)</f>
        <v>13910459</v>
      </c>
      <c r="I23" s="21" t="n">
        <v>0</v>
      </c>
      <c r="J23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3" s="43" t="n">
        <f aca="false">T_BAL_2025[[#This Row],[Clôture Débit]]-T_BAL_2025[[#This Row],[Clôture Crédit]]</f>
        <v>13910459</v>
      </c>
    </row>
    <row r="24" customFormat="false" ht="15" hidden="false" customHeight="false" outlineLevel="0" collapsed="false">
      <c r="A24" s="42" t="n">
        <v>245100</v>
      </c>
      <c r="B24" s="12" t="s">
        <v>305</v>
      </c>
      <c r="C24" s="13" t="s">
        <v>306</v>
      </c>
      <c r="D24" s="15" t="n">
        <f aca="false">IF(LEFT(A24,1)&gt;="6",0,SUMIFS('BALANCE 2024'!$H:$H,'BALANCE 2024'!$A:$A,A24))</f>
        <v>408044985</v>
      </c>
      <c r="E24" s="15" t="n">
        <f aca="false">IF(LEFT(A24,1)&gt;="6",0,SUMIFS('BALANCE 2024'!$I:$I,'BALANCE 2024'!$A:$A,A24))</f>
        <v>0</v>
      </c>
      <c r="F24" s="15" t="n">
        <f aca="false">ROUND('INVEST ET FINANCEMENT'!D$12+'INVEST ET FINANCEMENT'!D$14,0)</f>
        <v>44212914</v>
      </c>
      <c r="G24" s="15" t="n">
        <f aca="false">ROUND('INVEST ET FINANCEMENT'!D$12+'INVEST ET FINANCEMENT'!D$14,0)+(D24-E24)-(H24-I24)</f>
        <v>0</v>
      </c>
      <c r="H24" s="15" t="n">
        <f aca="false">ROUND(D24+'INVEST ET FINANCEMENT'!D$12+'INVEST ET FINANCEMENT'!D$14,0)</f>
        <v>452257899</v>
      </c>
      <c r="I24" s="21" t="n">
        <v>0</v>
      </c>
      <c r="J24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4" s="43" t="n">
        <f aca="false">T_BAL_2025[[#This Row],[Clôture Débit]]-T_BAL_2025[[#This Row],[Clôture Crédit]]</f>
        <v>452257899</v>
      </c>
    </row>
    <row r="25" customFormat="false" ht="15" hidden="false" customHeight="false" outlineLevel="0" collapsed="false">
      <c r="A25" s="42" t="n">
        <v>245600</v>
      </c>
      <c r="B25" s="12" t="s">
        <v>307</v>
      </c>
      <c r="C25" s="13" t="s">
        <v>306</v>
      </c>
      <c r="D25" s="15" t="n">
        <f aca="false">IF(LEFT(A25,1)&gt;="6",0,SUMIFS('BALANCE 2024'!$H:$H,'BALANCE 2024'!$A:$A,A25))</f>
        <v>28619694</v>
      </c>
      <c r="E25" s="15" t="n">
        <f aca="false">IF(LEFT(A25,1)&gt;="6",0,SUMIFS('BALANCE 2024'!$I:$I,'BALANCE 2024'!$A:$A,A25))</f>
        <v>0</v>
      </c>
      <c r="F25" s="15" t="n">
        <f aca="false">ROUND('INVEST ET FINANCEMENT'!D$14,0)+(H25-I25)-(D25-E25)</f>
        <v>0</v>
      </c>
      <c r="G25" s="15" t="n">
        <f aca="false">ROUND('INVEST ET FINANCEMENT'!D$14,0)</f>
        <v>28619694</v>
      </c>
      <c r="H25" s="15" t="n">
        <f aca="false">ROUND(D25-'INVEST ET FINANCEMENT'!D$14,0)</f>
        <v>0</v>
      </c>
      <c r="I25" s="21" t="n">
        <v>0</v>
      </c>
      <c r="J25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5" s="43" t="n">
        <f aca="false">T_BAL_2025[[#This Row],[Clôture Débit]]-T_BAL_2025[[#This Row],[Clôture Crédit]]</f>
        <v>0</v>
      </c>
    </row>
    <row r="26" customFormat="false" ht="15" hidden="false" customHeight="false" outlineLevel="0" collapsed="false">
      <c r="A26" s="42" t="n">
        <v>271800</v>
      </c>
      <c r="B26" s="12" t="s">
        <v>308</v>
      </c>
      <c r="C26" s="13" t="s">
        <v>309</v>
      </c>
      <c r="D26" s="15" t="n">
        <f aca="false">IF(LEFT(A26,1)&gt;="6",0,SUMIFS('BALANCE 2024'!$H:$H,'BALANCE 2024'!$A:$A,A26))</f>
        <v>25000000</v>
      </c>
      <c r="E26" s="15" t="n">
        <f aca="false">IF(LEFT(A26,1)&gt;="6",0,SUMIFS('BALANCE 2024'!$I:$I,'BALANCE 2024'!$A:$A,A26))</f>
        <v>0</v>
      </c>
      <c r="F26" s="21" t="n">
        <f aca="false">MAX(0,(H26-I26)-(D26-E26))</f>
        <v>0</v>
      </c>
      <c r="G26" s="21" t="n">
        <f aca="false">MAX(0,(D26-E26)-(H26-I26))</f>
        <v>0</v>
      </c>
      <c r="H26" s="21" t="n">
        <f aca="false">ROUND(D26,0)</f>
        <v>25000000</v>
      </c>
      <c r="I26" s="21" t="n">
        <v>0</v>
      </c>
      <c r="J26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6" s="43" t="n">
        <f aca="false">T_BAL_2025[[#This Row],[Clôture Débit]]-T_BAL_2025[[#This Row],[Clôture Crédit]]</f>
        <v>25000000</v>
      </c>
    </row>
    <row r="27" customFormat="false" ht="15" hidden="false" customHeight="false" outlineLevel="0" collapsed="false">
      <c r="A27" s="42" t="n">
        <v>275100</v>
      </c>
      <c r="B27" s="12" t="s">
        <v>310</v>
      </c>
      <c r="C27" s="13" t="s">
        <v>309</v>
      </c>
      <c r="D27" s="15" t="n">
        <f aca="false">IF(LEFT(A27,1)&gt;="6",0,SUMIFS('BALANCE 2024'!$H:$H,'BALANCE 2024'!$A:$A,A27))</f>
        <v>231420138</v>
      </c>
      <c r="E27" s="15" t="n">
        <f aca="false">IF(LEFT(A27,1)&gt;="6",0,SUMIFS('BALANCE 2024'!$I:$I,'BALANCE 2024'!$A:$A,A27))</f>
        <v>0</v>
      </c>
      <c r="F27" s="15" t="n">
        <f aca="false">ROUND('INVEST ET FINANCEMENT'!D$13,0)</f>
        <v>0</v>
      </c>
      <c r="G27" s="15" t="n">
        <f aca="false">ROUND('INVEST ET FINANCEMENT'!D$13,0)+(D27-E27)-(H27-I27)</f>
        <v>0</v>
      </c>
      <c r="H27" s="15" t="n">
        <f aca="false">ROUND(D27+'INVEST ET FINANCEMENT'!D$13,0)</f>
        <v>231420138</v>
      </c>
      <c r="I27" s="21" t="n">
        <v>0</v>
      </c>
      <c r="J27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7" s="43" t="n">
        <f aca="false">T_BAL_2025[[#This Row],[Clôture Débit]]-T_BAL_2025[[#This Row],[Clôture Crédit]]</f>
        <v>231420138</v>
      </c>
    </row>
    <row r="28" customFormat="false" ht="15" hidden="false" customHeight="false" outlineLevel="0" collapsed="false">
      <c r="A28" s="42" t="n">
        <v>283400</v>
      </c>
      <c r="B28" s="12" t="s">
        <v>311</v>
      </c>
      <c r="C28" s="13" t="s">
        <v>296</v>
      </c>
      <c r="D28" s="15" t="n">
        <f aca="false">IF(LEFT(A28,1)&gt;="6",0,SUMIFS('BALANCE 2024'!$H:$H,'BALANCE 2024'!$A:$A,A28))</f>
        <v>0</v>
      </c>
      <c r="E28" s="15" t="n">
        <f aca="false">IF(LEFT(A28,1)&gt;="6",0,SUMIFS('BALANCE 2024'!$I:$I,'BALANCE 2024'!$A:$A,A28))</f>
        <v>41936476</v>
      </c>
      <c r="F28" s="15" t="n">
        <f aca="false">ROUND('INVEST ET FINANCEMENT'!D$32,0)+(H28-I28)-(D28-E28)</f>
        <v>0</v>
      </c>
      <c r="G28" s="15" t="n">
        <f aca="false">ROUND('INVEST ET FINANCEMENT'!D$32,0)</f>
        <v>19182845</v>
      </c>
      <c r="H28" s="21" t="n">
        <v>0</v>
      </c>
      <c r="I28" s="15" t="n">
        <f aca="false">ROUND(E28+'INVEST ET FINANCEMENT'!D$32,0)</f>
        <v>61119321</v>
      </c>
      <c r="J28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8" s="43" t="n">
        <f aca="false">T_BAL_2025[[#This Row],[Clôture Débit]]-T_BAL_2025[[#This Row],[Clôture Crédit]]</f>
        <v>-61119321</v>
      </c>
    </row>
    <row r="29" customFormat="false" ht="15" hidden="false" customHeight="false" outlineLevel="0" collapsed="false">
      <c r="A29" s="42" t="n">
        <v>284100</v>
      </c>
      <c r="B29" s="12" t="s">
        <v>312</v>
      </c>
      <c r="C29" s="13" t="s">
        <v>300</v>
      </c>
      <c r="D29" s="15" t="n">
        <f aca="false">IF(LEFT(A29,1)&gt;="6",0,SUMIFS('BALANCE 2024'!$H:$H,'BALANCE 2024'!$A:$A,A29))</f>
        <v>0</v>
      </c>
      <c r="E29" s="15" t="n">
        <f aca="false">IF(LEFT(A29,1)&gt;="6",0,SUMIFS('BALANCE 2024'!$I:$I,'BALANCE 2024'!$A:$A,A29))</f>
        <v>55983764</v>
      </c>
      <c r="F29" s="15" t="n">
        <f aca="false">ROUND('INVEST ET FINANCEMENT'!D$35,0)+(H29-I29)-(D29-E29)</f>
        <v>0</v>
      </c>
      <c r="G29" s="15" t="n">
        <f aca="false">ROUND('INVEST ET FINANCEMENT'!D$35,0)</f>
        <v>45537467</v>
      </c>
      <c r="H29" s="21" t="n">
        <v>0</v>
      </c>
      <c r="I29" s="15" t="n">
        <f aca="false">ROUND(E29+'INVEST ET FINANCEMENT'!D$35,0)</f>
        <v>101521231</v>
      </c>
      <c r="J29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9" s="43" t="n">
        <f aca="false">T_BAL_2025[[#This Row],[Clôture Débit]]-T_BAL_2025[[#This Row],[Clôture Crédit]]</f>
        <v>-101521231</v>
      </c>
    </row>
    <row r="30" customFormat="false" ht="15" hidden="false" customHeight="false" outlineLevel="0" collapsed="false">
      <c r="A30" s="42" t="n">
        <v>284400</v>
      </c>
      <c r="B30" s="12" t="s">
        <v>313</v>
      </c>
      <c r="C30" s="13" t="s">
        <v>300</v>
      </c>
      <c r="D30" s="15" t="n">
        <f aca="false">IF(LEFT(A30,1)&gt;="6",0,SUMIFS('BALANCE 2024'!$H:$H,'BALANCE 2024'!$A:$A,A30))</f>
        <v>0</v>
      </c>
      <c r="E30" s="15" t="n">
        <f aca="false">IF(LEFT(A30,1)&gt;="6",0,SUMIFS('BALANCE 2024'!$I:$I,'BALANCE 2024'!$A:$A,A30))</f>
        <v>12708358</v>
      </c>
      <c r="F30" s="15" t="n">
        <f aca="false">ROUND('INVEST ET FINANCEMENT'!D$38,0)+(H30-I30)-(D30-E30)</f>
        <v>0</v>
      </c>
      <c r="G30" s="15" t="n">
        <f aca="false">ROUND('INVEST ET FINANCEMENT'!D$38,0)</f>
        <v>5399884</v>
      </c>
      <c r="H30" s="21" t="n">
        <v>0</v>
      </c>
      <c r="I30" s="15" t="n">
        <f aca="false">ROUND(E30+'INVEST ET FINANCEMENT'!D$38,0)</f>
        <v>18108242</v>
      </c>
      <c r="J30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0" s="43" t="n">
        <f aca="false">T_BAL_2025[[#This Row],[Clôture Débit]]-T_BAL_2025[[#This Row],[Clôture Crédit]]</f>
        <v>-18108242</v>
      </c>
    </row>
    <row r="31" customFormat="false" ht="15" hidden="false" customHeight="false" outlineLevel="0" collapsed="false">
      <c r="A31" s="42" t="n">
        <v>284500</v>
      </c>
      <c r="B31" s="12" t="s">
        <v>314</v>
      </c>
      <c r="C31" s="13" t="s">
        <v>306</v>
      </c>
      <c r="D31" s="15" t="n">
        <f aca="false">IF(LEFT(A31,1)&gt;="6",0,SUMIFS('BALANCE 2024'!$H:$H,'BALANCE 2024'!$A:$A,A31))</f>
        <v>0</v>
      </c>
      <c r="E31" s="15" t="n">
        <f aca="false">IF(LEFT(A31,1)&gt;="6",0,SUMIFS('BALANCE 2024'!$I:$I,'BALANCE 2024'!$A:$A,A31))</f>
        <v>362909076</v>
      </c>
      <c r="F31" s="15" t="n">
        <f aca="false">ROUND('INVEST ET FINANCEMENT'!D$41,0)+(H31-I31)-(D31-E31)</f>
        <v>0</v>
      </c>
      <c r="G31" s="15" t="n">
        <f aca="false">ROUND('INVEST ET FINANCEMENT'!D$41,0)</f>
        <v>15958378</v>
      </c>
      <c r="H31" s="21" t="n">
        <v>0</v>
      </c>
      <c r="I31" s="15" t="n">
        <f aca="false">ROUND(E31+'INVEST ET FINANCEMENT'!D$41,0)</f>
        <v>378867454</v>
      </c>
      <c r="J31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1" s="43" t="n">
        <f aca="false">T_BAL_2025[[#This Row],[Clôture Débit]]-T_BAL_2025[[#This Row],[Clôture Crédit]]</f>
        <v>-378867454</v>
      </c>
    </row>
    <row r="32" customFormat="false" ht="15" hidden="false" customHeight="false" outlineLevel="0" collapsed="false">
      <c r="A32" s="35" t="n">
        <v>401100</v>
      </c>
      <c r="B32" s="36" t="s">
        <v>315</v>
      </c>
      <c r="C32" s="37" t="s">
        <v>316</v>
      </c>
      <c r="D32" s="44" t="n">
        <f aca="false">IF(LEFT(A32,1)&gt;="6",0,SUMIFS('BALANCE 2024'!$H:$H,'BALANCE 2024'!$A:$A,A32))</f>
        <v>0</v>
      </c>
      <c r="E32" s="44" t="n">
        <f aca="false">IF(LEFT(A32,1)&gt;="6",0,SUMIFS('BALANCE 2024'!$I:$I,'BALANCE 2024'!$A:$A,A32))</f>
        <v>72947866</v>
      </c>
      <c r="F32" s="44" t="n">
        <f aca="false">ROUND(HYPOTHESES!D$64*(1+HYPOTHESES!D$10),0)+(H32-I32)-(D32-E32)</f>
        <v>453937044</v>
      </c>
      <c r="G32" s="44" t="n">
        <f aca="false">ROUND(HYPOTHESES!D$64*(1+HYPOTHESES!D$10),0)</f>
        <v>452660410</v>
      </c>
      <c r="H32" s="39" t="n">
        <v>0</v>
      </c>
      <c r="I32" s="44" t="n">
        <f aca="false">ROUND(HYPOTHESES!D$64*(1+HYPOTHESES!D$10)*HYPOTHESES!D$31/360,0)</f>
        <v>71671232</v>
      </c>
      <c r="J32" s="39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2" s="40" t="n">
        <f aca="false">T_BAL_2025[[#This Row],[Clôture Débit]]-T_BAL_2025[[#This Row],[Clôture Crédit]]</f>
        <v>-71671232</v>
      </c>
    </row>
    <row r="33" customFormat="false" ht="15" hidden="false" customHeight="false" outlineLevel="0" collapsed="false">
      <c r="A33" s="42" t="n">
        <v>409100</v>
      </c>
      <c r="B33" s="12" t="s">
        <v>317</v>
      </c>
      <c r="C33" s="13" t="s">
        <v>318</v>
      </c>
      <c r="D33" s="15" t="n">
        <f aca="false">IF(LEFT(A33,1)&gt;="6",0,SUMIFS('BALANCE 2024'!$H:$H,'BALANCE 2024'!$A:$A,A33))</f>
        <v>0</v>
      </c>
      <c r="E33" s="15" t="n">
        <f aca="false">IF(LEFT(A33,1)&gt;="6",0,SUMIFS('BALANCE 2024'!$I:$I,'BALANCE 2024'!$A:$A,A33))</f>
        <v>0</v>
      </c>
      <c r="F33" s="21" t="n">
        <f aca="false">MAX(0,(H33-I33)-(D33-E33))</f>
        <v>0</v>
      </c>
      <c r="G33" s="21" t="n">
        <f aca="false">MAX(0,(D33-E33)-(H33-I33))</f>
        <v>0</v>
      </c>
      <c r="H33" s="15" t="n">
        <f aca="false">ROUND(IF(LEFT(A33,1)&gt;="6",IF(C33="RE",IF(HYPOTHESES!$C$51=0,0,HYPOTHESES!D$51*SUMIFS('BALANCE 2024'!$H:$H,'BALANCE 2024'!$A:$A,A33)/HYPOTHESES!$C$51),IF(C33="RG",IF(HYPOTHESES!$C$52=0,0,HYPOTHESES!D$52*SUMIFS('BALANCE 2024'!$H:$H,'BALANCE 2024'!$A:$A,A33)/HYPOTHESES!$C$52),IF(C33="RH",IF(HYPOTHESES!$C$53=0,0,HYPOTHESES!D$53*SUMIFS('BALANCE 2024'!$H:$H,'BALANCE 2024'!$A:$A,A33)/HYPOTHESES!$C$53),IF(C33="RI",IF(HYPOTHESES!$C$54=0,0,HYPOTHESES!D$54*SUMIFS('BALANCE 2024'!$H:$H,'BALANCE 2024'!$A:$A,A33)/HYPOTHESES!$C$54),IF(C33="RJ",IF(HYPOTHESES!$C$55=0,0,HYPOTHESES!D$55*SUMIFS('BALANCE 2024'!$H:$H,'BALANCE 2024'!$A:$A,A33)/HYPOTHESES!$C$55),IF(C33="RK",IF(HYPOTHESES!$C$56=0,0,HYPOTHESES!D$56*SUMIFS('BALANCE 2024'!$H:$H,'BALANCE 2024'!$A:$A,A33)/HYPOTHESES!$C$56),0)))))),MAX(0,D33-E33)),0)</f>
        <v>0</v>
      </c>
      <c r="I33" s="21" t="n">
        <f aca="false">ROUND(IF(LEFT(A33,1)&gt;="6",0,MAX(0,E33-D33)),0)</f>
        <v>0</v>
      </c>
      <c r="J33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3" s="43" t="n">
        <f aca="false">T_BAL_2025[[#This Row],[Clôture Débit]]-T_BAL_2025[[#This Row],[Clôture Crédit]]</f>
        <v>0</v>
      </c>
    </row>
    <row r="34" customFormat="false" ht="15" hidden="false" customHeight="false" outlineLevel="0" collapsed="false">
      <c r="A34" s="42" t="n">
        <v>411100</v>
      </c>
      <c r="B34" s="12" t="s">
        <v>319</v>
      </c>
      <c r="C34" s="13" t="s">
        <v>320</v>
      </c>
      <c r="D34" s="15" t="n">
        <f aca="false">IF(LEFT(A34,1)&gt;="6",0,SUMIFS('BALANCE 2024'!$H:$H,'BALANCE 2024'!$A:$A,A34))</f>
        <v>452271396</v>
      </c>
      <c r="E34" s="15" t="n">
        <f aca="false">IF(LEFT(A34,1)&gt;="6",0,SUMIFS('BALANCE 2024'!$I:$I,'BALANCE 2024'!$A:$A,A34))</f>
        <v>0</v>
      </c>
      <c r="F34" s="15" t="n">
        <f aca="false">ROUND(HYPOTHESES!D$50*(1+HYPOTHESES!D$10),0)</f>
        <v>885116306</v>
      </c>
      <c r="G34" s="15" t="n">
        <f aca="false">ROUND(HYPOTHESES!D$50*(1+HYPOTHESES!D$10),0)+(D34-E34)-(H34-I34)</f>
        <v>870242985</v>
      </c>
      <c r="H34" s="15" t="n">
        <f aca="false">ROUND(HYPOTHESES!D$50*(1+HYPOTHESES!D$10)*HYPOTHESES!D$30/360,0)</f>
        <v>467144717</v>
      </c>
      <c r="I34" s="21" t="n">
        <v>0</v>
      </c>
      <c r="J34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4" s="43" t="n">
        <f aca="false">T_BAL_2025[[#This Row],[Clôture Débit]]-T_BAL_2025[[#This Row],[Clôture Crédit]]</f>
        <v>467144717</v>
      </c>
    </row>
    <row r="35" customFormat="false" ht="15" hidden="false" customHeight="false" outlineLevel="0" collapsed="false">
      <c r="A35" s="42" t="n">
        <v>422000</v>
      </c>
      <c r="B35" s="12" t="s">
        <v>321</v>
      </c>
      <c r="C35" s="13" t="s">
        <v>322</v>
      </c>
      <c r="D35" s="15" t="n">
        <f aca="false">IF(LEFT(A35,1)&gt;="6",0,SUMIFS('BALANCE 2024'!$H:$H,'BALANCE 2024'!$A:$A,A35))</f>
        <v>0</v>
      </c>
      <c r="E35" s="15" t="n">
        <f aca="false">IF(LEFT(A35,1)&gt;="6",0,SUMIFS('BALANCE 2024'!$I:$I,'BALANCE 2024'!$A:$A,A35))</f>
        <v>11147549</v>
      </c>
      <c r="F35" s="15" t="n">
        <f aca="false">ROUND(IF(HYPOTHESES!$C$56=0,0,'BALANCE 2024'!$G$35*HYPOTHESES!D$56/HYPOTHESES!$C$56),0)+(H35-I35)-(D35-E35)</f>
        <v>96533497</v>
      </c>
      <c r="G35" s="15" t="n">
        <f aca="false">ROUND(IF(HYPOTHESES!$C$56=0,0,'BALANCE 2024'!$G$35*HYPOTHESES!D$56/HYPOTHESES!$C$56),0)</f>
        <v>93148307</v>
      </c>
      <c r="H35" s="21" t="n">
        <v>0</v>
      </c>
      <c r="I35" s="15" t="n">
        <f aca="false">ROUND(IF(HYPOTHESES!$C$56=0,0,'BALANCE 2024'!$G$35*HYPOTHESES!D$56/HYPOTHESES!$C$56)*HYPOTHESES!D$26/12,0)</f>
        <v>7762359</v>
      </c>
      <c r="J35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5" s="43" t="n">
        <f aca="false">T_BAL_2025[[#This Row],[Clôture Débit]]-T_BAL_2025[[#This Row],[Clôture Crédit]]</f>
        <v>-7762359</v>
      </c>
    </row>
    <row r="36" customFormat="false" ht="15" hidden="false" customHeight="false" outlineLevel="0" collapsed="false">
      <c r="A36" s="42" t="n">
        <v>431100</v>
      </c>
      <c r="B36" s="12" t="s">
        <v>323</v>
      </c>
      <c r="C36" s="13" t="s">
        <v>322</v>
      </c>
      <c r="D36" s="15" t="n">
        <f aca="false">IF(LEFT(A36,1)&gt;="6",0,SUMIFS('BALANCE 2024'!$H:$H,'BALANCE 2024'!$A:$A,A36))</f>
        <v>0</v>
      </c>
      <c r="E36" s="15" t="n">
        <f aca="false">IF(LEFT(A36,1)&gt;="6",0,SUMIFS('BALANCE 2024'!$I:$I,'BALANCE 2024'!$A:$A,A36))</f>
        <v>0</v>
      </c>
      <c r="F36" s="15" t="n">
        <f aca="false">ROUND(HYPOTHESES!D$60,0)+(H36-I36)-(D36-E36)</f>
        <v>3083437</v>
      </c>
      <c r="G36" s="15" t="n">
        <f aca="false">ROUND(HYPOTHESES!D$60,0)</f>
        <v>3363750</v>
      </c>
      <c r="H36" s="21" t="n">
        <v>0</v>
      </c>
      <c r="I36" s="15" t="n">
        <f aca="false">ROUND(HYPOTHESES!D$60/12,0)</f>
        <v>280313</v>
      </c>
      <c r="J36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6" s="43" t="n">
        <f aca="false">T_BAL_2025[[#This Row],[Clôture Débit]]-T_BAL_2025[[#This Row],[Clôture Crédit]]</f>
        <v>-280313</v>
      </c>
    </row>
    <row r="37" customFormat="false" ht="15" hidden="false" customHeight="false" outlineLevel="0" collapsed="false">
      <c r="A37" s="42" t="n">
        <v>431200</v>
      </c>
      <c r="B37" s="12" t="s">
        <v>324</v>
      </c>
      <c r="C37" s="13" t="s">
        <v>322</v>
      </c>
      <c r="D37" s="15" t="n">
        <f aca="false">IF(LEFT(A37,1)&gt;="6",0,SUMIFS('BALANCE 2024'!$H:$H,'BALANCE 2024'!$A:$A,A37))</f>
        <v>0</v>
      </c>
      <c r="E37" s="15" t="n">
        <f aca="false">IF(LEFT(A37,1)&gt;="6",0,SUMIFS('BALANCE 2024'!$I:$I,'BALANCE 2024'!$A:$A,A37))</f>
        <v>0</v>
      </c>
      <c r="F37" s="15" t="n">
        <f aca="false">ROUND(HYPOTHESES!D$61,0)+(H37-I37)-(D37-E37)</f>
        <v>2681250</v>
      </c>
      <c r="G37" s="15" t="n">
        <f aca="false">ROUND(HYPOTHESES!D$61,0)</f>
        <v>2925000</v>
      </c>
      <c r="H37" s="21" t="n">
        <v>0</v>
      </c>
      <c r="I37" s="15" t="n">
        <f aca="false">ROUND(HYPOTHESES!D$61/12,0)</f>
        <v>243750</v>
      </c>
      <c r="J37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7" s="43" t="n">
        <f aca="false">T_BAL_2025[[#This Row],[Clôture Débit]]-T_BAL_2025[[#This Row],[Clôture Crédit]]</f>
        <v>-243750</v>
      </c>
    </row>
    <row r="38" customFormat="false" ht="15" hidden="false" customHeight="false" outlineLevel="0" collapsed="false">
      <c r="A38" s="42" t="n">
        <v>431301</v>
      </c>
      <c r="B38" s="12" t="s">
        <v>325</v>
      </c>
      <c r="C38" s="13" t="s">
        <v>322</v>
      </c>
      <c r="D38" s="15" t="n">
        <f aca="false">IF(LEFT(A38,1)&gt;="6",0,SUMIFS('BALANCE 2024'!$H:$H,'BALANCE 2024'!$A:$A,A38))</f>
        <v>0</v>
      </c>
      <c r="E38" s="15" t="n">
        <f aca="false">IF(LEFT(A38,1)&gt;="6",0,SUMIFS('BALANCE 2024'!$I:$I,'BALANCE 2024'!$A:$A,A38))</f>
        <v>4859377</v>
      </c>
      <c r="F38" s="15" t="n">
        <f aca="false">ROUND(IF(HYPOTHESES!$C$59=0,0,'BALANCE 2024'!$G$38*HYPOTHESES!D$59/HYPOTHESES!$C$59),0)+(H38-I38)-(D38-E38)</f>
        <v>7350259</v>
      </c>
      <c r="G38" s="15" t="n">
        <f aca="false">ROUND(IF(HYPOTHESES!$C$59=0,0,'BALANCE 2024'!$G$38*HYPOTHESES!D$59/HYPOTHESES!$C$59),0)</f>
        <v>8131480</v>
      </c>
      <c r="H38" s="21" t="n">
        <v>0</v>
      </c>
      <c r="I38" s="15" t="n">
        <f aca="false">ROUND(IF(HYPOTHESES!$C$59=0,0,'BALANCE 2024'!$I$38*HYPOTHESES!D$59/HYPOTHESES!$C$59),0)</f>
        <v>5640598</v>
      </c>
      <c r="J38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8" s="43" t="n">
        <f aca="false">T_BAL_2025[[#This Row],[Clôture Débit]]-T_BAL_2025[[#This Row],[Clôture Crédit]]</f>
        <v>-5640598</v>
      </c>
    </row>
    <row r="39" customFormat="false" ht="15" hidden="false" customHeight="false" outlineLevel="0" collapsed="false">
      <c r="A39" s="42" t="n">
        <v>431302</v>
      </c>
      <c r="B39" s="12" t="s">
        <v>326</v>
      </c>
      <c r="C39" s="13" t="s">
        <v>322</v>
      </c>
      <c r="D39" s="15" t="n">
        <f aca="false">IF(LEFT(A39,1)&gt;="6",0,SUMIFS('BALANCE 2024'!$H:$H,'BALANCE 2024'!$A:$A,A39))</f>
        <v>0</v>
      </c>
      <c r="E39" s="15" t="n">
        <f aca="false">IF(LEFT(A39,1)&gt;="6",0,SUMIFS('BALANCE 2024'!$I:$I,'BALANCE 2024'!$A:$A,A39))</f>
        <v>1202405</v>
      </c>
      <c r="F39" s="15" t="n">
        <f aca="false">ROUND(IF(HYPOTHESES!$C$56=0,0,'BALANCE 2024'!$G$39*HYPOTHESES!D$56/HYPOTHESES!$C$56),0)+(H39-I39)-(D39-E39)</f>
        <v>12958226</v>
      </c>
      <c r="G39" s="15" t="n">
        <f aca="false">ROUND(IF(HYPOTHESES!$C$56=0,0,'BALANCE 2024'!$G$39*HYPOTHESES!D$56/HYPOTHESES!$C$56),0)</f>
        <v>13133932</v>
      </c>
      <c r="H39" s="21" t="n">
        <v>0</v>
      </c>
      <c r="I39" s="15" t="n">
        <f aca="false">ROUND(IF(HYPOTHESES!$C$56=0,0,'BALANCE 2024'!$I$39*HYPOTHESES!D$56/HYPOTHESES!$C$56),0)</f>
        <v>1378111</v>
      </c>
      <c r="J39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9" s="43" t="n">
        <f aca="false">T_BAL_2025[[#This Row],[Clôture Débit]]-T_BAL_2025[[#This Row],[Clôture Crédit]]</f>
        <v>-1378111</v>
      </c>
    </row>
    <row r="40" customFormat="false" ht="15" hidden="false" customHeight="false" outlineLevel="0" collapsed="false">
      <c r="A40" s="42" t="n">
        <v>431802</v>
      </c>
      <c r="B40" s="12" t="s">
        <v>327</v>
      </c>
      <c r="C40" s="13" t="s">
        <v>322</v>
      </c>
      <c r="D40" s="15" t="n">
        <f aca="false">IF(LEFT(A40,1)&gt;="6",0,SUMIFS('BALANCE 2024'!$H:$H,'BALANCE 2024'!$A:$A,A40))</f>
        <v>0</v>
      </c>
      <c r="E40" s="15" t="n">
        <f aca="false">IF(LEFT(A40,1)&gt;="6",0,SUMIFS('BALANCE 2024'!$I:$I,'BALANCE 2024'!$A:$A,A40))</f>
        <v>161938</v>
      </c>
      <c r="F40" s="15" t="n">
        <f aca="false">ROUND(IF(HYPOTHESES!$C$56=0,0,'BALANCE 2024'!$G$40*HYPOTHESES!D$56/HYPOTHESES!$C$56),0)+(H40-I40)-(D40-E40)</f>
        <v>420598</v>
      </c>
      <c r="G40" s="15" t="n">
        <f aca="false">ROUND(IF(HYPOTHESES!$C$56=0,0,'BALANCE 2024'!$G$40*HYPOTHESES!D$56/HYPOTHESES!$C$56),0)</f>
        <v>444262</v>
      </c>
      <c r="H40" s="21" t="n">
        <v>0</v>
      </c>
      <c r="I40" s="15" t="n">
        <f aca="false">ROUND(IF(HYPOTHESES!$C$56=0,0,'BALANCE 2024'!$I$40*HYPOTHESES!D$56/HYPOTHESES!$C$56),0)</f>
        <v>185602</v>
      </c>
      <c r="J40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0" s="43" t="n">
        <f aca="false">T_BAL_2025[[#This Row],[Clôture Débit]]-T_BAL_2025[[#This Row],[Clôture Crédit]]</f>
        <v>-185602</v>
      </c>
    </row>
    <row r="41" customFormat="false" ht="15" hidden="false" customHeight="false" outlineLevel="0" collapsed="false">
      <c r="A41" s="42" t="n">
        <v>431803</v>
      </c>
      <c r="B41" s="12" t="s">
        <v>328</v>
      </c>
      <c r="C41" s="13" t="s">
        <v>322</v>
      </c>
      <c r="D41" s="15" t="n">
        <f aca="false">IF(LEFT(A41,1)&gt;="6",0,SUMIFS('BALANCE 2024'!$H:$H,'BALANCE 2024'!$A:$A,A41))</f>
        <v>0</v>
      </c>
      <c r="E41" s="15" t="n">
        <f aca="false">IF(LEFT(A41,1)&gt;="6",0,SUMIFS('BALANCE 2024'!$I:$I,'BALANCE 2024'!$A:$A,A41))</f>
        <v>0</v>
      </c>
      <c r="F41" s="15" t="n">
        <f aca="false">ROUND(HYPOTHESES!D$62,0)+(H41-I41)-(D41-E41)</f>
        <v>357500</v>
      </c>
      <c r="G41" s="15" t="n">
        <f aca="false">ROUND(HYPOTHESES!D$62,0)</f>
        <v>390000</v>
      </c>
      <c r="H41" s="21" t="n">
        <v>0</v>
      </c>
      <c r="I41" s="15" t="n">
        <f aca="false">ROUND(HYPOTHESES!D$62/12,0)</f>
        <v>32500</v>
      </c>
      <c r="J41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1" s="43" t="n">
        <f aca="false">T_BAL_2025[[#This Row],[Clôture Débit]]-T_BAL_2025[[#This Row],[Clôture Crédit]]</f>
        <v>-32500</v>
      </c>
    </row>
    <row r="42" customFormat="false" ht="15" hidden="false" customHeight="false" outlineLevel="0" collapsed="false">
      <c r="A42" s="42" t="n">
        <v>433300</v>
      </c>
      <c r="B42" s="12" t="s">
        <v>329</v>
      </c>
      <c r="C42" s="13" t="s">
        <v>322</v>
      </c>
      <c r="D42" s="15" t="n">
        <f aca="false">IF(LEFT(A42,1)&gt;="6",0,SUMIFS('BALANCE 2024'!$H:$H,'BALANCE 2024'!$A:$A,A42))</f>
        <v>0</v>
      </c>
      <c r="E42" s="15" t="n">
        <f aca="false">IF(LEFT(A42,1)&gt;="6",0,SUMIFS('BALANCE 2024'!$I:$I,'BALANCE 2024'!$A:$A,A42))</f>
        <v>0</v>
      </c>
      <c r="F42" s="15" t="n">
        <f aca="false">ROUND(IF(HYPOTHESES!$C$56=0,0,'BALANCE 2024'!$G$42*HYPOTHESES!D$56/HYPOTHESES!$C$56),0)+(H42-I42)-(D42-E42)</f>
        <v>0</v>
      </c>
      <c r="G42" s="15" t="n">
        <f aca="false">ROUND(IF(HYPOTHESES!$C$56=0,0,'BALANCE 2024'!$G$42*HYPOTHESES!D$56/HYPOTHESES!$C$56),0)</f>
        <v>0</v>
      </c>
      <c r="H42" s="21" t="n">
        <v>0</v>
      </c>
      <c r="I42" s="15" t="n">
        <f aca="false">ROUND(IF(HYPOTHESES!$C$56=0,0,'BALANCE 2024'!$I$42*HYPOTHESES!D$56/HYPOTHESES!$C$56),0)</f>
        <v>0</v>
      </c>
      <c r="J42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2" s="43" t="n">
        <f aca="false">T_BAL_2025[[#This Row],[Clôture Débit]]-T_BAL_2025[[#This Row],[Clôture Crédit]]</f>
        <v>0</v>
      </c>
    </row>
    <row r="43" customFormat="false" ht="15" hidden="false" customHeight="false" outlineLevel="0" collapsed="false">
      <c r="A43" s="42" t="n">
        <v>441000</v>
      </c>
      <c r="B43" s="12" t="s">
        <v>330</v>
      </c>
      <c r="C43" s="13" t="s">
        <v>322</v>
      </c>
      <c r="D43" s="15" t="n">
        <f aca="false">IF(LEFT(A43,1)&gt;="6",0,SUMIFS('BALANCE 2024'!$H:$H,'BALANCE 2024'!$A:$A,A43))</f>
        <v>0</v>
      </c>
      <c r="E43" s="15" t="n">
        <f aca="false">IF(LEFT(A43,1)&gt;="6",0,SUMIFS('BALANCE 2024'!$I:$I,'BALANCE 2024'!$A:$A,A43))</f>
        <v>24232959</v>
      </c>
      <c r="F43" s="15" t="n">
        <f aca="false">ROUND(HYPOTHESES!D$72,0)+(H43-I43)-(D43-E43)</f>
        <v>24232959</v>
      </c>
      <c r="G43" s="15" t="n">
        <f aca="false">ROUND(HYPOTHESES!D$72,0)</f>
        <v>33153484</v>
      </c>
      <c r="H43" s="21" t="n">
        <v>0</v>
      </c>
      <c r="I43" s="15" t="n">
        <f aca="false">ROUND(HYPOTHESES!D$72,0)</f>
        <v>33153484</v>
      </c>
      <c r="J43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3" s="43" t="n">
        <f aca="false">T_BAL_2025[[#This Row],[Clôture Débit]]-T_BAL_2025[[#This Row],[Clôture Crédit]]</f>
        <v>-33153484</v>
      </c>
    </row>
    <row r="44" customFormat="false" ht="15" hidden="false" customHeight="false" outlineLevel="0" collapsed="false">
      <c r="A44" s="42" t="n">
        <v>442800</v>
      </c>
      <c r="B44" s="12" t="s">
        <v>331</v>
      </c>
      <c r="C44" s="13" t="s">
        <v>322</v>
      </c>
      <c r="D44" s="15" t="n">
        <f aca="false">IF(LEFT(A44,1)&gt;="6",0,SUMIFS('BALANCE 2024'!$H:$H,'BALANCE 2024'!$A:$A,A44))</f>
        <v>0</v>
      </c>
      <c r="E44" s="15" t="n">
        <f aca="false">IF(LEFT(A44,1)&gt;="6",0,SUMIFS('BALANCE 2024'!$I:$I,'BALANCE 2024'!$A:$A,A44))</f>
        <v>725658</v>
      </c>
      <c r="F44" s="15" t="n">
        <f aca="false">ROUND(IF(HYPOTHESES!$C$54=0,0,'BALANCE 2024'!$G$44*HYPOTHESES!D$54/HYPOTHESES!$C$54),0)+(H44-I44)-(D44-E44)</f>
        <v>725658</v>
      </c>
      <c r="G44" s="15" t="n">
        <f aca="false">ROUND(IF(HYPOTHESES!$C$54=0,0,'BALANCE 2024'!$G$44*HYPOTHESES!D$54/HYPOTHESES!$C$54),0)</f>
        <v>776041</v>
      </c>
      <c r="H44" s="21" t="n">
        <v>0</v>
      </c>
      <c r="I44" s="15" t="n">
        <f aca="false">ROUND(IF(HYPOTHESES!$C$54=0,0,'BALANCE 2024'!$I$44*HYPOTHESES!D$54/HYPOTHESES!$C$54),0)</f>
        <v>776041</v>
      </c>
      <c r="J44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4" s="43" t="n">
        <f aca="false">T_BAL_2025[[#This Row],[Clôture Débit]]-T_BAL_2025[[#This Row],[Clôture Crédit]]</f>
        <v>-776041</v>
      </c>
    </row>
    <row r="45" customFormat="false" ht="15" hidden="false" customHeight="false" outlineLevel="0" collapsed="false">
      <c r="A45" s="42" t="n">
        <v>442801</v>
      </c>
      <c r="B45" s="12" t="s">
        <v>332</v>
      </c>
      <c r="C45" s="13" t="s">
        <v>322</v>
      </c>
      <c r="D45" s="15" t="n">
        <f aca="false">IF(LEFT(A45,1)&gt;="6",0,SUMIFS('BALANCE 2024'!$H:$H,'BALANCE 2024'!$A:$A,A45))</f>
        <v>0</v>
      </c>
      <c r="E45" s="15" t="n">
        <f aca="false">IF(LEFT(A45,1)&gt;="6",0,SUMIFS('BALANCE 2024'!$I:$I,'BALANCE 2024'!$A:$A,A45))</f>
        <v>104066</v>
      </c>
      <c r="F45" s="15" t="n">
        <f aca="false">ROUND(IF(HYPOTHESES!$C$54=0,0,'BALANCE 2024'!$G$45*HYPOTHESES!D$54/HYPOTHESES!$C$54),0)+(H45-I45)-(D45-E45)</f>
        <v>104066</v>
      </c>
      <c r="G45" s="15" t="n">
        <f aca="false">ROUND(IF(HYPOTHESES!$C$54=0,0,'BALANCE 2024'!$G$45*HYPOTHESES!D$54/HYPOTHESES!$C$54),0)</f>
        <v>111291</v>
      </c>
      <c r="H45" s="21" t="n">
        <v>0</v>
      </c>
      <c r="I45" s="15" t="n">
        <f aca="false">ROUND(IF(HYPOTHESES!$C$54=0,0,'BALANCE 2024'!$I$45*HYPOTHESES!D$54/HYPOTHESES!$C$54),0)</f>
        <v>111291</v>
      </c>
      <c r="J45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5" s="43" t="n">
        <f aca="false">T_BAL_2025[[#This Row],[Clôture Débit]]-T_BAL_2025[[#This Row],[Clôture Crédit]]</f>
        <v>-111291</v>
      </c>
    </row>
    <row r="46" customFormat="false" ht="15" hidden="false" customHeight="false" outlineLevel="0" collapsed="false">
      <c r="A46" s="42" t="n">
        <v>442802</v>
      </c>
      <c r="B46" s="12" t="s">
        <v>333</v>
      </c>
      <c r="C46" s="13" t="s">
        <v>322</v>
      </c>
      <c r="D46" s="15" t="n">
        <f aca="false">IF(LEFT(A46,1)&gt;="6",0,SUMIFS('BALANCE 2024'!$H:$H,'BALANCE 2024'!$A:$A,A46))</f>
        <v>0</v>
      </c>
      <c r="E46" s="15" t="n">
        <f aca="false">IF(LEFT(A46,1)&gt;="6",0,SUMIFS('BALANCE 2024'!$I:$I,'BALANCE 2024'!$A:$A,A46))</f>
        <v>156106</v>
      </c>
      <c r="F46" s="15" t="n">
        <f aca="false">ROUND(IF(HYPOTHESES!$C$54=0,0,'BALANCE 2024'!$G$46*HYPOTHESES!D$54/HYPOTHESES!$C$54),0)+(H46-I46)-(D46-E46)</f>
        <v>156106</v>
      </c>
      <c r="G46" s="15" t="n">
        <f aca="false">ROUND(IF(HYPOTHESES!$C$54=0,0,'BALANCE 2024'!$G$46*HYPOTHESES!D$54/HYPOTHESES!$C$54),0)</f>
        <v>166945</v>
      </c>
      <c r="H46" s="21" t="n">
        <v>0</v>
      </c>
      <c r="I46" s="15" t="n">
        <f aca="false">ROUND(IF(HYPOTHESES!$C$54=0,0,'BALANCE 2024'!$I$46*HYPOTHESES!D$54/HYPOTHESES!$C$54),0)</f>
        <v>166945</v>
      </c>
      <c r="J46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6" s="43" t="n">
        <f aca="false">T_BAL_2025[[#This Row],[Clôture Débit]]-T_BAL_2025[[#This Row],[Clôture Crédit]]</f>
        <v>-166945</v>
      </c>
    </row>
    <row r="47" customFormat="false" ht="15" hidden="false" customHeight="false" outlineLevel="0" collapsed="false">
      <c r="A47" s="42" t="n">
        <v>442803</v>
      </c>
      <c r="B47" s="12" t="s">
        <v>334</v>
      </c>
      <c r="C47" s="13" t="s">
        <v>322</v>
      </c>
      <c r="D47" s="15" t="n">
        <f aca="false">IF(LEFT(A47,1)&gt;="6",0,SUMIFS('BALANCE 2024'!$H:$H,'BALANCE 2024'!$A:$A,A47))</f>
        <v>0</v>
      </c>
      <c r="E47" s="15" t="n">
        <f aca="false">IF(LEFT(A47,1)&gt;="6",0,SUMIFS('BALANCE 2024'!$I:$I,'BALANCE 2024'!$A:$A,A47))</f>
        <v>156105</v>
      </c>
      <c r="F47" s="15" t="n">
        <f aca="false">ROUND(IF(HYPOTHESES!$C$54=0,0,'BALANCE 2024'!$G$47*HYPOTHESES!D$54/HYPOTHESES!$C$54),0)+(H47-I47)-(D47-E47)</f>
        <v>156105</v>
      </c>
      <c r="G47" s="15" t="n">
        <f aca="false">ROUND(IF(HYPOTHESES!$C$54=0,0,'BALANCE 2024'!$G$47*HYPOTHESES!D$54/HYPOTHESES!$C$54),0)</f>
        <v>166944</v>
      </c>
      <c r="H47" s="21" t="n">
        <v>0</v>
      </c>
      <c r="I47" s="15" t="n">
        <f aca="false">ROUND(IF(HYPOTHESES!$C$54=0,0,'BALANCE 2024'!$I$47*HYPOTHESES!D$54/HYPOTHESES!$C$54),0)</f>
        <v>166944</v>
      </c>
      <c r="J47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7" s="43" t="n">
        <f aca="false">T_BAL_2025[[#This Row],[Clôture Débit]]-T_BAL_2025[[#This Row],[Clôture Crédit]]</f>
        <v>-166944</v>
      </c>
    </row>
    <row r="48" customFormat="false" ht="15" hidden="false" customHeight="false" outlineLevel="0" collapsed="false">
      <c r="A48" s="42" t="n">
        <v>442820</v>
      </c>
      <c r="B48" s="12" t="s">
        <v>335</v>
      </c>
      <c r="C48" s="13" t="s">
        <v>322</v>
      </c>
      <c r="D48" s="15" t="n">
        <f aca="false">IF(LEFT(A48,1)&gt;="6",0,SUMIFS('BALANCE 2024'!$H:$H,'BALANCE 2024'!$A:$A,A48))</f>
        <v>0</v>
      </c>
      <c r="E48" s="15" t="n">
        <f aca="false">IF(LEFT(A48,1)&gt;="6",0,SUMIFS('BALANCE 2024'!$I:$I,'BALANCE 2024'!$A:$A,A48))</f>
        <v>367610</v>
      </c>
      <c r="F48" s="15" t="n">
        <f aca="false">ROUND(IF(HYPOTHESES!$C$54=0,0,'BALANCE 2024'!$G$48*HYPOTHESES!D$54/HYPOTHESES!$C$54),0)+(H48-I48)-(D48-E48)</f>
        <v>858441</v>
      </c>
      <c r="G48" s="15" t="n">
        <f aca="false">ROUND(IF(HYPOTHESES!$C$54=0,0,'BALANCE 2024'!$G$48*HYPOTHESES!D$54/HYPOTHESES!$C$54),0)</f>
        <v>883965</v>
      </c>
      <c r="H48" s="21" t="n">
        <v>0</v>
      </c>
      <c r="I48" s="15" t="n">
        <f aca="false">ROUND(IF(HYPOTHESES!$C$54=0,0,'BALANCE 2024'!$I$48*HYPOTHESES!D$54/HYPOTHESES!$C$54),0)</f>
        <v>393134</v>
      </c>
      <c r="J48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8" s="43" t="n">
        <f aca="false">T_BAL_2025[[#This Row],[Clôture Débit]]-T_BAL_2025[[#This Row],[Clôture Crédit]]</f>
        <v>-393134</v>
      </c>
    </row>
    <row r="49" customFormat="false" ht="15" hidden="false" customHeight="false" outlineLevel="0" collapsed="false">
      <c r="A49" s="42" t="n">
        <v>442840</v>
      </c>
      <c r="B49" s="12" t="s">
        <v>336</v>
      </c>
      <c r="C49" s="13" t="s">
        <v>322</v>
      </c>
      <c r="D49" s="15" t="n">
        <f aca="false">IF(LEFT(A49,1)&gt;="6",0,SUMIFS('BALANCE 2024'!$H:$H,'BALANCE 2024'!$A:$A,A49))</f>
        <v>0</v>
      </c>
      <c r="E49" s="15" t="n">
        <f aca="false">IF(LEFT(A49,1)&gt;="6",0,SUMIFS('BALANCE 2024'!$I:$I,'BALANCE 2024'!$A:$A,A49))</f>
        <v>5000000</v>
      </c>
      <c r="F49" s="15" t="n">
        <f aca="false">ROUND(IF(HYPOTHESES!$C$54=0,0,'BALANCE 2024'!$G$49*HYPOTHESES!D$54/HYPOTHESES!$C$54),0)+(H49-I49)-(D49-E49)</f>
        <v>9336686</v>
      </c>
      <c r="G49" s="15" t="n">
        <f aca="false">ROUND(IF(HYPOTHESES!$C$54=0,0,'BALANCE 2024'!$G$49*HYPOTHESES!D$54/HYPOTHESES!$C$54),0)</f>
        <v>9683842</v>
      </c>
      <c r="H49" s="21" t="n">
        <v>0</v>
      </c>
      <c r="I49" s="15" t="n">
        <f aca="false">ROUND(IF(HYPOTHESES!$C$54=0,0,'BALANCE 2024'!$I$49*HYPOTHESES!D$54/HYPOTHESES!$C$54),0)</f>
        <v>5347156</v>
      </c>
      <c r="J49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9" s="43" t="n">
        <f aca="false">T_BAL_2025[[#This Row],[Clôture Débit]]-T_BAL_2025[[#This Row],[Clôture Crédit]]</f>
        <v>-5347156</v>
      </c>
    </row>
    <row r="50" customFormat="false" ht="15" hidden="false" customHeight="false" outlineLevel="0" collapsed="false">
      <c r="A50" s="42" t="n">
        <v>443300</v>
      </c>
      <c r="B50" s="12" t="s">
        <v>337</v>
      </c>
      <c r="C50" s="13" t="s">
        <v>322</v>
      </c>
      <c r="D50" s="15" t="n">
        <f aca="false">IF(LEFT(A50,1)&gt;="6",0,SUMIFS('BALANCE 2024'!$H:$H,'BALANCE 2024'!$A:$A,A50))</f>
        <v>0</v>
      </c>
      <c r="E50" s="15" t="n">
        <f aca="false">IF(LEFT(A50,1)&gt;="6",0,SUMIFS('BALANCE 2024'!$I:$I,'BALANCE 2024'!$A:$A,A50))</f>
        <v>52145698</v>
      </c>
      <c r="F50" s="15" t="n">
        <f aca="false">ROUND(HYPOTHESES!D$50*HYPOTHESES!D$10,0)+(H50-I50)-(D50-E50)</f>
        <v>133302887</v>
      </c>
      <c r="G50" s="15" t="n">
        <f aca="false">ROUND(HYPOTHESES!D$50*HYPOTHESES!D$10,0)</f>
        <v>135017742</v>
      </c>
      <c r="H50" s="21" t="n">
        <v>0</v>
      </c>
      <c r="I50" s="15" t="n">
        <f aca="false">ROUND(IF('BALANCE 2024'!$H$34=0,0,'BALANCE 2024'!$I$50*H34/'BALANCE 2024'!$H$34),0)</f>
        <v>53860553</v>
      </c>
      <c r="J50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0" s="43" t="n">
        <f aca="false">T_BAL_2025[[#This Row],[Clôture Débit]]-T_BAL_2025[[#This Row],[Clôture Crédit]]</f>
        <v>-53860553</v>
      </c>
    </row>
    <row r="51" customFormat="false" ht="15" hidden="false" customHeight="false" outlineLevel="0" collapsed="false">
      <c r="A51" s="42" t="n">
        <v>446000</v>
      </c>
      <c r="B51" s="12" t="s">
        <v>338</v>
      </c>
      <c r="C51" s="13" t="s">
        <v>322</v>
      </c>
      <c r="D51" s="15" t="n">
        <f aca="false">IF(LEFT(A51,1)&gt;="6",0,SUMIFS('BALANCE 2024'!$H:$H,'BALANCE 2024'!$A:$A,A51))</f>
        <v>0</v>
      </c>
      <c r="E51" s="15" t="n">
        <f aca="false">IF(LEFT(A51,1)&gt;="6",0,SUMIFS('BALANCE 2024'!$I:$I,'BALANCE 2024'!$A:$A,A51))</f>
        <v>200000</v>
      </c>
      <c r="F51" s="15" t="n">
        <f aca="false">ROUND(IF(HYPOTHESES!$C$54=0,0,'BALANCE 2024'!$G$51*HYPOTHESES!D$54/HYPOTHESES!$C$54),0)+(H51-I51)-(D51-E51)</f>
        <v>212497</v>
      </c>
      <c r="G51" s="15" t="n">
        <f aca="false">ROUND(IF(HYPOTHESES!$C$54=0,0,'BALANCE 2024'!$G$51*HYPOTHESES!D$54/HYPOTHESES!$C$54),0)</f>
        <v>226383</v>
      </c>
      <c r="H51" s="21" t="n">
        <v>0</v>
      </c>
      <c r="I51" s="15" t="n">
        <f aca="false">ROUND(IF(HYPOTHESES!$C$54=0,0,'BALANCE 2024'!$I$51*HYPOTHESES!D$54/HYPOTHESES!$C$54),0)</f>
        <v>213886</v>
      </c>
      <c r="J51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1" s="43" t="n">
        <f aca="false">T_BAL_2025[[#This Row],[Clôture Débit]]-T_BAL_2025[[#This Row],[Clôture Crédit]]</f>
        <v>-213886</v>
      </c>
    </row>
    <row r="52" customFormat="false" ht="15" hidden="false" customHeight="false" outlineLevel="0" collapsed="false">
      <c r="A52" s="42" t="n">
        <v>447201</v>
      </c>
      <c r="B52" s="12" t="s">
        <v>339</v>
      </c>
      <c r="C52" s="13" t="s">
        <v>322</v>
      </c>
      <c r="D52" s="15" t="n">
        <f aca="false">IF(LEFT(A52,1)&gt;="6",0,SUMIFS('BALANCE 2024'!$H:$H,'BALANCE 2024'!$A:$A,A52))</f>
        <v>0</v>
      </c>
      <c r="E52" s="15" t="n">
        <f aca="false">IF(LEFT(A52,1)&gt;="6",0,SUMIFS('BALANCE 2024'!$I:$I,'BALANCE 2024'!$A:$A,A52))</f>
        <v>1631638</v>
      </c>
      <c r="F52" s="15" t="n">
        <f aca="false">ROUND(IF(HYPOTHESES!$C$56=0,0,'BALANCE 2024'!$G$52*HYPOTHESES!D$56/HYPOTHESES!$C$56),0)+(H52-I52)-(D52-E52)</f>
        <v>6524983</v>
      </c>
      <c r="G52" s="15" t="n">
        <f aca="false">ROUND(IF(HYPOTHESES!$C$56=0,0,'BALANCE 2024'!$G$52*HYPOTHESES!D$56/HYPOTHESES!$C$56),0)</f>
        <v>6763412</v>
      </c>
      <c r="H52" s="21" t="n">
        <v>0</v>
      </c>
      <c r="I52" s="15" t="n">
        <f aca="false">ROUND(IF(HYPOTHESES!$C$56=0,0,'BALANCE 2024'!$I$52*HYPOTHESES!D$56/HYPOTHESES!$C$56),0)</f>
        <v>1870067</v>
      </c>
      <c r="J52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2" s="43" t="n">
        <f aca="false">T_BAL_2025[[#This Row],[Clôture Débit]]-T_BAL_2025[[#This Row],[Clôture Crédit]]</f>
        <v>-1870067</v>
      </c>
    </row>
    <row r="53" customFormat="false" ht="15" hidden="false" customHeight="false" outlineLevel="0" collapsed="false">
      <c r="A53" s="42" t="n">
        <v>462100</v>
      </c>
      <c r="B53" s="12" t="s">
        <v>340</v>
      </c>
      <c r="C53" s="13" t="s">
        <v>341</v>
      </c>
      <c r="D53" s="15" t="n">
        <f aca="false">IF(LEFT(A53,1)&gt;="6",0,SUMIFS('BALANCE 2024'!$H:$H,'BALANCE 2024'!$A:$A,A53))</f>
        <v>0</v>
      </c>
      <c r="E53" s="15" t="n">
        <f aca="false">IF(LEFT(A53,1)&gt;="6",0,SUMIFS('BALANCE 2024'!$I:$I,'BALANCE 2024'!$A:$A,A53))</f>
        <v>3700000</v>
      </c>
      <c r="F53" s="15" t="n">
        <f aca="false">ROUND('INVEST ET FINANCEMENT'!D$54,0)+(H53-I53)-(D53-E53)</f>
        <v>3700000</v>
      </c>
      <c r="G53" s="15" t="n">
        <f aca="false">ROUND('INVEST ET FINANCEMENT'!D$54,0)</f>
        <v>0</v>
      </c>
      <c r="H53" s="21" t="n">
        <v>0</v>
      </c>
      <c r="I53" s="15" t="n">
        <f aca="false">ROUND('INVEST ET FINANCEMENT'!D$55,0)</f>
        <v>0</v>
      </c>
      <c r="J53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3" s="43" t="n">
        <f aca="false">T_BAL_2025[[#This Row],[Clôture Débit]]-T_BAL_2025[[#This Row],[Clôture Crédit]]</f>
        <v>0</v>
      </c>
    </row>
    <row r="54" customFormat="false" ht="15" hidden="false" customHeight="false" outlineLevel="0" collapsed="false">
      <c r="A54" s="42" t="n">
        <v>471200</v>
      </c>
      <c r="B54" s="12" t="s">
        <v>342</v>
      </c>
      <c r="C54" s="13" t="s">
        <v>343</v>
      </c>
      <c r="D54" s="15" t="n">
        <f aca="false">IF(LEFT(A54,1)&gt;="6",0,SUMIFS('BALANCE 2024'!$H:$H,'BALANCE 2024'!$A:$A,A54))</f>
        <v>0</v>
      </c>
      <c r="E54" s="15" t="n">
        <f aca="false">IF(LEFT(A54,1)&gt;="6",0,SUMIFS('BALANCE 2024'!$I:$I,'BALANCE 2024'!$A:$A,A54))</f>
        <v>0</v>
      </c>
      <c r="F54" s="21" t="n">
        <f aca="false">MAX(0,(H54-I54)-(D54-E54))</f>
        <v>-0</v>
      </c>
      <c r="G54" s="21" t="n">
        <f aca="false">MAX(0,(D54-E54)-(H54-I54))</f>
        <v>0</v>
      </c>
      <c r="H54" s="15" t="n">
        <f aca="false">ROUND(MAX(0,-(E54-D54+HYPOTHESES!D$39)),0)</f>
        <v>-0</v>
      </c>
      <c r="I54" s="15" t="n">
        <f aca="false">ROUND(MAX(0,(E54-D54+HYPOTHESES!D$39)),0)</f>
        <v>0</v>
      </c>
      <c r="J54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4" s="43" t="n">
        <f aca="false">T_BAL_2025[[#This Row],[Clôture Débit]]-T_BAL_2025[[#This Row],[Clôture Crédit]]</f>
        <v>-0</v>
      </c>
    </row>
    <row r="55" customFormat="false" ht="15" hidden="false" customHeight="false" outlineLevel="0" collapsed="false">
      <c r="A55" s="42" t="n">
        <v>481200</v>
      </c>
      <c r="B55" s="12" t="s">
        <v>344</v>
      </c>
      <c r="C55" s="13" t="s">
        <v>345</v>
      </c>
      <c r="D55" s="15" t="n">
        <f aca="false">IF(LEFT(A55,1)&gt;="6",0,SUMIFS('BALANCE 2024'!$H:$H,'BALANCE 2024'!$A:$A,A55))</f>
        <v>0</v>
      </c>
      <c r="E55" s="15" t="n">
        <f aca="false">IF(LEFT(A55,1)&gt;="6",0,SUMIFS('BALANCE 2024'!$I:$I,'BALANCE 2024'!$A:$A,A55))</f>
        <v>132896547</v>
      </c>
      <c r="F55" s="15" t="n">
        <f aca="false">ROUND('INVEST ET FINANCEMENT'!D$42,0)+(H55-I55)-(D55-E55)</f>
        <v>37089913</v>
      </c>
      <c r="G55" s="15" t="n">
        <f aca="false">ROUND('INVEST ET FINANCEMENT'!D$42,0)</f>
        <v>16523220</v>
      </c>
      <c r="H55" s="21" t="n">
        <v>0</v>
      </c>
      <c r="I55" s="15" t="n">
        <f aca="false">ROUND(HYPOTHESES!D$36,0)</f>
        <v>112329854</v>
      </c>
      <c r="J55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5" s="43" t="n">
        <f aca="false">T_BAL_2025[[#This Row],[Clôture Débit]]-T_BAL_2025[[#This Row],[Clôture Crédit]]</f>
        <v>-112329854</v>
      </c>
    </row>
    <row r="56" customFormat="false" ht="15" hidden="false" customHeight="false" outlineLevel="0" collapsed="false">
      <c r="A56" s="35" t="n">
        <v>521101</v>
      </c>
      <c r="B56" s="36" t="s">
        <v>346</v>
      </c>
      <c r="C56" s="37" t="s">
        <v>347</v>
      </c>
      <c r="D56" s="44" t="n">
        <f aca="false">IF(LEFT(A56,1)&gt;="6",0,SUMIFS('BALANCE 2024'!$H:$H,'BALANCE 2024'!$A:$A,A56))</f>
        <v>122588265</v>
      </c>
      <c r="E56" s="44" t="n">
        <f aca="false">IF(LEFT(A56,1)&gt;="6",0,SUMIFS('BALANCE 2024'!$I:$I,'BALANCE 2024'!$A:$A,A56))</f>
        <v>0</v>
      </c>
      <c r="F56" s="44" t="n">
        <f aca="false">ROUND(G34+HYPOTHESES!D$66+'INVEST ET FINANCEMENT'!D$48+'INVEST ET FINANCEMENT'!D$52,0)</f>
        <v>925487261</v>
      </c>
      <c r="G56" s="44" t="n">
        <f aca="false">ROUND(G34+HYPOTHESES!D$66+'INVEST ET FINANCEMENT'!D$48+'INVEST ET FINANCEMENT'!D$52,0)+(D56-E56)-(H56-I56)</f>
        <v>839353712</v>
      </c>
      <c r="H56" s="39" t="n">
        <f aca="false">ROUND(MAX(0,(H7-(H57-I57))),0)</f>
        <v>208721814</v>
      </c>
      <c r="I56" s="39" t="n">
        <f aca="false">ROUND(MAX(0,-(H7-(H57-I57))),0)</f>
        <v>0</v>
      </c>
      <c r="J56" s="39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6" s="40" t="n">
        <v>0</v>
      </c>
    </row>
    <row r="57" customFormat="false" ht="15" hidden="false" customHeight="false" outlineLevel="0" collapsed="false">
      <c r="A57" s="42" t="n">
        <v>571101</v>
      </c>
      <c r="B57" s="12" t="s">
        <v>348</v>
      </c>
      <c r="C57" s="13" t="s">
        <v>349</v>
      </c>
      <c r="D57" s="15" t="n">
        <f aca="false">IF(LEFT(A57,1)&gt;="6",0,SUMIFS('BALANCE 2024'!$H:$H,'BALANCE 2024'!$A:$A,A57))</f>
        <v>5545693</v>
      </c>
      <c r="E57" s="15" t="n">
        <f aca="false">IF(LEFT(A57,1)&gt;="6",0,SUMIFS('BALANCE 2024'!$I:$I,'BALANCE 2024'!$A:$A,A57))</f>
        <v>0</v>
      </c>
      <c r="F57" s="21" t="n">
        <f aca="false">ROUND(H9,0)</f>
        <v>167870742</v>
      </c>
      <c r="G57" s="21" t="n">
        <f aca="false">ROUND(H9,0)+(D57-E57)-(H57-I57)</f>
        <v>166192035</v>
      </c>
      <c r="H57" s="15" t="n">
        <f aca="false">ROUND(MAX(0,((D57-E57)+H9*(1-HYPOTHESES!D$38))),0)</f>
        <v>7224400</v>
      </c>
      <c r="I57" s="15" t="n">
        <f aca="false">ROUND(MAX(0,-((D57-E57)+H9*(1-HYPOTHESES!D$38))),0)</f>
        <v>0</v>
      </c>
      <c r="J57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7" s="43" t="n">
        <v>0</v>
      </c>
    </row>
    <row r="58" customFormat="false" ht="15" hidden="false" customHeight="false" outlineLevel="0" collapsed="false">
      <c r="A58" s="42" t="n">
        <v>585000</v>
      </c>
      <c r="B58" s="12" t="s">
        <v>350</v>
      </c>
      <c r="C58" s="13" t="s">
        <v>349</v>
      </c>
      <c r="D58" s="15" t="n">
        <f aca="false">IF(LEFT(A58,1)&gt;="6",0,SUMIFS('BALANCE 2024'!$H:$H,'BALANCE 2024'!$A:$A,A58))</f>
        <v>0</v>
      </c>
      <c r="E58" s="15" t="n">
        <f aca="false">IF(LEFT(A58,1)&gt;="6",0,SUMIFS('BALANCE 2024'!$I:$I,'BALANCE 2024'!$A:$A,A58))</f>
        <v>0</v>
      </c>
      <c r="F58" s="21" t="n">
        <f aca="false">ROUND(H9,0)</f>
        <v>167870742</v>
      </c>
      <c r="G58" s="21" t="n">
        <f aca="false">ROUND(H9,0)+(D58-E58)-(H58-I58)</f>
        <v>167870742</v>
      </c>
      <c r="H58" s="15" t="n">
        <f aca="false">ROUND(IF(LEFT(A58,1)&gt;="6",IF(C58="RE",IF(HYPOTHESES!$C$51=0,0,HYPOTHESES!D$51*SUMIFS('BALANCE 2024'!$H:$H,'BALANCE 2024'!$A:$A,A58)/HYPOTHESES!$C$51),IF(C58="RG",IF(HYPOTHESES!$C$52=0,0,HYPOTHESES!D$52*SUMIFS('BALANCE 2024'!$H:$H,'BALANCE 2024'!$A:$A,A58)/HYPOTHESES!$C$52),IF(C58="RH",IF(HYPOTHESES!$C$53=0,0,HYPOTHESES!D$53*SUMIFS('BALANCE 2024'!$H:$H,'BALANCE 2024'!$A:$A,A58)/HYPOTHESES!$C$53),IF(C58="RI",IF(HYPOTHESES!$C$54=0,0,HYPOTHESES!D$54*SUMIFS('BALANCE 2024'!$H:$H,'BALANCE 2024'!$A:$A,A58)/HYPOTHESES!$C$54),IF(C58="RJ",IF(HYPOTHESES!$C$55=0,0,HYPOTHESES!D$55*SUMIFS('BALANCE 2024'!$H:$H,'BALANCE 2024'!$A:$A,A58)/HYPOTHESES!$C$55),IF(C58="RK",IF(HYPOTHESES!$C$56=0,0,HYPOTHESES!D$56*SUMIFS('BALANCE 2024'!$H:$H,'BALANCE 2024'!$A:$A,A58)/HYPOTHESES!$C$56),0)))))),MAX(0,D58-E58)),0)</f>
        <v>0</v>
      </c>
      <c r="I58" s="21" t="n">
        <f aca="false">ROUND(IF(LEFT(A58,1)&gt;="6",0,MAX(0,E58-D58)),0)</f>
        <v>0</v>
      </c>
      <c r="J58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8" s="43" t="n">
        <f aca="false">T_BAL_2025[[#This Row],[Clôture Débit]]-T_BAL_2025[[#This Row],[Clôture Crédit]]</f>
        <v>0</v>
      </c>
    </row>
    <row r="59" customFormat="false" ht="15" hidden="false" customHeight="false" outlineLevel="0" collapsed="false">
      <c r="A59" s="35" t="n">
        <v>604300</v>
      </c>
      <c r="B59" s="36" t="s">
        <v>351</v>
      </c>
      <c r="C59" s="37" t="s">
        <v>352</v>
      </c>
      <c r="D59" s="44" t="n">
        <f aca="false">IF(LEFT(A59,1)&gt;="6",0,SUMIFS('BALANCE 2024'!$H:$H,'BALANCE 2024'!$A:$A,A59))</f>
        <v>0</v>
      </c>
      <c r="E59" s="44" t="n">
        <f aca="false">IF(LEFT(A59,1)&gt;="6",0,SUMIFS('BALANCE 2024'!$I:$I,'BALANCE 2024'!$A:$A,A59))</f>
        <v>0</v>
      </c>
      <c r="F59" s="39" t="n">
        <f aca="false">MAX(0,(H59-I59)-(D59-E59))</f>
        <v>1192758</v>
      </c>
      <c r="G59" s="39" t="n">
        <f aca="false">MAX(0,(D59-E59)-(H59-I59))</f>
        <v>0</v>
      </c>
      <c r="H59" s="44" t="n">
        <f aca="false">ROUND(IF(LEFT(A59,1)&gt;="6",IF(C59="RE",IF(HYPOTHESES!$C$51=0,0,HYPOTHESES!D$51*SUMIFS('BALANCE 2024'!$H:$H,'BALANCE 2024'!$A:$A,A59)/HYPOTHESES!$C$51),IF(C59="RG",IF(HYPOTHESES!$C$52=0,0,HYPOTHESES!D$52*SUMIFS('BALANCE 2024'!$H:$H,'BALANCE 2024'!$A:$A,A59)/HYPOTHESES!$C$52),IF(C59="RH",IF(HYPOTHESES!$C$53=0,0,HYPOTHESES!D$53*SUMIFS('BALANCE 2024'!$H:$H,'BALANCE 2024'!$A:$A,A59)/HYPOTHESES!$C$53),IF(C59="RI",IF(HYPOTHESES!$C$54=0,0,HYPOTHESES!D$54*SUMIFS('BALANCE 2024'!$H:$H,'BALANCE 2024'!$A:$A,A59)/HYPOTHESES!$C$54),IF(C59="RJ",IF(HYPOTHESES!$C$55=0,0,HYPOTHESES!D$55*SUMIFS('BALANCE 2024'!$H:$H,'BALANCE 2024'!$A:$A,A59)/HYPOTHESES!$C$55),IF(C59="RK",IF(HYPOTHESES!$C$56=0,0,HYPOTHESES!D$56*SUMIFS('BALANCE 2024'!$H:$H,'BALANCE 2024'!$A:$A,A59)/HYPOTHESES!$C$56),0)))))),MAX(0,D59-E59)),0)</f>
        <v>1192758</v>
      </c>
      <c r="I59" s="39" t="n">
        <v>0</v>
      </c>
      <c r="J59" s="39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9" s="40" t="n">
        <f aca="false">T_BAL_2025[[#This Row],[Clôture Débit]]-T_BAL_2025[[#This Row],[Clôture Crédit]]</f>
        <v>1192758</v>
      </c>
    </row>
    <row r="60" customFormat="false" ht="15" hidden="false" customHeight="false" outlineLevel="0" collapsed="false">
      <c r="A60" s="42" t="n">
        <v>605100</v>
      </c>
      <c r="B60" s="12" t="s">
        <v>353</v>
      </c>
      <c r="C60" s="13" t="s">
        <v>352</v>
      </c>
      <c r="D60" s="15" t="n">
        <f aca="false">IF(LEFT(A60,1)&gt;="6",0,SUMIFS('BALANCE 2024'!$H:$H,'BALANCE 2024'!$A:$A,A60))</f>
        <v>0</v>
      </c>
      <c r="E60" s="15" t="n">
        <f aca="false">IF(LEFT(A60,1)&gt;="6",0,SUMIFS('BALANCE 2024'!$I:$I,'BALANCE 2024'!$A:$A,A60))</f>
        <v>0</v>
      </c>
      <c r="F60" s="21" t="n">
        <f aca="false">MAX(0,(H60-I60)-(D60-E60))</f>
        <v>118833</v>
      </c>
      <c r="G60" s="21" t="n">
        <f aca="false">MAX(0,(D60-E60)-(H60-I60))</f>
        <v>0</v>
      </c>
      <c r="H60" s="15" t="n">
        <f aca="false">ROUND(IF(LEFT(A60,1)&gt;="6",IF(C60="RE",IF(HYPOTHESES!$C$51=0,0,HYPOTHESES!D$51*SUMIFS('BALANCE 2024'!$H:$H,'BALANCE 2024'!$A:$A,A60)/HYPOTHESES!$C$51),IF(C60="RG",IF(HYPOTHESES!$C$52=0,0,HYPOTHESES!D$52*SUMIFS('BALANCE 2024'!$H:$H,'BALANCE 2024'!$A:$A,A60)/HYPOTHESES!$C$52),IF(C60="RH",IF(HYPOTHESES!$C$53=0,0,HYPOTHESES!D$53*SUMIFS('BALANCE 2024'!$H:$H,'BALANCE 2024'!$A:$A,A60)/HYPOTHESES!$C$53),IF(C60="RI",IF(HYPOTHESES!$C$54=0,0,HYPOTHESES!D$54*SUMIFS('BALANCE 2024'!$H:$H,'BALANCE 2024'!$A:$A,A60)/HYPOTHESES!$C$54),IF(C60="RJ",IF(HYPOTHESES!$C$55=0,0,HYPOTHESES!D$55*SUMIFS('BALANCE 2024'!$H:$H,'BALANCE 2024'!$A:$A,A60)/HYPOTHESES!$C$55),IF(C60="RK",IF(HYPOTHESES!$C$56=0,0,HYPOTHESES!D$56*SUMIFS('BALANCE 2024'!$H:$H,'BALANCE 2024'!$A:$A,A60)/HYPOTHESES!$C$56),0)))))),MAX(0,D60-E60)),0)</f>
        <v>118833</v>
      </c>
      <c r="I60" s="21" t="n">
        <v>0</v>
      </c>
      <c r="J60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0" s="43" t="n">
        <f aca="false">T_BAL_2025[[#This Row],[Clôture Débit]]-T_BAL_2025[[#This Row],[Clôture Crédit]]</f>
        <v>118833</v>
      </c>
    </row>
    <row r="61" customFormat="false" ht="15" hidden="false" customHeight="false" outlineLevel="0" collapsed="false">
      <c r="A61" s="42" t="n">
        <v>605200</v>
      </c>
      <c r="B61" s="12" t="s">
        <v>354</v>
      </c>
      <c r="C61" s="13" t="s">
        <v>352</v>
      </c>
      <c r="D61" s="15" t="n">
        <f aca="false">IF(LEFT(A61,1)&gt;="6",0,SUMIFS('BALANCE 2024'!$H:$H,'BALANCE 2024'!$A:$A,A61))</f>
        <v>0</v>
      </c>
      <c r="E61" s="15" t="n">
        <f aca="false">IF(LEFT(A61,1)&gt;="6",0,SUMIFS('BALANCE 2024'!$I:$I,'BALANCE 2024'!$A:$A,A61))</f>
        <v>0</v>
      </c>
      <c r="F61" s="21" t="n">
        <f aca="false">MAX(0,(H61-I61)-(D61-E61))</f>
        <v>38119288</v>
      </c>
      <c r="G61" s="21" t="n">
        <f aca="false">MAX(0,(D61-E61)-(H61-I61))</f>
        <v>0</v>
      </c>
      <c r="H61" s="15" t="n">
        <f aca="false">ROUND(IF(LEFT(A61,1)&gt;="6",IF(C61="RE",IF(HYPOTHESES!$C$51=0,0,HYPOTHESES!D$51*SUMIFS('BALANCE 2024'!$H:$H,'BALANCE 2024'!$A:$A,A61)/HYPOTHESES!$C$51),IF(C61="RG",IF(HYPOTHESES!$C$52=0,0,HYPOTHESES!D$52*SUMIFS('BALANCE 2024'!$H:$H,'BALANCE 2024'!$A:$A,A61)/HYPOTHESES!$C$52),IF(C61="RH",IF(HYPOTHESES!$C$53=0,0,HYPOTHESES!D$53*SUMIFS('BALANCE 2024'!$H:$H,'BALANCE 2024'!$A:$A,A61)/HYPOTHESES!$C$53),IF(C61="RI",IF(HYPOTHESES!$C$54=0,0,HYPOTHESES!D$54*SUMIFS('BALANCE 2024'!$H:$H,'BALANCE 2024'!$A:$A,A61)/HYPOTHESES!$C$54),IF(C61="RJ",IF(HYPOTHESES!$C$55=0,0,HYPOTHESES!D$55*SUMIFS('BALANCE 2024'!$H:$H,'BALANCE 2024'!$A:$A,A61)/HYPOTHESES!$C$55),IF(C61="RK",IF(HYPOTHESES!$C$56=0,0,HYPOTHESES!D$56*SUMIFS('BALANCE 2024'!$H:$H,'BALANCE 2024'!$A:$A,A61)/HYPOTHESES!$C$56),0)))))),MAX(0,D61-E61)),0)</f>
        <v>38119288</v>
      </c>
      <c r="I61" s="21" t="n">
        <v>0</v>
      </c>
      <c r="J61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1" s="43" t="n">
        <f aca="false">T_BAL_2025[[#This Row],[Clôture Débit]]-T_BAL_2025[[#This Row],[Clôture Crédit]]</f>
        <v>38119288</v>
      </c>
    </row>
    <row r="62" customFormat="false" ht="15" hidden="false" customHeight="false" outlineLevel="0" collapsed="false">
      <c r="A62" s="42" t="n">
        <v>605300</v>
      </c>
      <c r="B62" s="12" t="s">
        <v>355</v>
      </c>
      <c r="C62" s="13" t="s">
        <v>352</v>
      </c>
      <c r="D62" s="15" t="n">
        <f aca="false">IF(LEFT(A62,1)&gt;="6",0,SUMIFS('BALANCE 2024'!$H:$H,'BALANCE 2024'!$A:$A,A62))</f>
        <v>0</v>
      </c>
      <c r="E62" s="15" t="n">
        <f aca="false">IF(LEFT(A62,1)&gt;="6",0,SUMIFS('BALANCE 2024'!$I:$I,'BALANCE 2024'!$A:$A,A62))</f>
        <v>0</v>
      </c>
      <c r="F62" s="21" t="n">
        <f aca="false">MAX(0,(H62-I62)-(D62-E62))</f>
        <v>18924533</v>
      </c>
      <c r="G62" s="21" t="n">
        <f aca="false">MAX(0,(D62-E62)-(H62-I62))</f>
        <v>0</v>
      </c>
      <c r="H62" s="15" t="n">
        <f aca="false">ROUND(IF(LEFT(A62,1)&gt;="6",IF(C62="RE",IF(HYPOTHESES!$C$51=0,0,HYPOTHESES!D$51*SUMIFS('BALANCE 2024'!$H:$H,'BALANCE 2024'!$A:$A,A62)/HYPOTHESES!$C$51),IF(C62="RG",IF(HYPOTHESES!$C$52=0,0,HYPOTHESES!D$52*SUMIFS('BALANCE 2024'!$H:$H,'BALANCE 2024'!$A:$A,A62)/HYPOTHESES!$C$52),IF(C62="RH",IF(HYPOTHESES!$C$53=0,0,HYPOTHESES!D$53*SUMIFS('BALANCE 2024'!$H:$H,'BALANCE 2024'!$A:$A,A62)/HYPOTHESES!$C$53),IF(C62="RI",IF(HYPOTHESES!$C$54=0,0,HYPOTHESES!D$54*SUMIFS('BALANCE 2024'!$H:$H,'BALANCE 2024'!$A:$A,A62)/HYPOTHESES!$C$54),IF(C62="RJ",IF(HYPOTHESES!$C$55=0,0,HYPOTHESES!D$55*SUMIFS('BALANCE 2024'!$H:$H,'BALANCE 2024'!$A:$A,A62)/HYPOTHESES!$C$55),IF(C62="RK",IF(HYPOTHESES!$C$56=0,0,HYPOTHESES!D$56*SUMIFS('BALANCE 2024'!$H:$H,'BALANCE 2024'!$A:$A,A62)/HYPOTHESES!$C$56),0)))))),MAX(0,D62-E62)),0)</f>
        <v>18924533</v>
      </c>
      <c r="I62" s="21" t="n">
        <v>0</v>
      </c>
      <c r="J62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2" s="43" t="n">
        <f aca="false">T_BAL_2025[[#This Row],[Clôture Débit]]-T_BAL_2025[[#This Row],[Clôture Crédit]]</f>
        <v>18924533</v>
      </c>
    </row>
    <row r="63" customFormat="false" ht="15" hidden="false" customHeight="false" outlineLevel="0" collapsed="false">
      <c r="A63" s="42" t="n">
        <v>605500</v>
      </c>
      <c r="B63" s="12" t="s">
        <v>356</v>
      </c>
      <c r="C63" s="13" t="s">
        <v>352</v>
      </c>
      <c r="D63" s="15" t="n">
        <f aca="false">IF(LEFT(A63,1)&gt;="6",0,SUMIFS('BALANCE 2024'!$H:$H,'BALANCE 2024'!$A:$A,A63))</f>
        <v>0</v>
      </c>
      <c r="E63" s="15" t="n">
        <f aca="false">IF(LEFT(A63,1)&gt;="6",0,SUMIFS('BALANCE 2024'!$I:$I,'BALANCE 2024'!$A:$A,A63))</f>
        <v>0</v>
      </c>
      <c r="F63" s="21" t="n">
        <f aca="false">MAX(0,(H63-I63)-(D63-E63))</f>
        <v>12280177</v>
      </c>
      <c r="G63" s="21" t="n">
        <f aca="false">MAX(0,(D63-E63)-(H63-I63))</f>
        <v>0</v>
      </c>
      <c r="H63" s="15" t="n">
        <f aca="false">ROUND(IF(LEFT(A63,1)&gt;="6",IF(C63="RE",IF(HYPOTHESES!$C$51=0,0,HYPOTHESES!D$51*SUMIFS('BALANCE 2024'!$H:$H,'BALANCE 2024'!$A:$A,A63)/HYPOTHESES!$C$51),IF(C63="RG",IF(HYPOTHESES!$C$52=0,0,HYPOTHESES!D$52*SUMIFS('BALANCE 2024'!$H:$H,'BALANCE 2024'!$A:$A,A63)/HYPOTHESES!$C$52),IF(C63="RH",IF(HYPOTHESES!$C$53=0,0,HYPOTHESES!D$53*SUMIFS('BALANCE 2024'!$H:$H,'BALANCE 2024'!$A:$A,A63)/HYPOTHESES!$C$53),IF(C63="RI",IF(HYPOTHESES!$C$54=0,0,HYPOTHESES!D$54*SUMIFS('BALANCE 2024'!$H:$H,'BALANCE 2024'!$A:$A,A63)/HYPOTHESES!$C$54),IF(C63="RJ",IF(HYPOTHESES!$C$55=0,0,HYPOTHESES!D$55*SUMIFS('BALANCE 2024'!$H:$H,'BALANCE 2024'!$A:$A,A63)/HYPOTHESES!$C$55),IF(C63="RK",IF(HYPOTHESES!$C$56=0,0,HYPOTHESES!D$56*SUMIFS('BALANCE 2024'!$H:$H,'BALANCE 2024'!$A:$A,A63)/HYPOTHESES!$C$56),0)))))),MAX(0,D63-E63)),0)</f>
        <v>12280177</v>
      </c>
      <c r="I63" s="21" t="n">
        <v>0</v>
      </c>
      <c r="J63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3" s="43" t="n">
        <f aca="false">T_BAL_2025[[#This Row],[Clôture Débit]]-T_BAL_2025[[#This Row],[Clôture Crédit]]</f>
        <v>12280177</v>
      </c>
    </row>
    <row r="64" customFormat="false" ht="15" hidden="false" customHeight="false" outlineLevel="0" collapsed="false">
      <c r="A64" s="42" t="n">
        <v>605600</v>
      </c>
      <c r="B64" s="12" t="s">
        <v>357</v>
      </c>
      <c r="C64" s="13" t="s">
        <v>352</v>
      </c>
      <c r="D64" s="15" t="n">
        <f aca="false">IF(LEFT(A64,1)&gt;="6",0,SUMIFS('BALANCE 2024'!$H:$H,'BALANCE 2024'!$A:$A,A64))</f>
        <v>0</v>
      </c>
      <c r="E64" s="15" t="n">
        <f aca="false">IF(LEFT(A64,1)&gt;="6",0,SUMIFS('BALANCE 2024'!$I:$I,'BALANCE 2024'!$A:$A,A64))</f>
        <v>0</v>
      </c>
      <c r="F64" s="21" t="n">
        <f aca="false">MAX(0,(H64-I64)-(D64-E64))</f>
        <v>3521452</v>
      </c>
      <c r="G64" s="21" t="n">
        <f aca="false">MAX(0,(D64-E64)-(H64-I64))</f>
        <v>0</v>
      </c>
      <c r="H64" s="15" t="n">
        <f aca="false">ROUND(IF(LEFT(A64,1)&gt;="6",IF(C64="RE",IF(HYPOTHESES!$C$51=0,0,HYPOTHESES!D$51*SUMIFS('BALANCE 2024'!$H:$H,'BALANCE 2024'!$A:$A,A64)/HYPOTHESES!$C$51),IF(C64="RG",IF(HYPOTHESES!$C$52=0,0,HYPOTHESES!D$52*SUMIFS('BALANCE 2024'!$H:$H,'BALANCE 2024'!$A:$A,A64)/HYPOTHESES!$C$52),IF(C64="RH",IF(HYPOTHESES!$C$53=0,0,HYPOTHESES!D$53*SUMIFS('BALANCE 2024'!$H:$H,'BALANCE 2024'!$A:$A,A64)/HYPOTHESES!$C$53),IF(C64="RI",IF(HYPOTHESES!$C$54=0,0,HYPOTHESES!D$54*SUMIFS('BALANCE 2024'!$H:$H,'BALANCE 2024'!$A:$A,A64)/HYPOTHESES!$C$54),IF(C64="RJ",IF(HYPOTHESES!$C$55=0,0,HYPOTHESES!D$55*SUMIFS('BALANCE 2024'!$H:$H,'BALANCE 2024'!$A:$A,A64)/HYPOTHESES!$C$55),IF(C64="RK",IF(HYPOTHESES!$C$56=0,0,HYPOTHESES!D$56*SUMIFS('BALANCE 2024'!$H:$H,'BALANCE 2024'!$A:$A,A64)/HYPOTHESES!$C$56),0)))))),MAX(0,D64-E64)),0)</f>
        <v>3521452</v>
      </c>
      <c r="I64" s="21" t="n">
        <v>0</v>
      </c>
      <c r="J64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4" s="43" t="n">
        <f aca="false">T_BAL_2025[[#This Row],[Clôture Débit]]-T_BAL_2025[[#This Row],[Clôture Crédit]]</f>
        <v>3521452</v>
      </c>
    </row>
    <row r="65" customFormat="false" ht="15" hidden="false" customHeight="false" outlineLevel="0" collapsed="false">
      <c r="A65" s="42" t="n">
        <v>605700</v>
      </c>
      <c r="B65" s="12" t="s">
        <v>358</v>
      </c>
      <c r="C65" s="13" t="s">
        <v>352</v>
      </c>
      <c r="D65" s="15" t="n">
        <f aca="false">IF(LEFT(A65,1)&gt;="6",0,SUMIFS('BALANCE 2024'!$H:$H,'BALANCE 2024'!$A:$A,A65))</f>
        <v>0</v>
      </c>
      <c r="E65" s="15" t="n">
        <f aca="false">IF(LEFT(A65,1)&gt;="6",0,SUMIFS('BALANCE 2024'!$I:$I,'BALANCE 2024'!$A:$A,A65))</f>
        <v>0</v>
      </c>
      <c r="F65" s="21" t="n">
        <f aca="false">MAX(0,(H65-I65)-(D65-E65))</f>
        <v>76465173</v>
      </c>
      <c r="G65" s="21" t="n">
        <f aca="false">MAX(0,(D65-E65)-(H65-I65))</f>
        <v>0</v>
      </c>
      <c r="H65" s="15" t="n">
        <f aca="false">ROUND(IF(LEFT(A65,1)&gt;="6",IF(C65="RE",IF(HYPOTHESES!$C$51=0,0,HYPOTHESES!D$51*SUMIFS('BALANCE 2024'!$H:$H,'BALANCE 2024'!$A:$A,A65)/HYPOTHESES!$C$51),IF(C65="RG",IF(HYPOTHESES!$C$52=0,0,HYPOTHESES!D$52*SUMIFS('BALANCE 2024'!$H:$H,'BALANCE 2024'!$A:$A,A65)/HYPOTHESES!$C$52),IF(C65="RH",IF(HYPOTHESES!$C$53=0,0,HYPOTHESES!D$53*SUMIFS('BALANCE 2024'!$H:$H,'BALANCE 2024'!$A:$A,A65)/HYPOTHESES!$C$53),IF(C65="RI",IF(HYPOTHESES!$C$54=0,0,HYPOTHESES!D$54*SUMIFS('BALANCE 2024'!$H:$H,'BALANCE 2024'!$A:$A,A65)/HYPOTHESES!$C$54),IF(C65="RJ",IF(HYPOTHESES!$C$55=0,0,HYPOTHESES!D$55*SUMIFS('BALANCE 2024'!$H:$H,'BALANCE 2024'!$A:$A,A65)/HYPOTHESES!$C$55),IF(C65="RK",IF(HYPOTHESES!$C$56=0,0,HYPOTHESES!D$56*SUMIFS('BALANCE 2024'!$H:$H,'BALANCE 2024'!$A:$A,A65)/HYPOTHESES!$C$56),0)))))),MAX(0,D65-E65)),0)</f>
        <v>76465173</v>
      </c>
      <c r="I65" s="21" t="n">
        <v>0</v>
      </c>
      <c r="J65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5" s="43" t="n">
        <f aca="false">T_BAL_2025[[#This Row],[Clôture Débit]]-T_BAL_2025[[#This Row],[Clôture Crédit]]</f>
        <v>76465173</v>
      </c>
    </row>
    <row r="66" customFormat="false" ht="15" hidden="false" customHeight="false" outlineLevel="0" collapsed="false">
      <c r="A66" s="42" t="n">
        <v>605800</v>
      </c>
      <c r="B66" s="12" t="s">
        <v>359</v>
      </c>
      <c r="C66" s="13" t="s">
        <v>352</v>
      </c>
      <c r="D66" s="15" t="n">
        <f aca="false">IF(LEFT(A66,1)&gt;="6",0,SUMIFS('BALANCE 2024'!$H:$H,'BALANCE 2024'!$A:$A,A66))</f>
        <v>0</v>
      </c>
      <c r="E66" s="15" t="n">
        <f aca="false">IF(LEFT(A66,1)&gt;="6",0,SUMIFS('BALANCE 2024'!$I:$I,'BALANCE 2024'!$A:$A,A66))</f>
        <v>0</v>
      </c>
      <c r="F66" s="21" t="n">
        <f aca="false">MAX(0,(H66-I66)-(D66-E66))</f>
        <v>114697760</v>
      </c>
      <c r="G66" s="21" t="n">
        <f aca="false">MAX(0,(D66-E66)-(H66-I66))</f>
        <v>0</v>
      </c>
      <c r="H66" s="15" t="n">
        <f aca="false">ROUND(IF(HYPOTHESES!$C$51=0,0,HYPOTHESES!D$51-SUMPRODUCT((T_BAL_2025[Poste]="RE")*(T_BAL_2025[Compte]&lt;&gt;605800)*ROUND(HYPOTHESES!D$51*SUMIFS('BALANCE 2024'!$H:$H,'BALANCE 2024'!$A:$A,T_BAL_2025[Compte])/HYPOTHESES!$C$51,0))),0)</f>
        <v>114697760</v>
      </c>
      <c r="I66" s="21" t="n">
        <v>0</v>
      </c>
      <c r="J66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6" s="43" t="n">
        <f aca="false">T_BAL_2025[[#This Row],[Clôture Débit]]-T_BAL_2025[[#This Row],[Clôture Crédit]]</f>
        <v>114697760</v>
      </c>
    </row>
    <row r="67" customFormat="false" ht="15" hidden="false" customHeight="false" outlineLevel="0" collapsed="false">
      <c r="A67" s="42" t="n">
        <v>616000</v>
      </c>
      <c r="B67" s="12" t="s">
        <v>360</v>
      </c>
      <c r="C67" s="13" t="s">
        <v>361</v>
      </c>
      <c r="D67" s="15" t="n">
        <f aca="false">IF(LEFT(A67,1)&gt;="6",0,SUMIFS('BALANCE 2024'!$H:$H,'BALANCE 2024'!$A:$A,A67))</f>
        <v>0</v>
      </c>
      <c r="E67" s="15" t="n">
        <f aca="false">IF(LEFT(A67,1)&gt;="6",0,SUMIFS('BALANCE 2024'!$I:$I,'BALANCE 2024'!$A:$A,A67))</f>
        <v>0</v>
      </c>
      <c r="F67" s="21" t="n">
        <f aca="false">MAX(0,(H67-I67)-(D67-E67))</f>
        <v>99569</v>
      </c>
      <c r="G67" s="21" t="n">
        <f aca="false">MAX(0,(D67-E67)-(H67-I67))</f>
        <v>0</v>
      </c>
      <c r="H67" s="15" t="n">
        <f aca="false">ROUND(IF(LEFT(A67,1)&gt;="6",IF(C67="RE",IF(HYPOTHESES!$C$51=0,0,HYPOTHESES!D$51*SUMIFS('BALANCE 2024'!$H:$H,'BALANCE 2024'!$A:$A,A67)/HYPOTHESES!$C$51),IF(C67="RG",IF(HYPOTHESES!$C$52=0,0,HYPOTHESES!D$52*SUMIFS('BALANCE 2024'!$H:$H,'BALANCE 2024'!$A:$A,A67)/HYPOTHESES!$C$52),IF(C67="RH",IF(HYPOTHESES!$C$53=0,0,HYPOTHESES!D$53*SUMIFS('BALANCE 2024'!$H:$H,'BALANCE 2024'!$A:$A,A67)/HYPOTHESES!$C$53),IF(C67="RI",IF(HYPOTHESES!$C$54=0,0,HYPOTHESES!D$54*SUMIFS('BALANCE 2024'!$H:$H,'BALANCE 2024'!$A:$A,A67)/HYPOTHESES!$C$54),IF(C67="RJ",IF(HYPOTHESES!$C$55=0,0,HYPOTHESES!D$55*SUMIFS('BALANCE 2024'!$H:$H,'BALANCE 2024'!$A:$A,A67)/HYPOTHESES!$C$55),IF(C67="RK",IF(HYPOTHESES!$C$56=0,0,HYPOTHESES!D$56*SUMIFS('BALANCE 2024'!$H:$H,'BALANCE 2024'!$A:$A,A67)/HYPOTHESES!$C$56),0)))))),MAX(0,D67-E67)),0)</f>
        <v>99569</v>
      </c>
      <c r="I67" s="21" t="n">
        <v>0</v>
      </c>
      <c r="J67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7" s="43" t="n">
        <f aca="false">T_BAL_2025[[#This Row],[Clôture Débit]]-T_BAL_2025[[#This Row],[Clôture Crédit]]</f>
        <v>99569</v>
      </c>
    </row>
    <row r="68" customFormat="false" ht="15" hidden="false" customHeight="false" outlineLevel="0" collapsed="false">
      <c r="A68" s="42" t="n">
        <v>618200</v>
      </c>
      <c r="B68" s="12" t="s">
        <v>362</v>
      </c>
      <c r="C68" s="13" t="s">
        <v>361</v>
      </c>
      <c r="D68" s="15" t="n">
        <f aca="false">IF(LEFT(A68,1)&gt;="6",0,SUMIFS('BALANCE 2024'!$H:$H,'BALANCE 2024'!$A:$A,A68))</f>
        <v>0</v>
      </c>
      <c r="E68" s="15" t="n">
        <f aca="false">IF(LEFT(A68,1)&gt;="6",0,SUMIFS('BALANCE 2024'!$I:$I,'BALANCE 2024'!$A:$A,A68))</f>
        <v>0</v>
      </c>
      <c r="F68" s="21" t="n">
        <f aca="false">MAX(0,(H68-I68)-(D68-E68))</f>
        <v>1661464</v>
      </c>
      <c r="G68" s="21" t="n">
        <f aca="false">MAX(0,(D68-E68)-(H68-I68))</f>
        <v>0</v>
      </c>
      <c r="H68" s="15" t="n">
        <f aca="false">ROUND(IF(LEFT(A68,1)&gt;="6",IF(C68="RE",IF(HYPOTHESES!$C$51=0,0,HYPOTHESES!D$51*SUMIFS('BALANCE 2024'!$H:$H,'BALANCE 2024'!$A:$A,A68)/HYPOTHESES!$C$51),IF(C68="RG",IF(HYPOTHESES!$C$52=0,0,HYPOTHESES!D$52*SUMIFS('BALANCE 2024'!$H:$H,'BALANCE 2024'!$A:$A,A68)/HYPOTHESES!$C$52),IF(C68="RH",IF(HYPOTHESES!$C$53=0,0,HYPOTHESES!D$53*SUMIFS('BALANCE 2024'!$H:$H,'BALANCE 2024'!$A:$A,A68)/HYPOTHESES!$C$53),IF(C68="RI",IF(HYPOTHESES!$C$54=0,0,HYPOTHESES!D$54*SUMIFS('BALANCE 2024'!$H:$H,'BALANCE 2024'!$A:$A,A68)/HYPOTHESES!$C$54),IF(C68="RJ",IF(HYPOTHESES!$C$55=0,0,HYPOTHESES!D$55*SUMIFS('BALANCE 2024'!$H:$H,'BALANCE 2024'!$A:$A,A68)/HYPOTHESES!$C$55),IF(C68="RK",IF(HYPOTHESES!$C$56=0,0,HYPOTHESES!D$56*SUMIFS('BALANCE 2024'!$H:$H,'BALANCE 2024'!$A:$A,A68)/HYPOTHESES!$C$56),0)))))),MAX(0,D68-E68)),0)</f>
        <v>1661464</v>
      </c>
      <c r="I68" s="21" t="n">
        <v>0</v>
      </c>
      <c r="J68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8" s="43" t="n">
        <f aca="false">T_BAL_2025[[#This Row],[Clôture Débit]]-T_BAL_2025[[#This Row],[Clôture Crédit]]</f>
        <v>1661464</v>
      </c>
    </row>
    <row r="69" customFormat="false" ht="15" hidden="false" customHeight="false" outlineLevel="0" collapsed="false">
      <c r="A69" s="42" t="n">
        <v>618300</v>
      </c>
      <c r="B69" s="12" t="s">
        <v>363</v>
      </c>
      <c r="C69" s="13" t="s">
        <v>361</v>
      </c>
      <c r="D69" s="15" t="n">
        <f aca="false">IF(LEFT(A69,1)&gt;="6",0,SUMIFS('BALANCE 2024'!$H:$H,'BALANCE 2024'!$A:$A,A69))</f>
        <v>0</v>
      </c>
      <c r="E69" s="15" t="n">
        <f aca="false">IF(LEFT(A69,1)&gt;="6",0,SUMIFS('BALANCE 2024'!$I:$I,'BALANCE 2024'!$A:$A,A69))</f>
        <v>0</v>
      </c>
      <c r="F69" s="21" t="n">
        <f aca="false">MAX(0,(H69-I69)-(D69-E69))</f>
        <v>2289499</v>
      </c>
      <c r="G69" s="21" t="n">
        <f aca="false">MAX(0,(D69-E69)-(H69-I69))</f>
        <v>0</v>
      </c>
      <c r="H69" s="15" t="n">
        <f aca="false">ROUND(IF(HYPOTHESES!$C$52=0,0,HYPOTHESES!D$52-SUMPRODUCT((T_BAL_2025[Poste]="RG")*(T_BAL_2025[Compte]&lt;&gt;618300)*ROUND(HYPOTHESES!D$52*SUMIFS('BALANCE 2024'!$H:$H,'BALANCE 2024'!$A:$A,T_BAL_2025[Compte])/HYPOTHESES!$C$52,0))),0)</f>
        <v>2289499</v>
      </c>
      <c r="I69" s="21" t="n">
        <v>0</v>
      </c>
      <c r="J69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9" s="43" t="n">
        <f aca="false">T_BAL_2025[[#This Row],[Clôture Débit]]-T_BAL_2025[[#This Row],[Clôture Crédit]]</f>
        <v>2289499</v>
      </c>
    </row>
    <row r="70" customFormat="false" ht="15" hidden="false" customHeight="false" outlineLevel="0" collapsed="false">
      <c r="A70" s="42" t="n">
        <v>622200</v>
      </c>
      <c r="B70" s="12" t="s">
        <v>364</v>
      </c>
      <c r="C70" s="13" t="s">
        <v>365</v>
      </c>
      <c r="D70" s="15" t="n">
        <f aca="false">IF(LEFT(A70,1)&gt;="6",0,SUMIFS('BALANCE 2024'!$H:$H,'BALANCE 2024'!$A:$A,A70))</f>
        <v>0</v>
      </c>
      <c r="E70" s="15" t="n">
        <f aca="false">IF(LEFT(A70,1)&gt;="6",0,SUMIFS('BALANCE 2024'!$I:$I,'BALANCE 2024'!$A:$A,A70))</f>
        <v>0</v>
      </c>
      <c r="F70" s="21" t="n">
        <f aca="false">MAX(0,(H70-I70)-(D70-E70))</f>
        <v>17799094</v>
      </c>
      <c r="G70" s="21" t="n">
        <f aca="false">MAX(0,(D70-E70)-(H70-I70))</f>
        <v>0</v>
      </c>
      <c r="H70" s="15" t="n">
        <f aca="false">ROUND(IF(LEFT(A70,1)&gt;="6",IF(C70="RE",IF(HYPOTHESES!$C$51=0,0,HYPOTHESES!D$51*SUMIFS('BALANCE 2024'!$H:$H,'BALANCE 2024'!$A:$A,A70)/HYPOTHESES!$C$51),IF(C70="RG",IF(HYPOTHESES!$C$52=0,0,HYPOTHESES!D$52*SUMIFS('BALANCE 2024'!$H:$H,'BALANCE 2024'!$A:$A,A70)/HYPOTHESES!$C$52),IF(C70="RH",IF(HYPOTHESES!$C$53=0,0,HYPOTHESES!D$53*SUMIFS('BALANCE 2024'!$H:$H,'BALANCE 2024'!$A:$A,A70)/HYPOTHESES!$C$53),IF(C70="RI",IF(HYPOTHESES!$C$54=0,0,HYPOTHESES!D$54*SUMIFS('BALANCE 2024'!$H:$H,'BALANCE 2024'!$A:$A,A70)/HYPOTHESES!$C$54),IF(C70="RJ",IF(HYPOTHESES!$C$55=0,0,HYPOTHESES!D$55*SUMIFS('BALANCE 2024'!$H:$H,'BALANCE 2024'!$A:$A,A70)/HYPOTHESES!$C$55),IF(C70="RK",IF(HYPOTHESES!$C$56=0,0,HYPOTHESES!D$56*SUMIFS('BALANCE 2024'!$H:$H,'BALANCE 2024'!$A:$A,A70)/HYPOTHESES!$C$56),0)))))),MAX(0,D70-E70)),0)</f>
        <v>17799094</v>
      </c>
      <c r="I70" s="21" t="n">
        <v>0</v>
      </c>
      <c r="J70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0" s="43" t="n">
        <f aca="false">T_BAL_2025[[#This Row],[Clôture Débit]]-T_BAL_2025[[#This Row],[Clôture Crédit]]</f>
        <v>17799094</v>
      </c>
    </row>
    <row r="71" customFormat="false" ht="15" hidden="false" customHeight="false" outlineLevel="0" collapsed="false">
      <c r="A71" s="42" t="n">
        <v>624200</v>
      </c>
      <c r="B71" s="12" t="s">
        <v>366</v>
      </c>
      <c r="C71" s="13" t="s">
        <v>365</v>
      </c>
      <c r="D71" s="15" t="n">
        <f aca="false">IF(LEFT(A71,1)&gt;="6",0,SUMIFS('BALANCE 2024'!$H:$H,'BALANCE 2024'!$A:$A,A71))</f>
        <v>0</v>
      </c>
      <c r="E71" s="15" t="n">
        <f aca="false">IF(LEFT(A71,1)&gt;="6",0,SUMIFS('BALANCE 2024'!$I:$I,'BALANCE 2024'!$A:$A,A71))</f>
        <v>0</v>
      </c>
      <c r="F71" s="21" t="n">
        <f aca="false">MAX(0,(H71-I71)-(D71-E71))</f>
        <v>36596794</v>
      </c>
      <c r="G71" s="21" t="n">
        <f aca="false">MAX(0,(D71-E71)-(H71-I71))</f>
        <v>0</v>
      </c>
      <c r="H71" s="15" t="n">
        <f aca="false">ROUND(IF(HYPOTHESES!$C$53=0,0,HYPOTHESES!D$53-SUMPRODUCT((T_BAL_2025[Poste]="RH")*(T_BAL_2025[Compte]&lt;&gt;624200)*ROUND(HYPOTHESES!D$53*SUMIFS('BALANCE 2024'!$H:$H,'BALANCE 2024'!$A:$A,T_BAL_2025[Compte])/HYPOTHESES!$C$53,0))),0)</f>
        <v>36596794</v>
      </c>
      <c r="I71" s="21" t="n">
        <v>0</v>
      </c>
      <c r="J71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1" s="43" t="n">
        <f aca="false">T_BAL_2025[[#This Row],[Clôture Débit]]-T_BAL_2025[[#This Row],[Clôture Crédit]]</f>
        <v>36596794</v>
      </c>
    </row>
    <row r="72" customFormat="false" ht="15" hidden="false" customHeight="false" outlineLevel="0" collapsed="false">
      <c r="A72" s="42" t="n">
        <v>625800</v>
      </c>
      <c r="B72" s="12" t="s">
        <v>367</v>
      </c>
      <c r="C72" s="13" t="s">
        <v>365</v>
      </c>
      <c r="D72" s="15" t="n">
        <f aca="false">IF(LEFT(A72,1)&gt;="6",0,SUMIFS('BALANCE 2024'!$H:$H,'BALANCE 2024'!$A:$A,A72))</f>
        <v>0</v>
      </c>
      <c r="E72" s="15" t="n">
        <f aca="false">IF(LEFT(A72,1)&gt;="6",0,SUMIFS('BALANCE 2024'!$I:$I,'BALANCE 2024'!$A:$A,A72))</f>
        <v>0</v>
      </c>
      <c r="F72" s="21" t="n">
        <f aca="false">MAX(0,(H72-I72)-(D72-E72))</f>
        <v>4910803</v>
      </c>
      <c r="G72" s="21" t="n">
        <f aca="false">MAX(0,(D72-E72)-(H72-I72))</f>
        <v>0</v>
      </c>
      <c r="H72" s="15" t="n">
        <f aca="false">ROUND(IF(LEFT(A72,1)&gt;="6",IF(C72="RE",IF(HYPOTHESES!$C$51=0,0,HYPOTHESES!D$51*SUMIFS('BALANCE 2024'!$H:$H,'BALANCE 2024'!$A:$A,A72)/HYPOTHESES!$C$51),IF(C72="RG",IF(HYPOTHESES!$C$52=0,0,HYPOTHESES!D$52*SUMIFS('BALANCE 2024'!$H:$H,'BALANCE 2024'!$A:$A,A72)/HYPOTHESES!$C$52),IF(C72="RH",IF(HYPOTHESES!$C$53=0,0,HYPOTHESES!D$53*SUMIFS('BALANCE 2024'!$H:$H,'BALANCE 2024'!$A:$A,A72)/HYPOTHESES!$C$53),IF(C72="RI",IF(HYPOTHESES!$C$54=0,0,HYPOTHESES!D$54*SUMIFS('BALANCE 2024'!$H:$H,'BALANCE 2024'!$A:$A,A72)/HYPOTHESES!$C$54),IF(C72="RJ",IF(HYPOTHESES!$C$55=0,0,HYPOTHESES!D$55*SUMIFS('BALANCE 2024'!$H:$H,'BALANCE 2024'!$A:$A,A72)/HYPOTHESES!$C$55),IF(C72="RK",IF(HYPOTHESES!$C$56=0,0,HYPOTHESES!D$56*SUMIFS('BALANCE 2024'!$H:$H,'BALANCE 2024'!$A:$A,A72)/HYPOTHESES!$C$56),0)))))),MAX(0,D72-E72)),0)</f>
        <v>4910803</v>
      </c>
      <c r="I72" s="21" t="n">
        <v>0</v>
      </c>
      <c r="J72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2" s="43" t="n">
        <f aca="false">T_BAL_2025[[#This Row],[Clôture Débit]]-T_BAL_2025[[#This Row],[Clôture Crédit]]</f>
        <v>4910803</v>
      </c>
    </row>
    <row r="73" customFormat="false" ht="15" hidden="false" customHeight="false" outlineLevel="0" collapsed="false">
      <c r="A73" s="42" t="n">
        <v>626600</v>
      </c>
      <c r="B73" s="12" t="s">
        <v>368</v>
      </c>
      <c r="C73" s="13" t="s">
        <v>365</v>
      </c>
      <c r="D73" s="15" t="n">
        <f aca="false">IF(LEFT(A73,1)&gt;="6",0,SUMIFS('BALANCE 2024'!$H:$H,'BALANCE 2024'!$A:$A,A73))</f>
        <v>0</v>
      </c>
      <c r="E73" s="15" t="n">
        <f aca="false">IF(LEFT(A73,1)&gt;="6",0,SUMIFS('BALANCE 2024'!$I:$I,'BALANCE 2024'!$A:$A,A73))</f>
        <v>0</v>
      </c>
      <c r="F73" s="21" t="n">
        <f aca="false">MAX(0,(H73-I73)-(D73-E73))</f>
        <v>34239</v>
      </c>
      <c r="G73" s="21" t="n">
        <f aca="false">MAX(0,(D73-E73)-(H73-I73))</f>
        <v>0</v>
      </c>
      <c r="H73" s="15" t="n">
        <f aca="false">ROUND(IF(LEFT(A73,1)&gt;="6",IF(C73="RE",IF(HYPOTHESES!$C$51=0,0,HYPOTHESES!D$51*SUMIFS('BALANCE 2024'!$H:$H,'BALANCE 2024'!$A:$A,A73)/HYPOTHESES!$C$51),IF(C73="RG",IF(HYPOTHESES!$C$52=0,0,HYPOTHESES!D$52*SUMIFS('BALANCE 2024'!$H:$H,'BALANCE 2024'!$A:$A,A73)/HYPOTHESES!$C$52),IF(C73="RH",IF(HYPOTHESES!$C$53=0,0,HYPOTHESES!D$53*SUMIFS('BALANCE 2024'!$H:$H,'BALANCE 2024'!$A:$A,A73)/HYPOTHESES!$C$53),IF(C73="RI",IF(HYPOTHESES!$C$54=0,0,HYPOTHESES!D$54*SUMIFS('BALANCE 2024'!$H:$H,'BALANCE 2024'!$A:$A,A73)/HYPOTHESES!$C$54),IF(C73="RJ",IF(HYPOTHESES!$C$55=0,0,HYPOTHESES!D$55*SUMIFS('BALANCE 2024'!$H:$H,'BALANCE 2024'!$A:$A,A73)/HYPOTHESES!$C$55),IF(C73="RK",IF(HYPOTHESES!$C$56=0,0,HYPOTHESES!D$56*SUMIFS('BALANCE 2024'!$H:$H,'BALANCE 2024'!$A:$A,A73)/HYPOTHESES!$C$56),0)))))),MAX(0,D73-E73)),0)</f>
        <v>34239</v>
      </c>
      <c r="I73" s="21" t="n">
        <v>0</v>
      </c>
      <c r="J73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3" s="43" t="n">
        <f aca="false">T_BAL_2025[[#This Row],[Clôture Débit]]-T_BAL_2025[[#This Row],[Clôture Crédit]]</f>
        <v>34239</v>
      </c>
    </row>
    <row r="74" customFormat="false" ht="15" hidden="false" customHeight="false" outlineLevel="0" collapsed="false">
      <c r="A74" s="42" t="n">
        <v>627700</v>
      </c>
      <c r="B74" s="12" t="s">
        <v>369</v>
      </c>
      <c r="C74" s="13" t="s">
        <v>365</v>
      </c>
      <c r="D74" s="15" t="n">
        <f aca="false">IF(LEFT(A74,1)&gt;="6",0,SUMIFS('BALANCE 2024'!$H:$H,'BALANCE 2024'!$A:$A,A74))</f>
        <v>0</v>
      </c>
      <c r="E74" s="15" t="n">
        <f aca="false">IF(LEFT(A74,1)&gt;="6",0,SUMIFS('BALANCE 2024'!$I:$I,'BALANCE 2024'!$A:$A,A74))</f>
        <v>0</v>
      </c>
      <c r="F74" s="21" t="n">
        <f aca="false">MAX(0,(H74-I74)-(D74-E74))</f>
        <v>62593</v>
      </c>
      <c r="G74" s="21" t="n">
        <f aca="false">MAX(0,(D74-E74)-(H74-I74))</f>
        <v>0</v>
      </c>
      <c r="H74" s="15" t="n">
        <f aca="false">ROUND(IF(LEFT(A74,1)&gt;="6",IF(C74="RE",IF(HYPOTHESES!$C$51=0,0,HYPOTHESES!D$51*SUMIFS('BALANCE 2024'!$H:$H,'BALANCE 2024'!$A:$A,A74)/HYPOTHESES!$C$51),IF(C74="RG",IF(HYPOTHESES!$C$52=0,0,HYPOTHESES!D$52*SUMIFS('BALANCE 2024'!$H:$H,'BALANCE 2024'!$A:$A,A74)/HYPOTHESES!$C$52),IF(C74="RH",IF(HYPOTHESES!$C$53=0,0,HYPOTHESES!D$53*SUMIFS('BALANCE 2024'!$H:$H,'BALANCE 2024'!$A:$A,A74)/HYPOTHESES!$C$53),IF(C74="RI",IF(HYPOTHESES!$C$54=0,0,HYPOTHESES!D$54*SUMIFS('BALANCE 2024'!$H:$H,'BALANCE 2024'!$A:$A,A74)/HYPOTHESES!$C$54),IF(C74="RJ",IF(HYPOTHESES!$C$55=0,0,HYPOTHESES!D$55*SUMIFS('BALANCE 2024'!$H:$H,'BALANCE 2024'!$A:$A,A74)/HYPOTHESES!$C$55),IF(C74="RK",IF(HYPOTHESES!$C$56=0,0,HYPOTHESES!D$56*SUMIFS('BALANCE 2024'!$H:$H,'BALANCE 2024'!$A:$A,A74)/HYPOTHESES!$C$56),0)))))),MAX(0,D74-E74)),0)</f>
        <v>62593</v>
      </c>
      <c r="I74" s="21" t="n">
        <v>0</v>
      </c>
      <c r="J74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4" s="43" t="n">
        <f aca="false">T_BAL_2025[[#This Row],[Clôture Débit]]-T_BAL_2025[[#This Row],[Clôture Crédit]]</f>
        <v>62593</v>
      </c>
    </row>
    <row r="75" customFormat="false" ht="15" hidden="false" customHeight="false" outlineLevel="0" collapsed="false">
      <c r="A75" s="42" t="n">
        <v>628800</v>
      </c>
      <c r="B75" s="12" t="s">
        <v>370</v>
      </c>
      <c r="C75" s="13" t="s">
        <v>365</v>
      </c>
      <c r="D75" s="15" t="n">
        <f aca="false">IF(LEFT(A75,1)&gt;="6",0,SUMIFS('BALANCE 2024'!$H:$H,'BALANCE 2024'!$A:$A,A75))</f>
        <v>0</v>
      </c>
      <c r="E75" s="15" t="n">
        <f aca="false">IF(LEFT(A75,1)&gt;="6",0,SUMIFS('BALANCE 2024'!$I:$I,'BALANCE 2024'!$A:$A,A75))</f>
        <v>0</v>
      </c>
      <c r="F75" s="21" t="n">
        <f aca="false">MAX(0,(H75-I75)-(D75-E75))</f>
        <v>849605</v>
      </c>
      <c r="G75" s="21" t="n">
        <f aca="false">MAX(0,(D75-E75)-(H75-I75))</f>
        <v>0</v>
      </c>
      <c r="H75" s="15" t="n">
        <f aca="false">ROUND(IF(LEFT(A75,1)&gt;="6",IF(C75="RE",IF(HYPOTHESES!$C$51=0,0,HYPOTHESES!D$51*SUMIFS('BALANCE 2024'!$H:$H,'BALANCE 2024'!$A:$A,A75)/HYPOTHESES!$C$51),IF(C75="RG",IF(HYPOTHESES!$C$52=0,0,HYPOTHESES!D$52*SUMIFS('BALANCE 2024'!$H:$H,'BALANCE 2024'!$A:$A,A75)/HYPOTHESES!$C$52),IF(C75="RH",IF(HYPOTHESES!$C$53=0,0,HYPOTHESES!D$53*SUMIFS('BALANCE 2024'!$H:$H,'BALANCE 2024'!$A:$A,A75)/HYPOTHESES!$C$53),IF(C75="RI",IF(HYPOTHESES!$C$54=0,0,HYPOTHESES!D$54*SUMIFS('BALANCE 2024'!$H:$H,'BALANCE 2024'!$A:$A,A75)/HYPOTHESES!$C$54),IF(C75="RJ",IF(HYPOTHESES!$C$55=0,0,HYPOTHESES!D$55*SUMIFS('BALANCE 2024'!$H:$H,'BALANCE 2024'!$A:$A,A75)/HYPOTHESES!$C$55),IF(C75="RK",IF(HYPOTHESES!$C$56=0,0,HYPOTHESES!D$56*SUMIFS('BALANCE 2024'!$H:$H,'BALANCE 2024'!$A:$A,A75)/HYPOTHESES!$C$56),0)))))),MAX(0,D75-E75)),0)</f>
        <v>849605</v>
      </c>
      <c r="I75" s="21" t="n">
        <v>0</v>
      </c>
      <c r="J75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5" s="43" t="n">
        <f aca="false">T_BAL_2025[[#This Row],[Clôture Débit]]-T_BAL_2025[[#This Row],[Clôture Crédit]]</f>
        <v>849605</v>
      </c>
    </row>
    <row r="76" customFormat="false" ht="15" hidden="false" customHeight="false" outlineLevel="0" collapsed="false">
      <c r="A76" s="42" t="n">
        <v>631800</v>
      </c>
      <c r="B76" s="12" t="s">
        <v>371</v>
      </c>
      <c r="C76" s="13" t="s">
        <v>365</v>
      </c>
      <c r="D76" s="15" t="n">
        <f aca="false">IF(LEFT(A76,1)&gt;="6",0,SUMIFS('BALANCE 2024'!$H:$H,'BALANCE 2024'!$A:$A,A76))</f>
        <v>0</v>
      </c>
      <c r="E76" s="15" t="n">
        <f aca="false">IF(LEFT(A76,1)&gt;="6",0,SUMIFS('BALANCE 2024'!$I:$I,'BALANCE 2024'!$A:$A,A76))</f>
        <v>0</v>
      </c>
      <c r="F76" s="21" t="n">
        <f aca="false">MAX(0,(H76-I76)-(D76-E76))</f>
        <v>24170860</v>
      </c>
      <c r="G76" s="21" t="n">
        <f aca="false">MAX(0,(D76-E76)-(H76-I76))</f>
        <v>0</v>
      </c>
      <c r="H76" s="15" t="n">
        <f aca="false">ROUND(IF(LEFT(A76,1)&gt;="6",IF(C76="RE",IF(HYPOTHESES!$C$51=0,0,HYPOTHESES!D$51*SUMIFS('BALANCE 2024'!$H:$H,'BALANCE 2024'!$A:$A,A76)/HYPOTHESES!$C$51),IF(C76="RG",IF(HYPOTHESES!$C$52=0,0,HYPOTHESES!D$52*SUMIFS('BALANCE 2024'!$H:$H,'BALANCE 2024'!$A:$A,A76)/HYPOTHESES!$C$52),IF(C76="RH",IF(HYPOTHESES!$C$53=0,0,HYPOTHESES!D$53*SUMIFS('BALANCE 2024'!$H:$H,'BALANCE 2024'!$A:$A,A76)/HYPOTHESES!$C$53),IF(C76="RI",IF(HYPOTHESES!$C$54=0,0,HYPOTHESES!D$54*SUMIFS('BALANCE 2024'!$H:$H,'BALANCE 2024'!$A:$A,A76)/HYPOTHESES!$C$54),IF(C76="RJ",IF(HYPOTHESES!$C$55=0,0,HYPOTHESES!D$55*SUMIFS('BALANCE 2024'!$H:$H,'BALANCE 2024'!$A:$A,A76)/HYPOTHESES!$C$55),IF(C76="RK",IF(HYPOTHESES!$C$56=0,0,HYPOTHESES!D$56*SUMIFS('BALANCE 2024'!$H:$H,'BALANCE 2024'!$A:$A,A76)/HYPOTHESES!$C$56),0)))))),MAX(0,D76-E76)),0)</f>
        <v>24170860</v>
      </c>
      <c r="I76" s="21" t="n">
        <v>0</v>
      </c>
      <c r="J76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6" s="43" t="n">
        <f aca="false">T_BAL_2025[[#This Row],[Clôture Débit]]-T_BAL_2025[[#This Row],[Clôture Crédit]]</f>
        <v>24170860</v>
      </c>
    </row>
    <row r="77" customFormat="false" ht="15" hidden="false" customHeight="false" outlineLevel="0" collapsed="false">
      <c r="A77" s="42" t="n">
        <v>632800</v>
      </c>
      <c r="B77" s="12" t="s">
        <v>372</v>
      </c>
      <c r="C77" s="13" t="s">
        <v>365</v>
      </c>
      <c r="D77" s="15" t="n">
        <f aca="false">IF(LEFT(A77,1)&gt;="6",0,SUMIFS('BALANCE 2024'!$H:$H,'BALANCE 2024'!$A:$A,A77))</f>
        <v>0</v>
      </c>
      <c r="E77" s="15" t="n">
        <f aca="false">IF(LEFT(A77,1)&gt;="6",0,SUMIFS('BALANCE 2024'!$I:$I,'BALANCE 2024'!$A:$A,A77))</f>
        <v>0</v>
      </c>
      <c r="F77" s="21" t="n">
        <f aca="false">MAX(0,(H77-I77)-(D77-E77))</f>
        <v>5085623</v>
      </c>
      <c r="G77" s="21" t="n">
        <f aca="false">MAX(0,(D77-E77)-(H77-I77))</f>
        <v>0</v>
      </c>
      <c r="H77" s="15" t="n">
        <f aca="false">ROUND(IF(LEFT(A77,1)&gt;="6",IF(C77="RE",IF(HYPOTHESES!$C$51=0,0,HYPOTHESES!D$51*SUMIFS('BALANCE 2024'!$H:$H,'BALANCE 2024'!$A:$A,A77)/HYPOTHESES!$C$51),IF(C77="RG",IF(HYPOTHESES!$C$52=0,0,HYPOTHESES!D$52*SUMIFS('BALANCE 2024'!$H:$H,'BALANCE 2024'!$A:$A,A77)/HYPOTHESES!$C$52),IF(C77="RH",IF(HYPOTHESES!$C$53=0,0,HYPOTHESES!D$53*SUMIFS('BALANCE 2024'!$H:$H,'BALANCE 2024'!$A:$A,A77)/HYPOTHESES!$C$53),IF(C77="RI",IF(HYPOTHESES!$C$54=0,0,HYPOTHESES!D$54*SUMIFS('BALANCE 2024'!$H:$H,'BALANCE 2024'!$A:$A,A77)/HYPOTHESES!$C$54),IF(C77="RJ",IF(HYPOTHESES!$C$55=0,0,HYPOTHESES!D$55*SUMIFS('BALANCE 2024'!$H:$H,'BALANCE 2024'!$A:$A,A77)/HYPOTHESES!$C$55),IF(C77="RK",IF(HYPOTHESES!$C$56=0,0,HYPOTHESES!D$56*SUMIFS('BALANCE 2024'!$H:$H,'BALANCE 2024'!$A:$A,A77)/HYPOTHESES!$C$56),0)))))),MAX(0,D77-E77)),0)</f>
        <v>5085623</v>
      </c>
      <c r="I77" s="21" t="n">
        <v>0</v>
      </c>
      <c r="J77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7" s="43" t="n">
        <f aca="false">T_BAL_2025[[#This Row],[Clôture Débit]]-T_BAL_2025[[#This Row],[Clôture Crédit]]</f>
        <v>5085623</v>
      </c>
    </row>
    <row r="78" customFormat="false" ht="15" hidden="false" customHeight="false" outlineLevel="0" collapsed="false">
      <c r="A78" s="42" t="n">
        <v>638800</v>
      </c>
      <c r="B78" s="12" t="s">
        <v>373</v>
      </c>
      <c r="C78" s="13" t="s">
        <v>365</v>
      </c>
      <c r="D78" s="15" t="n">
        <f aca="false">IF(LEFT(A78,1)&gt;="6",0,SUMIFS('BALANCE 2024'!$H:$H,'BALANCE 2024'!$A:$A,A78))</f>
        <v>0</v>
      </c>
      <c r="E78" s="15" t="n">
        <f aca="false">IF(LEFT(A78,1)&gt;="6",0,SUMIFS('BALANCE 2024'!$I:$I,'BALANCE 2024'!$A:$A,A78))</f>
        <v>0</v>
      </c>
      <c r="F78" s="21" t="n">
        <f aca="false">MAX(0,(H78-I78)-(D78-E78))</f>
        <v>24730400</v>
      </c>
      <c r="G78" s="21" t="n">
        <f aca="false">MAX(0,(D78-E78)-(H78-I78))</f>
        <v>0</v>
      </c>
      <c r="H78" s="15" t="n">
        <f aca="false">ROUND(IF(LEFT(A78,1)&gt;="6",IF(C78="RE",IF(HYPOTHESES!$C$51=0,0,HYPOTHESES!D$51*SUMIFS('BALANCE 2024'!$H:$H,'BALANCE 2024'!$A:$A,A78)/HYPOTHESES!$C$51),IF(C78="RG",IF(HYPOTHESES!$C$52=0,0,HYPOTHESES!D$52*SUMIFS('BALANCE 2024'!$H:$H,'BALANCE 2024'!$A:$A,A78)/HYPOTHESES!$C$52),IF(C78="RH",IF(HYPOTHESES!$C$53=0,0,HYPOTHESES!D$53*SUMIFS('BALANCE 2024'!$H:$H,'BALANCE 2024'!$A:$A,A78)/HYPOTHESES!$C$53),IF(C78="RI",IF(HYPOTHESES!$C$54=0,0,HYPOTHESES!D$54*SUMIFS('BALANCE 2024'!$H:$H,'BALANCE 2024'!$A:$A,A78)/HYPOTHESES!$C$54),IF(C78="RJ",IF(HYPOTHESES!$C$55=0,0,HYPOTHESES!D$55*SUMIFS('BALANCE 2024'!$H:$H,'BALANCE 2024'!$A:$A,A78)/HYPOTHESES!$C$55),IF(C78="RK",IF(HYPOTHESES!$C$56=0,0,HYPOTHESES!D$56*SUMIFS('BALANCE 2024'!$H:$H,'BALANCE 2024'!$A:$A,A78)/HYPOTHESES!$C$56),0)))))),MAX(0,D78-E78)),0)</f>
        <v>24730400</v>
      </c>
      <c r="I78" s="21" t="n">
        <v>0</v>
      </c>
      <c r="J78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8" s="43" t="n">
        <f aca="false">T_BAL_2025[[#This Row],[Clôture Débit]]-T_BAL_2025[[#This Row],[Clôture Crédit]]</f>
        <v>24730400</v>
      </c>
    </row>
    <row r="79" customFormat="false" ht="15" hidden="false" customHeight="false" outlineLevel="0" collapsed="false">
      <c r="A79" s="42" t="n">
        <v>641100</v>
      </c>
      <c r="B79" s="12" t="s">
        <v>374</v>
      </c>
      <c r="C79" s="13" t="s">
        <v>375</v>
      </c>
      <c r="D79" s="15" t="n">
        <f aca="false">IF(LEFT(A79,1)&gt;="6",0,SUMIFS('BALANCE 2024'!$H:$H,'BALANCE 2024'!$A:$A,A79))</f>
        <v>0</v>
      </c>
      <c r="E79" s="15" t="n">
        <f aca="false">IF(LEFT(A79,1)&gt;="6",0,SUMIFS('BALANCE 2024'!$I:$I,'BALANCE 2024'!$A:$A,A79))</f>
        <v>0</v>
      </c>
      <c r="F79" s="21" t="n">
        <f aca="false">MAX(0,(H79-I79)-(D79-E79))</f>
        <v>384995</v>
      </c>
      <c r="G79" s="21" t="n">
        <f aca="false">MAX(0,(D79-E79)-(H79-I79))</f>
        <v>0</v>
      </c>
      <c r="H79" s="15" t="n">
        <f aca="false">ROUND(IF(LEFT(A79,1)&gt;="6",IF(C79="RE",IF(HYPOTHESES!$C$51=0,0,HYPOTHESES!D$51*SUMIFS('BALANCE 2024'!$H:$H,'BALANCE 2024'!$A:$A,A79)/HYPOTHESES!$C$51),IF(C79="RG",IF(HYPOTHESES!$C$52=0,0,HYPOTHESES!D$52*SUMIFS('BALANCE 2024'!$H:$H,'BALANCE 2024'!$A:$A,A79)/HYPOTHESES!$C$52),IF(C79="RH",IF(HYPOTHESES!$C$53=0,0,HYPOTHESES!D$53*SUMIFS('BALANCE 2024'!$H:$H,'BALANCE 2024'!$A:$A,A79)/HYPOTHESES!$C$53),IF(C79="RI",IF(HYPOTHESES!$C$54=0,0,HYPOTHESES!D$54*SUMIFS('BALANCE 2024'!$H:$H,'BALANCE 2024'!$A:$A,A79)/HYPOTHESES!$C$54),IF(C79="RJ",IF(HYPOTHESES!$C$55=0,0,HYPOTHESES!D$55*SUMIFS('BALANCE 2024'!$H:$H,'BALANCE 2024'!$A:$A,A79)/HYPOTHESES!$C$55),IF(C79="RK",IF(HYPOTHESES!$C$56=0,0,HYPOTHESES!D$56*SUMIFS('BALANCE 2024'!$H:$H,'BALANCE 2024'!$A:$A,A79)/HYPOTHESES!$C$56),0)))))),MAX(0,D79-E79)),0)</f>
        <v>384995</v>
      </c>
      <c r="I79" s="21" t="n">
        <v>0</v>
      </c>
      <c r="J79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9" s="43" t="n">
        <f aca="false">T_BAL_2025[[#This Row],[Clôture Débit]]-T_BAL_2025[[#This Row],[Clôture Crédit]]</f>
        <v>384995</v>
      </c>
    </row>
    <row r="80" customFormat="false" ht="15" hidden="false" customHeight="false" outlineLevel="0" collapsed="false">
      <c r="A80" s="42" t="n">
        <v>641201</v>
      </c>
      <c r="B80" s="12" t="s">
        <v>376</v>
      </c>
      <c r="C80" s="13" t="s">
        <v>375</v>
      </c>
      <c r="D80" s="15" t="n">
        <f aca="false">IF(LEFT(A80,1)&gt;="6",0,SUMIFS('BALANCE 2024'!$H:$H,'BALANCE 2024'!$A:$A,A80))</f>
        <v>0</v>
      </c>
      <c r="E80" s="15" t="n">
        <f aca="false">IF(LEFT(A80,1)&gt;="6",0,SUMIFS('BALANCE 2024'!$I:$I,'BALANCE 2024'!$A:$A,A80))</f>
        <v>0</v>
      </c>
      <c r="F80" s="21" t="n">
        <f aca="false">MAX(0,(H80-I80)-(D80-E80))</f>
        <v>9683843</v>
      </c>
      <c r="G80" s="21" t="n">
        <f aca="false">MAX(0,(D80-E80)-(H80-I80))</f>
        <v>0</v>
      </c>
      <c r="H80" s="15" t="n">
        <f aca="false">ROUND(IF(HYPOTHESES!$C$54=0,0,HYPOTHESES!D$54-SUMPRODUCT((T_BAL_2025[Poste]="RI")*(T_BAL_2025[Compte]&lt;&gt;641201)*ROUND(HYPOTHESES!D$54*SUMIFS('BALANCE 2024'!$H:$H,'BALANCE 2024'!$A:$A,T_BAL_2025[Compte])/HYPOTHESES!$C$54,0))),0)</f>
        <v>9683843</v>
      </c>
      <c r="I80" s="21" t="n">
        <v>0</v>
      </c>
      <c r="J80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0" s="43" t="n">
        <f aca="false">T_BAL_2025[[#This Row],[Clôture Débit]]-T_BAL_2025[[#This Row],[Clôture Crédit]]</f>
        <v>9683843</v>
      </c>
    </row>
    <row r="81" customFormat="false" ht="15" hidden="false" customHeight="false" outlineLevel="0" collapsed="false">
      <c r="A81" s="42" t="n">
        <v>641202</v>
      </c>
      <c r="B81" s="12" t="s">
        <v>377</v>
      </c>
      <c r="C81" s="13" t="s">
        <v>375</v>
      </c>
      <c r="D81" s="15" t="n">
        <f aca="false">IF(LEFT(A81,1)&gt;="6",0,SUMIFS('BALANCE 2024'!$H:$H,'BALANCE 2024'!$A:$A,A81))</f>
        <v>0</v>
      </c>
      <c r="E81" s="15" t="n">
        <f aca="false">IF(LEFT(A81,1)&gt;="6",0,SUMIFS('BALANCE 2024'!$I:$I,'BALANCE 2024'!$A:$A,A81))</f>
        <v>0</v>
      </c>
      <c r="F81" s="21" t="n">
        <f aca="false">MAX(0,(H81-I81)-(D81-E81))</f>
        <v>1656223</v>
      </c>
      <c r="G81" s="21" t="n">
        <f aca="false">MAX(0,(D81-E81)-(H81-I81))</f>
        <v>0</v>
      </c>
      <c r="H81" s="15" t="n">
        <f aca="false">ROUND(IF(LEFT(A81,1)&gt;="6",IF(C81="RE",IF(HYPOTHESES!$C$51=0,0,HYPOTHESES!D$51*SUMIFS('BALANCE 2024'!$H:$H,'BALANCE 2024'!$A:$A,A81)/HYPOTHESES!$C$51),IF(C81="RG",IF(HYPOTHESES!$C$52=0,0,HYPOTHESES!D$52*SUMIFS('BALANCE 2024'!$H:$H,'BALANCE 2024'!$A:$A,A81)/HYPOTHESES!$C$52),IF(C81="RH",IF(HYPOTHESES!$C$53=0,0,HYPOTHESES!D$53*SUMIFS('BALANCE 2024'!$H:$H,'BALANCE 2024'!$A:$A,A81)/HYPOTHESES!$C$53),IF(C81="RI",IF(HYPOTHESES!$C$54=0,0,HYPOTHESES!D$54*SUMIFS('BALANCE 2024'!$H:$H,'BALANCE 2024'!$A:$A,A81)/HYPOTHESES!$C$54),IF(C81="RJ",IF(HYPOTHESES!$C$55=0,0,HYPOTHESES!D$55*SUMIFS('BALANCE 2024'!$H:$H,'BALANCE 2024'!$A:$A,A81)/HYPOTHESES!$C$55),IF(C81="RK",IF(HYPOTHESES!$C$56=0,0,HYPOTHESES!D$56*SUMIFS('BALANCE 2024'!$H:$H,'BALANCE 2024'!$A:$A,A81)/HYPOTHESES!$C$56),0)))))),MAX(0,D81-E81)),0)</f>
        <v>1656223</v>
      </c>
      <c r="I81" s="21" t="n">
        <v>0</v>
      </c>
      <c r="J81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1" s="43" t="n">
        <f aca="false">T_BAL_2025[[#This Row],[Clôture Débit]]-T_BAL_2025[[#This Row],[Clôture Crédit]]</f>
        <v>1656223</v>
      </c>
    </row>
    <row r="82" customFormat="false" ht="15" hidden="false" customHeight="false" outlineLevel="0" collapsed="false">
      <c r="A82" s="42" t="n">
        <v>641300</v>
      </c>
      <c r="B82" s="12" t="s">
        <v>378</v>
      </c>
      <c r="C82" s="13" t="s">
        <v>375</v>
      </c>
      <c r="D82" s="15" t="n">
        <f aca="false">IF(LEFT(A82,1)&gt;="6",0,SUMIFS('BALANCE 2024'!$H:$H,'BALANCE 2024'!$A:$A,A82))</f>
        <v>0</v>
      </c>
      <c r="E82" s="15" t="n">
        <f aca="false">IF(LEFT(A82,1)&gt;="6",0,SUMIFS('BALANCE 2024'!$I:$I,'BALANCE 2024'!$A:$A,A82))</f>
        <v>0</v>
      </c>
      <c r="F82" s="21" t="n">
        <f aca="false">MAX(0,(H82-I82)-(D82-E82))</f>
        <v>883965</v>
      </c>
      <c r="G82" s="21" t="n">
        <f aca="false">MAX(0,(D82-E82)-(H82-I82))</f>
        <v>0</v>
      </c>
      <c r="H82" s="15" t="n">
        <f aca="false">ROUND(IF(LEFT(A82,1)&gt;="6",IF(C82="RE",IF(HYPOTHESES!$C$51=0,0,HYPOTHESES!D$51*SUMIFS('BALANCE 2024'!$H:$H,'BALANCE 2024'!$A:$A,A82)/HYPOTHESES!$C$51),IF(C82="RG",IF(HYPOTHESES!$C$52=0,0,HYPOTHESES!D$52*SUMIFS('BALANCE 2024'!$H:$H,'BALANCE 2024'!$A:$A,A82)/HYPOTHESES!$C$52),IF(C82="RH",IF(HYPOTHESES!$C$53=0,0,HYPOTHESES!D$53*SUMIFS('BALANCE 2024'!$H:$H,'BALANCE 2024'!$A:$A,A82)/HYPOTHESES!$C$53),IF(C82="RI",IF(HYPOTHESES!$C$54=0,0,HYPOTHESES!D$54*SUMIFS('BALANCE 2024'!$H:$H,'BALANCE 2024'!$A:$A,A82)/HYPOTHESES!$C$54),IF(C82="RJ",IF(HYPOTHESES!$C$55=0,0,HYPOTHESES!D$55*SUMIFS('BALANCE 2024'!$H:$H,'BALANCE 2024'!$A:$A,A82)/HYPOTHESES!$C$55),IF(C82="RK",IF(HYPOTHESES!$C$56=0,0,HYPOTHESES!D$56*SUMIFS('BALANCE 2024'!$H:$H,'BALANCE 2024'!$A:$A,A82)/HYPOTHESES!$C$56),0)))))),MAX(0,D82-E82)),0)</f>
        <v>883965</v>
      </c>
      <c r="I82" s="21" t="n">
        <v>0</v>
      </c>
      <c r="J82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2" s="43" t="n">
        <f aca="false">T_BAL_2025[[#This Row],[Clôture Débit]]-T_BAL_2025[[#This Row],[Clôture Crédit]]</f>
        <v>883965</v>
      </c>
    </row>
    <row r="83" customFormat="false" ht="15" hidden="false" customHeight="false" outlineLevel="0" collapsed="false">
      <c r="A83" s="42" t="n">
        <v>641400</v>
      </c>
      <c r="B83" s="12" t="s">
        <v>379</v>
      </c>
      <c r="C83" s="13" t="s">
        <v>375</v>
      </c>
      <c r="D83" s="15" t="n">
        <f aca="false">IF(LEFT(A83,1)&gt;="6",0,SUMIFS('BALANCE 2024'!$H:$H,'BALANCE 2024'!$A:$A,A83))</f>
        <v>0</v>
      </c>
      <c r="E83" s="15" t="n">
        <f aca="false">IF(LEFT(A83,1)&gt;="6",0,SUMIFS('BALANCE 2024'!$I:$I,'BALANCE 2024'!$A:$A,A83))</f>
        <v>0</v>
      </c>
      <c r="F83" s="21" t="n">
        <f aca="false">MAX(0,(H83-I83)-(D83-E83))</f>
        <v>111291</v>
      </c>
      <c r="G83" s="21" t="n">
        <f aca="false">MAX(0,(D83-E83)-(H83-I83))</f>
        <v>0</v>
      </c>
      <c r="H83" s="15" t="n">
        <f aca="false">ROUND(IF(LEFT(A83,1)&gt;="6",IF(C83="RE",IF(HYPOTHESES!$C$51=0,0,HYPOTHESES!D$51*SUMIFS('BALANCE 2024'!$H:$H,'BALANCE 2024'!$A:$A,A83)/HYPOTHESES!$C$51),IF(C83="RG",IF(HYPOTHESES!$C$52=0,0,HYPOTHESES!D$52*SUMIFS('BALANCE 2024'!$H:$H,'BALANCE 2024'!$A:$A,A83)/HYPOTHESES!$C$52),IF(C83="RH",IF(HYPOTHESES!$C$53=0,0,HYPOTHESES!D$53*SUMIFS('BALANCE 2024'!$H:$H,'BALANCE 2024'!$A:$A,A83)/HYPOTHESES!$C$53),IF(C83="RI",IF(HYPOTHESES!$C$54=0,0,HYPOTHESES!D$54*SUMIFS('BALANCE 2024'!$H:$H,'BALANCE 2024'!$A:$A,A83)/HYPOTHESES!$C$54),IF(C83="RJ",IF(HYPOTHESES!$C$55=0,0,HYPOTHESES!D$55*SUMIFS('BALANCE 2024'!$H:$H,'BALANCE 2024'!$A:$A,A83)/HYPOTHESES!$C$55),IF(C83="RK",IF(HYPOTHESES!$C$56=0,0,HYPOTHESES!D$56*SUMIFS('BALANCE 2024'!$H:$H,'BALANCE 2024'!$A:$A,A83)/HYPOTHESES!$C$56),0)))))),MAX(0,D83-E83)),0)</f>
        <v>111291</v>
      </c>
      <c r="I83" s="21" t="n">
        <v>0</v>
      </c>
      <c r="J83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3" s="43" t="n">
        <f aca="false">T_BAL_2025[[#This Row],[Clôture Débit]]-T_BAL_2025[[#This Row],[Clôture Crédit]]</f>
        <v>111291</v>
      </c>
    </row>
    <row r="84" customFormat="false" ht="15" hidden="false" customHeight="false" outlineLevel="0" collapsed="false">
      <c r="A84" s="42" t="n">
        <v>641500</v>
      </c>
      <c r="B84" s="12" t="s">
        <v>380</v>
      </c>
      <c r="C84" s="13" t="s">
        <v>375</v>
      </c>
      <c r="D84" s="15" t="n">
        <f aca="false">IF(LEFT(A84,1)&gt;="6",0,SUMIFS('BALANCE 2024'!$H:$H,'BALANCE 2024'!$A:$A,A84))</f>
        <v>0</v>
      </c>
      <c r="E84" s="15" t="n">
        <f aca="false">IF(LEFT(A84,1)&gt;="6",0,SUMIFS('BALANCE 2024'!$I:$I,'BALANCE 2024'!$A:$A,A84))</f>
        <v>0</v>
      </c>
      <c r="F84" s="21" t="n">
        <f aca="false">MAX(0,(H84-I84)-(D84-E84))</f>
        <v>333888</v>
      </c>
      <c r="G84" s="21" t="n">
        <f aca="false">MAX(0,(D84-E84)-(H84-I84))</f>
        <v>0</v>
      </c>
      <c r="H84" s="15" t="n">
        <f aca="false">ROUND(IF(LEFT(A84,1)&gt;="6",IF(C84="RE",IF(HYPOTHESES!$C$51=0,0,HYPOTHESES!D$51*SUMIFS('BALANCE 2024'!$H:$H,'BALANCE 2024'!$A:$A,A84)/HYPOTHESES!$C$51),IF(C84="RG",IF(HYPOTHESES!$C$52=0,0,HYPOTHESES!D$52*SUMIFS('BALANCE 2024'!$H:$H,'BALANCE 2024'!$A:$A,A84)/HYPOTHESES!$C$52),IF(C84="RH",IF(HYPOTHESES!$C$53=0,0,HYPOTHESES!D$53*SUMIFS('BALANCE 2024'!$H:$H,'BALANCE 2024'!$A:$A,A84)/HYPOTHESES!$C$53),IF(C84="RI",IF(HYPOTHESES!$C$54=0,0,HYPOTHESES!D$54*SUMIFS('BALANCE 2024'!$H:$H,'BALANCE 2024'!$A:$A,A84)/HYPOTHESES!$C$54),IF(C84="RJ",IF(HYPOTHESES!$C$55=0,0,HYPOTHESES!D$55*SUMIFS('BALANCE 2024'!$H:$H,'BALANCE 2024'!$A:$A,A84)/HYPOTHESES!$C$55),IF(C84="RK",IF(HYPOTHESES!$C$56=0,0,HYPOTHESES!D$56*SUMIFS('BALANCE 2024'!$H:$H,'BALANCE 2024'!$A:$A,A84)/HYPOTHESES!$C$56),0)))))),MAX(0,D84-E84)),0)</f>
        <v>333888</v>
      </c>
      <c r="I84" s="21" t="n">
        <v>0</v>
      </c>
      <c r="J84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4" s="43" t="n">
        <f aca="false">T_BAL_2025[[#This Row],[Clôture Débit]]-T_BAL_2025[[#This Row],[Clôture Crédit]]</f>
        <v>333888</v>
      </c>
    </row>
    <row r="85" customFormat="false" ht="15" hidden="false" customHeight="false" outlineLevel="0" collapsed="false">
      <c r="A85" s="42" t="n">
        <v>641830</v>
      </c>
      <c r="B85" s="12" t="s">
        <v>381</v>
      </c>
      <c r="C85" s="13" t="s">
        <v>375</v>
      </c>
      <c r="D85" s="15" t="n">
        <f aca="false">IF(LEFT(A85,1)&gt;="6",0,SUMIFS('BALANCE 2024'!$H:$H,'BALANCE 2024'!$A:$A,A85))</f>
        <v>0</v>
      </c>
      <c r="E85" s="15" t="n">
        <f aca="false">IF(LEFT(A85,1)&gt;="6",0,SUMIFS('BALANCE 2024'!$I:$I,'BALANCE 2024'!$A:$A,A85))</f>
        <v>0</v>
      </c>
      <c r="F85" s="21" t="n">
        <f aca="false">MAX(0,(H85-I85)-(D85-E85))</f>
        <v>226383</v>
      </c>
      <c r="G85" s="21" t="n">
        <f aca="false">MAX(0,(D85-E85)-(H85-I85))</f>
        <v>0</v>
      </c>
      <c r="H85" s="15" t="n">
        <f aca="false">ROUND(IF(LEFT(A85,1)&gt;="6",IF(C85="RE",IF(HYPOTHESES!$C$51=0,0,HYPOTHESES!D$51*SUMIFS('BALANCE 2024'!$H:$H,'BALANCE 2024'!$A:$A,A85)/HYPOTHESES!$C$51),IF(C85="RG",IF(HYPOTHESES!$C$52=0,0,HYPOTHESES!D$52*SUMIFS('BALANCE 2024'!$H:$H,'BALANCE 2024'!$A:$A,A85)/HYPOTHESES!$C$52),IF(C85="RH",IF(HYPOTHESES!$C$53=0,0,HYPOTHESES!D$53*SUMIFS('BALANCE 2024'!$H:$H,'BALANCE 2024'!$A:$A,A85)/HYPOTHESES!$C$53),IF(C85="RI",IF(HYPOTHESES!$C$54=0,0,HYPOTHESES!D$54*SUMIFS('BALANCE 2024'!$H:$H,'BALANCE 2024'!$A:$A,A85)/HYPOTHESES!$C$54),IF(C85="RJ",IF(HYPOTHESES!$C$55=0,0,HYPOTHESES!D$55*SUMIFS('BALANCE 2024'!$H:$H,'BALANCE 2024'!$A:$A,A85)/HYPOTHESES!$C$55),IF(C85="RK",IF(HYPOTHESES!$C$56=0,0,HYPOTHESES!D$56*SUMIFS('BALANCE 2024'!$H:$H,'BALANCE 2024'!$A:$A,A85)/HYPOTHESES!$C$56),0)))))),MAX(0,D85-E85)),0)</f>
        <v>226383</v>
      </c>
      <c r="I85" s="21" t="n">
        <v>0</v>
      </c>
      <c r="J85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5" s="43" t="n">
        <f aca="false">T_BAL_2025[[#This Row],[Clôture Débit]]-T_BAL_2025[[#This Row],[Clôture Crédit]]</f>
        <v>226383</v>
      </c>
    </row>
    <row r="86" customFormat="false" ht="15" hidden="false" customHeight="false" outlineLevel="0" collapsed="false">
      <c r="A86" s="42" t="n">
        <v>646200</v>
      </c>
      <c r="B86" s="12" t="s">
        <v>382</v>
      </c>
      <c r="C86" s="13" t="s">
        <v>375</v>
      </c>
      <c r="D86" s="15" t="n">
        <f aca="false">IF(LEFT(A86,1)&gt;="6",0,SUMIFS('BALANCE 2024'!$H:$H,'BALANCE 2024'!$A:$A,A86))</f>
        <v>0</v>
      </c>
      <c r="E86" s="15" t="n">
        <f aca="false">IF(LEFT(A86,1)&gt;="6",0,SUMIFS('BALANCE 2024'!$I:$I,'BALANCE 2024'!$A:$A,A86))</f>
        <v>0</v>
      </c>
      <c r="F86" s="21" t="n">
        <f aca="false">MAX(0,(H86-I86)-(D86-E86))</f>
        <v>1845461</v>
      </c>
      <c r="G86" s="21" t="n">
        <f aca="false">MAX(0,(D86-E86)-(H86-I86))</f>
        <v>0</v>
      </c>
      <c r="H86" s="15" t="n">
        <f aca="false">ROUND(IF(LEFT(A86,1)&gt;="6",IF(C86="RE",IF(HYPOTHESES!$C$51=0,0,HYPOTHESES!D$51*SUMIFS('BALANCE 2024'!$H:$H,'BALANCE 2024'!$A:$A,A86)/HYPOTHESES!$C$51),IF(C86="RG",IF(HYPOTHESES!$C$52=0,0,HYPOTHESES!D$52*SUMIFS('BALANCE 2024'!$H:$H,'BALANCE 2024'!$A:$A,A86)/HYPOTHESES!$C$52),IF(C86="RH",IF(HYPOTHESES!$C$53=0,0,HYPOTHESES!D$53*SUMIFS('BALANCE 2024'!$H:$H,'BALANCE 2024'!$A:$A,A86)/HYPOTHESES!$C$53),IF(C86="RI",IF(HYPOTHESES!$C$54=0,0,HYPOTHESES!D$54*SUMIFS('BALANCE 2024'!$H:$H,'BALANCE 2024'!$A:$A,A86)/HYPOTHESES!$C$54),IF(C86="RJ",IF(HYPOTHESES!$C$55=0,0,HYPOTHESES!D$55*SUMIFS('BALANCE 2024'!$H:$H,'BALANCE 2024'!$A:$A,A86)/HYPOTHESES!$C$55),IF(C86="RK",IF(HYPOTHESES!$C$56=0,0,HYPOTHESES!D$56*SUMIFS('BALANCE 2024'!$H:$H,'BALANCE 2024'!$A:$A,A86)/HYPOTHESES!$C$56),0)))))),MAX(0,D86-E86)),0)</f>
        <v>1845461</v>
      </c>
      <c r="I86" s="21" t="n">
        <v>0</v>
      </c>
      <c r="J86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6" s="43" t="n">
        <f aca="false">T_BAL_2025[[#This Row],[Clôture Débit]]-T_BAL_2025[[#This Row],[Clôture Crédit]]</f>
        <v>1845461</v>
      </c>
    </row>
    <row r="87" customFormat="false" ht="15" hidden="false" customHeight="false" outlineLevel="0" collapsed="false">
      <c r="A87" s="42" t="n">
        <v>648000</v>
      </c>
      <c r="B87" s="12" t="s">
        <v>383</v>
      </c>
      <c r="C87" s="13" t="s">
        <v>375</v>
      </c>
      <c r="D87" s="15" t="n">
        <f aca="false">IF(LEFT(A87,1)&gt;="6",0,SUMIFS('BALANCE 2024'!$H:$H,'BALANCE 2024'!$A:$A,A87))</f>
        <v>0</v>
      </c>
      <c r="E87" s="15" t="n">
        <f aca="false">IF(LEFT(A87,1)&gt;="6",0,SUMIFS('BALANCE 2024'!$I:$I,'BALANCE 2024'!$A:$A,A87))</f>
        <v>0</v>
      </c>
      <c r="F87" s="21" t="n">
        <f aca="false">MAX(0,(H87-I87)-(D87-E87))</f>
        <v>776041</v>
      </c>
      <c r="G87" s="21" t="n">
        <f aca="false">MAX(0,(D87-E87)-(H87-I87))</f>
        <v>0</v>
      </c>
      <c r="H87" s="15" t="n">
        <f aca="false">ROUND(IF(LEFT(A87,1)&gt;="6",IF(C87="RE",IF(HYPOTHESES!$C$51=0,0,HYPOTHESES!D$51*SUMIFS('BALANCE 2024'!$H:$H,'BALANCE 2024'!$A:$A,A87)/HYPOTHESES!$C$51),IF(C87="RG",IF(HYPOTHESES!$C$52=0,0,HYPOTHESES!D$52*SUMIFS('BALANCE 2024'!$H:$H,'BALANCE 2024'!$A:$A,A87)/HYPOTHESES!$C$52),IF(C87="RH",IF(HYPOTHESES!$C$53=0,0,HYPOTHESES!D$53*SUMIFS('BALANCE 2024'!$H:$H,'BALANCE 2024'!$A:$A,A87)/HYPOTHESES!$C$53),IF(C87="RI",IF(HYPOTHESES!$C$54=0,0,HYPOTHESES!D$54*SUMIFS('BALANCE 2024'!$H:$H,'BALANCE 2024'!$A:$A,A87)/HYPOTHESES!$C$54),IF(C87="RJ",IF(HYPOTHESES!$C$55=0,0,HYPOTHESES!D$55*SUMIFS('BALANCE 2024'!$H:$H,'BALANCE 2024'!$A:$A,A87)/HYPOTHESES!$C$55),IF(C87="RK",IF(HYPOTHESES!$C$56=0,0,HYPOTHESES!D$56*SUMIFS('BALANCE 2024'!$H:$H,'BALANCE 2024'!$A:$A,A87)/HYPOTHESES!$C$56),0)))))),MAX(0,D87-E87)),0)</f>
        <v>776041</v>
      </c>
      <c r="I87" s="21" t="n">
        <v>0</v>
      </c>
      <c r="J87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7" s="43" t="n">
        <f aca="false">T_BAL_2025[[#This Row],[Clôture Débit]]-T_BAL_2025[[#This Row],[Clôture Crédit]]</f>
        <v>776041</v>
      </c>
    </row>
    <row r="88" customFormat="false" ht="15" hidden="false" customHeight="false" outlineLevel="0" collapsed="false">
      <c r="A88" s="42" t="n">
        <v>658800</v>
      </c>
      <c r="B88" s="12" t="s">
        <v>384</v>
      </c>
      <c r="C88" s="13" t="s">
        <v>385</v>
      </c>
      <c r="D88" s="15" t="n">
        <f aca="false">IF(LEFT(A88,1)&gt;="6",0,SUMIFS('BALANCE 2024'!$H:$H,'BALANCE 2024'!$A:$A,A88))</f>
        <v>0</v>
      </c>
      <c r="E88" s="15" t="n">
        <f aca="false">IF(LEFT(A88,1)&gt;="6",0,SUMIFS('BALANCE 2024'!$I:$I,'BALANCE 2024'!$A:$A,A88))</f>
        <v>0</v>
      </c>
      <c r="F88" s="21" t="n">
        <f aca="false">MAX(0,(H88-I88)-(D88-E88))</f>
        <v>1425187</v>
      </c>
      <c r="G88" s="21" t="n">
        <f aca="false">MAX(0,(D88-E88)-(H88-I88))</f>
        <v>0</v>
      </c>
      <c r="H88" s="15" t="n">
        <f aca="false">ROUND(IF(HYPOTHESES!$C$55=0,0,HYPOTHESES!D$55-SUMPRODUCT((T_BAL_2025[Poste]="RJ")*(T_BAL_2025[Compte]&lt;&gt;658800)*ROUND(HYPOTHESES!D$55*SUMIFS('BALANCE 2024'!$H:$H,'BALANCE 2024'!$A:$A,T_BAL_2025[Compte])/HYPOTHESES!$C$55,0))),0)</f>
        <v>1425187</v>
      </c>
      <c r="I88" s="21" t="n">
        <v>0</v>
      </c>
      <c r="J88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8" s="43" t="n">
        <f aca="false">T_BAL_2025[[#This Row],[Clôture Débit]]-T_BAL_2025[[#This Row],[Clôture Crédit]]</f>
        <v>1425187</v>
      </c>
    </row>
    <row r="89" customFormat="false" ht="15" hidden="false" customHeight="false" outlineLevel="0" collapsed="false">
      <c r="A89" s="42" t="n">
        <v>661100</v>
      </c>
      <c r="B89" s="12" t="s">
        <v>386</v>
      </c>
      <c r="C89" s="13" t="s">
        <v>387</v>
      </c>
      <c r="D89" s="15" t="n">
        <f aca="false">IF(LEFT(A89,1)&gt;="6",0,SUMIFS('BALANCE 2024'!$H:$H,'BALANCE 2024'!$A:$A,A89))</f>
        <v>0</v>
      </c>
      <c r="E89" s="15" t="n">
        <f aca="false">IF(LEFT(A89,1)&gt;="6",0,SUMIFS('BALANCE 2024'!$I:$I,'BALANCE 2024'!$A:$A,A89))</f>
        <v>0</v>
      </c>
      <c r="F89" s="21" t="n">
        <f aca="false">MAX(0,(H89-I89)-(D89-E89))</f>
        <v>67597914</v>
      </c>
      <c r="G89" s="21" t="n">
        <f aca="false">MAX(0,(D89-E89)-(H89-I89))</f>
        <v>0</v>
      </c>
      <c r="H89" s="15" t="n">
        <f aca="false">ROUND(IF(HYPOTHESES!$C$56=0,0,HYPOTHESES!D$56-SUMPRODUCT((T_BAL_2025[Poste]="RK")*(T_BAL_2025[Compte]&lt;&gt;661100)*(LEFT(T_BAL_2025[Compte],3)&lt;&gt;"664")*ROUND(HYPOTHESES!D$56*SUMIFS('BALANCE 2024'!$H:$H,'BALANCE 2024'!$A:$A,T_BAL_2025[Compte])/HYPOTHESES!$C$56,0))),0)</f>
        <v>67597914</v>
      </c>
      <c r="I89" s="21" t="n">
        <v>0</v>
      </c>
      <c r="J89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9" s="43" t="n">
        <f aca="false">T_BAL_2025[[#This Row],[Clôture Débit]]-T_BAL_2025[[#This Row],[Clôture Crédit]]</f>
        <v>67597914</v>
      </c>
    </row>
    <row r="90" customFormat="false" ht="15" hidden="false" customHeight="false" outlineLevel="0" collapsed="false">
      <c r="A90" s="42" t="n">
        <v>661200</v>
      </c>
      <c r="B90" s="12" t="s">
        <v>388</v>
      </c>
      <c r="C90" s="13" t="s">
        <v>387</v>
      </c>
      <c r="D90" s="15" t="n">
        <f aca="false">IF(LEFT(A90,1)&gt;="6",0,SUMIFS('BALANCE 2024'!$H:$H,'BALANCE 2024'!$A:$A,A90))</f>
        <v>0</v>
      </c>
      <c r="E90" s="15" t="n">
        <f aca="false">IF(LEFT(A90,1)&gt;="6",0,SUMIFS('BALANCE 2024'!$I:$I,'BALANCE 2024'!$A:$A,A90))</f>
        <v>0</v>
      </c>
      <c r="F90" s="21" t="n">
        <f aca="false">MAX(0,(H90-I90)-(D90-E90))</f>
        <v>22851507</v>
      </c>
      <c r="G90" s="21" t="n">
        <f aca="false">MAX(0,(D90-E90)-(H90-I90))</f>
        <v>0</v>
      </c>
      <c r="H90" s="15" t="n">
        <f aca="false">ROUND(IF(LEFT(A90,1)&gt;="6",IF(C90="RE",IF(HYPOTHESES!$C$51=0,0,HYPOTHESES!D$51*SUMIFS('BALANCE 2024'!$H:$H,'BALANCE 2024'!$A:$A,A90)/HYPOTHESES!$C$51),IF(C90="RG",IF(HYPOTHESES!$C$52=0,0,HYPOTHESES!D$52*SUMIFS('BALANCE 2024'!$H:$H,'BALANCE 2024'!$A:$A,A90)/HYPOTHESES!$C$52),IF(C90="RH",IF(HYPOTHESES!$C$53=0,0,HYPOTHESES!D$53*SUMIFS('BALANCE 2024'!$H:$H,'BALANCE 2024'!$A:$A,A90)/HYPOTHESES!$C$53),IF(C90="RI",IF(HYPOTHESES!$C$54=0,0,HYPOTHESES!D$54*SUMIFS('BALANCE 2024'!$H:$H,'BALANCE 2024'!$A:$A,A90)/HYPOTHESES!$C$54),IF(C90="RJ",IF(HYPOTHESES!$C$55=0,0,HYPOTHESES!D$55*SUMIFS('BALANCE 2024'!$H:$H,'BALANCE 2024'!$A:$A,A90)/HYPOTHESES!$C$55),IF(C90="RK",IF(HYPOTHESES!$C$56=0,0,HYPOTHESES!D$56*SUMIFS('BALANCE 2024'!$H:$H,'BALANCE 2024'!$A:$A,A90)/HYPOTHESES!$C$56),0)))))),MAX(0,D90-E90)),0)</f>
        <v>22851507</v>
      </c>
      <c r="I90" s="21" t="n">
        <v>0</v>
      </c>
      <c r="J90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0" s="43" t="n">
        <f aca="false">T_BAL_2025[[#This Row],[Clôture Débit]]-T_BAL_2025[[#This Row],[Clôture Crédit]]</f>
        <v>22851507</v>
      </c>
    </row>
    <row r="91" customFormat="false" ht="15" hidden="false" customHeight="false" outlineLevel="0" collapsed="false">
      <c r="A91" s="42" t="n">
        <v>661300</v>
      </c>
      <c r="B91" s="12" t="s">
        <v>389</v>
      </c>
      <c r="C91" s="13" t="s">
        <v>387</v>
      </c>
      <c r="D91" s="15" t="n">
        <f aca="false">IF(LEFT(A91,1)&gt;="6",0,SUMIFS('BALANCE 2024'!$H:$H,'BALANCE 2024'!$A:$A,A91))</f>
        <v>0</v>
      </c>
      <c r="E91" s="15" t="n">
        <f aca="false">IF(LEFT(A91,1)&gt;="6",0,SUMIFS('BALANCE 2024'!$I:$I,'BALANCE 2024'!$A:$A,A91))</f>
        <v>0</v>
      </c>
      <c r="F91" s="21" t="n">
        <f aca="false">MAX(0,(H91-I91)-(D91-E91))</f>
        <v>7539895</v>
      </c>
      <c r="G91" s="21" t="n">
        <f aca="false">MAX(0,(D91-E91)-(H91-I91))</f>
        <v>0</v>
      </c>
      <c r="H91" s="15" t="n">
        <f aca="false">ROUND(IF(LEFT(A91,1)&gt;="6",IF(C91="RE",IF(HYPOTHESES!$C$51=0,0,HYPOTHESES!D$51*SUMIFS('BALANCE 2024'!$H:$H,'BALANCE 2024'!$A:$A,A91)/HYPOTHESES!$C$51),IF(C91="RG",IF(HYPOTHESES!$C$52=0,0,HYPOTHESES!D$52*SUMIFS('BALANCE 2024'!$H:$H,'BALANCE 2024'!$A:$A,A91)/HYPOTHESES!$C$52),IF(C91="RH",IF(HYPOTHESES!$C$53=0,0,HYPOTHESES!D$53*SUMIFS('BALANCE 2024'!$H:$H,'BALANCE 2024'!$A:$A,A91)/HYPOTHESES!$C$53),IF(C91="RI",IF(HYPOTHESES!$C$54=0,0,HYPOTHESES!D$54*SUMIFS('BALANCE 2024'!$H:$H,'BALANCE 2024'!$A:$A,A91)/HYPOTHESES!$C$54),IF(C91="RJ",IF(HYPOTHESES!$C$55=0,0,HYPOTHESES!D$55*SUMIFS('BALANCE 2024'!$H:$H,'BALANCE 2024'!$A:$A,A91)/HYPOTHESES!$C$55),IF(C91="RK",IF(HYPOTHESES!$C$56=0,0,HYPOTHESES!D$56*SUMIFS('BALANCE 2024'!$H:$H,'BALANCE 2024'!$A:$A,A91)/HYPOTHESES!$C$56),0)))))),MAX(0,D91-E91)),0)</f>
        <v>7539895</v>
      </c>
      <c r="I91" s="21" t="n">
        <v>0</v>
      </c>
      <c r="J91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1" s="43" t="n">
        <f aca="false">T_BAL_2025[[#This Row],[Clôture Débit]]-T_BAL_2025[[#This Row],[Clôture Crédit]]</f>
        <v>7539895</v>
      </c>
    </row>
    <row r="92" customFormat="false" ht="15" hidden="false" customHeight="false" outlineLevel="0" collapsed="false">
      <c r="A92" s="42" t="n">
        <v>661400</v>
      </c>
      <c r="B92" s="12" t="s">
        <v>390</v>
      </c>
      <c r="C92" s="13" t="s">
        <v>387</v>
      </c>
      <c r="D92" s="15" t="n">
        <f aca="false">IF(LEFT(A92,1)&gt;="6",0,SUMIFS('BALANCE 2024'!$H:$H,'BALANCE 2024'!$A:$A,A92))</f>
        <v>0</v>
      </c>
      <c r="E92" s="15" t="n">
        <f aca="false">IF(LEFT(A92,1)&gt;="6",0,SUMIFS('BALANCE 2024'!$I:$I,'BALANCE 2024'!$A:$A,A92))</f>
        <v>0</v>
      </c>
      <c r="F92" s="21" t="n">
        <f aca="false">MAX(0,(H92-I92)-(D92-E92))</f>
        <v>7614320</v>
      </c>
      <c r="G92" s="21" t="n">
        <f aca="false">MAX(0,(D92-E92)-(H92-I92))</f>
        <v>0</v>
      </c>
      <c r="H92" s="15" t="n">
        <f aca="false">ROUND(IF(LEFT(A92,1)&gt;="6",IF(C92="RE",IF(HYPOTHESES!$C$51=0,0,HYPOTHESES!D$51*SUMIFS('BALANCE 2024'!$H:$H,'BALANCE 2024'!$A:$A,A92)/HYPOTHESES!$C$51),IF(C92="RG",IF(HYPOTHESES!$C$52=0,0,HYPOTHESES!D$52*SUMIFS('BALANCE 2024'!$H:$H,'BALANCE 2024'!$A:$A,A92)/HYPOTHESES!$C$52),IF(C92="RH",IF(HYPOTHESES!$C$53=0,0,HYPOTHESES!D$53*SUMIFS('BALANCE 2024'!$H:$H,'BALANCE 2024'!$A:$A,A92)/HYPOTHESES!$C$53),IF(C92="RI",IF(HYPOTHESES!$C$54=0,0,HYPOTHESES!D$54*SUMIFS('BALANCE 2024'!$H:$H,'BALANCE 2024'!$A:$A,A92)/HYPOTHESES!$C$54),IF(C92="RJ",IF(HYPOTHESES!$C$55=0,0,HYPOTHESES!D$55*SUMIFS('BALANCE 2024'!$H:$H,'BALANCE 2024'!$A:$A,A92)/HYPOTHESES!$C$55),IF(C92="RK",IF(HYPOTHESES!$C$56=0,0,HYPOTHESES!D$56*SUMIFS('BALANCE 2024'!$H:$H,'BALANCE 2024'!$A:$A,A92)/HYPOTHESES!$C$56),0)))))),MAX(0,D92-E92)),0)</f>
        <v>7614320</v>
      </c>
      <c r="I92" s="21" t="n">
        <v>0</v>
      </c>
      <c r="J92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2" s="43" t="n">
        <f aca="false">T_BAL_2025[[#This Row],[Clôture Débit]]-T_BAL_2025[[#This Row],[Clôture Crédit]]</f>
        <v>7614320</v>
      </c>
    </row>
    <row r="93" customFormat="false" ht="15" hidden="false" customHeight="false" outlineLevel="0" collapsed="false">
      <c r="A93" s="42" t="n">
        <v>663400</v>
      </c>
      <c r="B93" s="12" t="s">
        <v>391</v>
      </c>
      <c r="C93" s="13" t="s">
        <v>387</v>
      </c>
      <c r="D93" s="15" t="n">
        <f aca="false">IF(LEFT(A93,1)&gt;="6",0,SUMIFS('BALANCE 2024'!$H:$H,'BALANCE 2024'!$A:$A,A93))</f>
        <v>0</v>
      </c>
      <c r="E93" s="15" t="n">
        <f aca="false">IF(LEFT(A93,1)&gt;="6",0,SUMIFS('BALANCE 2024'!$I:$I,'BALANCE 2024'!$A:$A,A93))</f>
        <v>0</v>
      </c>
      <c r="F93" s="21" t="n">
        <f aca="false">MAX(0,(H93-I93)-(D93-E93))</f>
        <v>7886277</v>
      </c>
      <c r="G93" s="21" t="n">
        <f aca="false">MAX(0,(D93-E93)-(H93-I93))</f>
        <v>0</v>
      </c>
      <c r="H93" s="15" t="n">
        <f aca="false">ROUND(IF(LEFT(A93,1)&gt;="6",IF(C93="RE",IF(HYPOTHESES!$C$51=0,0,HYPOTHESES!D$51*SUMIFS('BALANCE 2024'!$H:$H,'BALANCE 2024'!$A:$A,A93)/HYPOTHESES!$C$51),IF(C93="RG",IF(HYPOTHESES!$C$52=0,0,HYPOTHESES!D$52*SUMIFS('BALANCE 2024'!$H:$H,'BALANCE 2024'!$A:$A,A93)/HYPOTHESES!$C$52),IF(C93="RH",IF(HYPOTHESES!$C$53=0,0,HYPOTHESES!D$53*SUMIFS('BALANCE 2024'!$H:$H,'BALANCE 2024'!$A:$A,A93)/HYPOTHESES!$C$53),IF(C93="RI",IF(HYPOTHESES!$C$54=0,0,HYPOTHESES!D$54*SUMIFS('BALANCE 2024'!$H:$H,'BALANCE 2024'!$A:$A,A93)/HYPOTHESES!$C$54),IF(C93="RJ",IF(HYPOTHESES!$C$55=0,0,HYPOTHESES!D$55*SUMIFS('BALANCE 2024'!$H:$H,'BALANCE 2024'!$A:$A,A93)/HYPOTHESES!$C$55),IF(C93="RK",IF(HYPOTHESES!$C$56=0,0,HYPOTHESES!D$56*SUMIFS('BALANCE 2024'!$H:$H,'BALANCE 2024'!$A:$A,A93)/HYPOTHESES!$C$56),0)))))),MAX(0,D93-E93)),0)</f>
        <v>7886277</v>
      </c>
      <c r="I93" s="21" t="n">
        <v>0</v>
      </c>
      <c r="J93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3" s="43" t="n">
        <f aca="false">T_BAL_2025[[#This Row],[Clôture Débit]]-T_BAL_2025[[#This Row],[Clôture Crédit]]</f>
        <v>7886277</v>
      </c>
    </row>
    <row r="94" customFormat="false" ht="15" hidden="false" customHeight="false" outlineLevel="0" collapsed="false">
      <c r="A94" s="42" t="n">
        <v>664101</v>
      </c>
      <c r="B94" s="12" t="s">
        <v>392</v>
      </c>
      <c r="C94" s="13" t="s">
        <v>387</v>
      </c>
      <c r="D94" s="15" t="n">
        <f aca="false">IF(LEFT(A94,1)&gt;="6",0,SUMIFS('BALANCE 2024'!$H:$H,'BALANCE 2024'!$A:$A,A94))</f>
        <v>0</v>
      </c>
      <c r="E94" s="15" t="n">
        <f aca="false">IF(LEFT(A94,1)&gt;="6",0,SUMIFS('BALANCE 2024'!$I:$I,'BALANCE 2024'!$A:$A,A94))</f>
        <v>0</v>
      </c>
      <c r="F94" s="21" t="n">
        <f aca="false">MAX(0,(H94-I94)-(D94-E94))</f>
        <v>390000</v>
      </c>
      <c r="G94" s="21" t="n">
        <f aca="false">MAX(0,(D94-E94)-(H94-I94))</f>
        <v>0</v>
      </c>
      <c r="H94" s="15" t="n">
        <f aca="false">ROUND(HYPOTHESES!D$62,0)</f>
        <v>390000</v>
      </c>
      <c r="I94" s="21" t="n">
        <v>0</v>
      </c>
      <c r="J94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4" s="43" t="n">
        <f aca="false">T_BAL_2025[[#This Row],[Clôture Débit]]-T_BAL_2025[[#This Row],[Clôture Crédit]]</f>
        <v>390000</v>
      </c>
    </row>
    <row r="95" customFormat="false" ht="15" hidden="false" customHeight="false" outlineLevel="0" collapsed="false">
      <c r="A95" s="42" t="n">
        <v>664102</v>
      </c>
      <c r="B95" s="12" t="s">
        <v>393</v>
      </c>
      <c r="C95" s="13" t="s">
        <v>387</v>
      </c>
      <c r="D95" s="15" t="n">
        <f aca="false">IF(LEFT(A95,1)&gt;="6",0,SUMIFS('BALANCE 2024'!$H:$H,'BALANCE 2024'!$A:$A,A95))</f>
        <v>0</v>
      </c>
      <c r="E95" s="15" t="n">
        <f aca="false">IF(LEFT(A95,1)&gt;="6",0,SUMIFS('BALANCE 2024'!$I:$I,'BALANCE 2024'!$A:$A,A95))</f>
        <v>0</v>
      </c>
      <c r="F95" s="21" t="n">
        <f aca="false">MAX(0,(H95-I95)-(D95-E95))</f>
        <v>3363750</v>
      </c>
      <c r="G95" s="21" t="n">
        <f aca="false">MAX(0,(D95-E95)-(H95-I95))</f>
        <v>0</v>
      </c>
      <c r="H95" s="15" t="n">
        <f aca="false">ROUND(HYPOTHESES!D$60,0)</f>
        <v>3363750</v>
      </c>
      <c r="I95" s="21" t="n">
        <v>0</v>
      </c>
      <c r="J95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5" s="43" t="n">
        <f aca="false">T_BAL_2025[[#This Row],[Clôture Débit]]-T_BAL_2025[[#This Row],[Clôture Crédit]]</f>
        <v>3363750</v>
      </c>
    </row>
    <row r="96" customFormat="false" ht="15" hidden="false" customHeight="false" outlineLevel="0" collapsed="false">
      <c r="A96" s="42" t="n">
        <v>664103</v>
      </c>
      <c r="B96" s="12" t="s">
        <v>394</v>
      </c>
      <c r="C96" s="13" t="s">
        <v>387</v>
      </c>
      <c r="D96" s="15" t="n">
        <f aca="false">IF(LEFT(A96,1)&gt;="6",0,SUMIFS('BALANCE 2024'!$H:$H,'BALANCE 2024'!$A:$A,A96))</f>
        <v>0</v>
      </c>
      <c r="E96" s="15" t="n">
        <f aca="false">IF(LEFT(A96,1)&gt;="6",0,SUMIFS('BALANCE 2024'!$I:$I,'BALANCE 2024'!$A:$A,A96))</f>
        <v>0</v>
      </c>
      <c r="F96" s="21" t="n">
        <f aca="false">MAX(0,(H96-I96)-(D96-E96))</f>
        <v>2925000</v>
      </c>
      <c r="G96" s="21" t="n">
        <f aca="false">MAX(0,(D96-E96)-(H96-I96))</f>
        <v>0</v>
      </c>
      <c r="H96" s="15" t="n">
        <f aca="false">ROUND(HYPOTHESES!D$61,0)</f>
        <v>2925000</v>
      </c>
      <c r="I96" s="21" t="n">
        <v>0</v>
      </c>
      <c r="J96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6" s="43" t="n">
        <f aca="false">T_BAL_2025[[#This Row],[Clôture Débit]]-T_BAL_2025[[#This Row],[Clôture Crédit]]</f>
        <v>2925000</v>
      </c>
    </row>
    <row r="97" customFormat="false" ht="15" hidden="false" customHeight="false" outlineLevel="0" collapsed="false">
      <c r="A97" s="42" t="n">
        <v>664104</v>
      </c>
      <c r="B97" s="12" t="s">
        <v>395</v>
      </c>
      <c r="C97" s="13" t="s">
        <v>387</v>
      </c>
      <c r="D97" s="15" t="n">
        <f aca="false">IF(LEFT(A97,1)&gt;="6",0,SUMIFS('BALANCE 2024'!$H:$H,'BALANCE 2024'!$A:$A,A97))</f>
        <v>0</v>
      </c>
      <c r="E97" s="15" t="n">
        <f aca="false">IF(LEFT(A97,1)&gt;="6",0,SUMIFS('BALANCE 2024'!$I:$I,'BALANCE 2024'!$A:$A,A97))</f>
        <v>0</v>
      </c>
      <c r="F97" s="21" t="n">
        <f aca="false">MAX(0,(H97-I97)-(D97-E97))</f>
        <v>8131480</v>
      </c>
      <c r="G97" s="21" t="n">
        <f aca="false">MAX(0,(D97-E97)-(H97-I97))</f>
        <v>0</v>
      </c>
      <c r="H97" s="15" t="n">
        <f aca="false">ROUND(HYPOTHESES!D$59,0)</f>
        <v>8131480</v>
      </c>
      <c r="I97" s="21" t="n">
        <v>0</v>
      </c>
      <c r="J97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7" s="43" t="n">
        <f aca="false">T_BAL_2025[[#This Row],[Clôture Débit]]-T_BAL_2025[[#This Row],[Clôture Crédit]]</f>
        <v>8131480</v>
      </c>
    </row>
    <row r="98" customFormat="false" ht="15" hidden="false" customHeight="false" outlineLevel="0" collapsed="false">
      <c r="A98" s="42" t="n">
        <v>671201</v>
      </c>
      <c r="B98" s="12" t="s">
        <v>396</v>
      </c>
      <c r="C98" s="13" t="s">
        <v>397</v>
      </c>
      <c r="D98" s="15" t="n">
        <f aca="false">IF(LEFT(A98,1)&gt;="6",0,SUMIFS('BALANCE 2024'!$H:$H,'BALANCE 2024'!$A:$A,A98))</f>
        <v>0</v>
      </c>
      <c r="E98" s="15" t="n">
        <f aca="false">IF(LEFT(A98,1)&gt;="6",0,SUMIFS('BALANCE 2024'!$I:$I,'BALANCE 2024'!$A:$A,A98))</f>
        <v>0</v>
      </c>
      <c r="F98" s="21" t="n">
        <f aca="false">MAX(0,(H98-I98)-(D98-E98))</f>
        <v>2379530</v>
      </c>
      <c r="G98" s="21" t="n">
        <f aca="false">MAX(0,(D98-E98)-(H98-I98))</f>
        <v>0</v>
      </c>
      <c r="H98" s="15" t="n">
        <f aca="false">ROUND('INVEST ET FINANCEMENT'!D$65,0)</f>
        <v>2379530</v>
      </c>
      <c r="I98" s="21" t="n">
        <v>0</v>
      </c>
      <c r="J98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8" s="43" t="n">
        <f aca="false">T_BAL_2025[[#This Row],[Clôture Débit]]-T_BAL_2025[[#This Row],[Clôture Crédit]]</f>
        <v>2379530</v>
      </c>
    </row>
    <row r="99" customFormat="false" ht="15" hidden="false" customHeight="false" outlineLevel="0" collapsed="false">
      <c r="A99" s="42" t="n">
        <v>672301</v>
      </c>
      <c r="B99" s="12" t="s">
        <v>398</v>
      </c>
      <c r="C99" s="13" t="s">
        <v>397</v>
      </c>
      <c r="D99" s="15" t="n">
        <f aca="false">IF(LEFT(A99,1)&gt;="6",0,SUMIFS('BALANCE 2024'!$H:$H,'BALANCE 2024'!$A:$A,A99))</f>
        <v>0</v>
      </c>
      <c r="E99" s="15" t="n">
        <f aca="false">IF(LEFT(A99,1)&gt;="6",0,SUMIFS('BALANCE 2024'!$I:$I,'BALANCE 2024'!$A:$A,A99))</f>
        <v>0</v>
      </c>
      <c r="F99" s="21" t="n">
        <f aca="false">MAX(0,(H99-I99)-(D99-E99))</f>
        <v>637182</v>
      </c>
      <c r="G99" s="21" t="n">
        <f aca="false">MAX(0,(D99-E99)-(H99-I99))</f>
        <v>0</v>
      </c>
      <c r="H99" s="15" t="n">
        <f aca="false">ROUND('INVEST ET FINANCEMENT'!D$66,0)</f>
        <v>637182</v>
      </c>
      <c r="I99" s="21" t="n">
        <v>0</v>
      </c>
      <c r="J99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9" s="43" t="n">
        <f aca="false">T_BAL_2025[[#This Row],[Clôture Débit]]-T_BAL_2025[[#This Row],[Clôture Crédit]]</f>
        <v>637182</v>
      </c>
    </row>
    <row r="100" customFormat="false" ht="15" hidden="false" customHeight="false" outlineLevel="0" collapsed="false">
      <c r="A100" s="42" t="n">
        <v>681301</v>
      </c>
      <c r="B100" s="12" t="s">
        <v>399</v>
      </c>
      <c r="C100" s="13" t="s">
        <v>400</v>
      </c>
      <c r="D100" s="15" t="n">
        <f aca="false">IF(LEFT(A100,1)&gt;="6",0,SUMIFS('BALANCE 2024'!$H:$H,'BALANCE 2024'!$A:$A,A100))</f>
        <v>0</v>
      </c>
      <c r="E100" s="15" t="n">
        <f aca="false">IF(LEFT(A100,1)&gt;="6",0,SUMIFS('BALANCE 2024'!$I:$I,'BALANCE 2024'!$A:$A,A100))</f>
        <v>0</v>
      </c>
      <c r="F100" s="21" t="n">
        <f aca="false">MAX(0,(H100-I100)-(D100-E100))</f>
        <v>19182845</v>
      </c>
      <c r="G100" s="21" t="n">
        <f aca="false">MAX(0,(D100-E100)-(H100-I100))</f>
        <v>0</v>
      </c>
      <c r="H100" s="15" t="n">
        <f aca="false">ROUND('INVEST ET FINANCEMENT'!D$32,0)</f>
        <v>19182845</v>
      </c>
      <c r="I100" s="21" t="n">
        <v>0</v>
      </c>
      <c r="J100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0" s="43" t="n">
        <f aca="false">T_BAL_2025[[#This Row],[Clôture Débit]]-T_BAL_2025[[#This Row],[Clôture Crédit]]</f>
        <v>19182845</v>
      </c>
    </row>
    <row r="101" customFormat="false" ht="15" hidden="false" customHeight="false" outlineLevel="0" collapsed="false">
      <c r="A101" s="42" t="n">
        <v>681302</v>
      </c>
      <c r="B101" s="12" t="s">
        <v>401</v>
      </c>
      <c r="C101" s="13" t="s">
        <v>400</v>
      </c>
      <c r="D101" s="15" t="n">
        <f aca="false">IF(LEFT(A101,1)&gt;="6",0,SUMIFS('BALANCE 2024'!$H:$H,'BALANCE 2024'!$A:$A,A101))</f>
        <v>0</v>
      </c>
      <c r="E101" s="15" t="n">
        <f aca="false">IF(LEFT(A101,1)&gt;="6",0,SUMIFS('BALANCE 2024'!$I:$I,'BALANCE 2024'!$A:$A,A101))</f>
        <v>0</v>
      </c>
      <c r="F101" s="21" t="n">
        <f aca="false">MAX(0,(H101-I101)-(D101-E101))</f>
        <v>45537467</v>
      </c>
      <c r="G101" s="21" t="n">
        <f aca="false">MAX(0,(D101-E101)-(H101-I101))</f>
        <v>0</v>
      </c>
      <c r="H101" s="15" t="n">
        <f aca="false">ROUND('INVEST ET FINANCEMENT'!D$35,0)</f>
        <v>45537467</v>
      </c>
      <c r="I101" s="21" t="n">
        <v>0</v>
      </c>
      <c r="J101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1" s="43" t="n">
        <f aca="false">T_BAL_2025[[#This Row],[Clôture Débit]]-T_BAL_2025[[#This Row],[Clôture Crédit]]</f>
        <v>45537467</v>
      </c>
    </row>
    <row r="102" customFormat="false" ht="15" hidden="false" customHeight="false" outlineLevel="0" collapsed="false">
      <c r="A102" s="42" t="n">
        <v>681303</v>
      </c>
      <c r="B102" s="12" t="s">
        <v>402</v>
      </c>
      <c r="C102" s="13" t="s">
        <v>400</v>
      </c>
      <c r="D102" s="15" t="n">
        <f aca="false">IF(LEFT(A102,1)&gt;="6",0,SUMIFS('BALANCE 2024'!$H:$H,'BALANCE 2024'!$A:$A,A102))</f>
        <v>0</v>
      </c>
      <c r="E102" s="15" t="n">
        <f aca="false">IF(LEFT(A102,1)&gt;="6",0,SUMIFS('BALANCE 2024'!$I:$I,'BALANCE 2024'!$A:$A,A102))</f>
        <v>0</v>
      </c>
      <c r="F102" s="21" t="n">
        <f aca="false">MAX(0,(H102-I102)-(D102-E102))</f>
        <v>5399884</v>
      </c>
      <c r="G102" s="21" t="n">
        <f aca="false">MAX(0,(D102-E102)-(H102-I102))</f>
        <v>0</v>
      </c>
      <c r="H102" s="15" t="n">
        <f aca="false">ROUND('INVEST ET FINANCEMENT'!D$38,0)</f>
        <v>5399884</v>
      </c>
      <c r="I102" s="21" t="n">
        <v>0</v>
      </c>
      <c r="J102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2" s="43" t="n">
        <f aca="false">T_BAL_2025[[#This Row],[Clôture Débit]]-T_BAL_2025[[#This Row],[Clôture Crédit]]</f>
        <v>5399884</v>
      </c>
    </row>
    <row r="103" customFormat="false" ht="15" hidden="false" customHeight="false" outlineLevel="0" collapsed="false">
      <c r="A103" s="42" t="n">
        <v>681304</v>
      </c>
      <c r="B103" s="12" t="s">
        <v>403</v>
      </c>
      <c r="C103" s="13" t="s">
        <v>400</v>
      </c>
      <c r="D103" s="15" t="n">
        <f aca="false">IF(LEFT(A103,1)&gt;="6",0,SUMIFS('BALANCE 2024'!$H:$H,'BALANCE 2024'!$A:$A,A103))</f>
        <v>0</v>
      </c>
      <c r="E103" s="15" t="n">
        <f aca="false">IF(LEFT(A103,1)&gt;="6",0,SUMIFS('BALANCE 2024'!$I:$I,'BALANCE 2024'!$A:$A,A103))</f>
        <v>0</v>
      </c>
      <c r="F103" s="21" t="n">
        <f aca="false">MAX(0,(H103-I103)-(D103-E103))</f>
        <v>15958378</v>
      </c>
      <c r="G103" s="21" t="n">
        <f aca="false">MAX(0,(D103-E103)-(H103-I103))</f>
        <v>0</v>
      </c>
      <c r="H103" s="15" t="n">
        <f aca="false">ROUND('INVEST ET FINANCEMENT'!D$41,0)</f>
        <v>15958378</v>
      </c>
      <c r="I103" s="21" t="n">
        <v>0</v>
      </c>
      <c r="J103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3" s="43" t="n">
        <f aca="false">T_BAL_2025[[#This Row],[Clôture Débit]]-T_BAL_2025[[#This Row],[Clôture Crédit]]</f>
        <v>15958378</v>
      </c>
    </row>
    <row r="104" customFormat="false" ht="15" hidden="false" customHeight="false" outlineLevel="0" collapsed="false">
      <c r="A104" s="42" t="n">
        <v>691100</v>
      </c>
      <c r="B104" s="12" t="s">
        <v>404</v>
      </c>
      <c r="C104" s="13" t="s">
        <v>400</v>
      </c>
      <c r="D104" s="15" t="n">
        <f aca="false">IF(LEFT(A104,1)&gt;="6",0,SUMIFS('BALANCE 2024'!$H:$H,'BALANCE 2024'!$A:$A,A104))</f>
        <v>0</v>
      </c>
      <c r="E104" s="15" t="n">
        <f aca="false">IF(LEFT(A104,1)&gt;="6",0,SUMIFS('BALANCE 2024'!$I:$I,'BALANCE 2024'!$A:$A,A104))</f>
        <v>0</v>
      </c>
      <c r="F104" s="21" t="n">
        <f aca="false">MAX(0,(H104-I104)-(D104-E104))</f>
        <v>6945583</v>
      </c>
      <c r="G104" s="21" t="n">
        <f aca="false">MAX(0,(D104-E104)-(H104-I104))</f>
        <v>0</v>
      </c>
      <c r="H104" s="15" t="n">
        <f aca="false">ROUND(HYPOTHESES!D$65,0)</f>
        <v>6945583</v>
      </c>
      <c r="I104" s="21" t="n">
        <v>0</v>
      </c>
      <c r="J104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4" s="43" t="n">
        <f aca="false">T_BAL_2025[[#This Row],[Clôture Débit]]-T_BAL_2025[[#This Row],[Clôture Crédit]]</f>
        <v>6945583</v>
      </c>
    </row>
    <row r="105" customFormat="false" ht="15" hidden="false" customHeight="false" outlineLevel="0" collapsed="false">
      <c r="A105" s="35" t="n">
        <v>705100</v>
      </c>
      <c r="B105" s="36" t="s">
        <v>405</v>
      </c>
      <c r="C105" s="37" t="s">
        <v>406</v>
      </c>
      <c r="D105" s="44" t="n">
        <f aca="false">IF(LEFT(A105,1)&gt;="6",0,SUMIFS('BALANCE 2024'!$H:$H,'BALANCE 2024'!$A:$A,A105))</f>
        <v>0</v>
      </c>
      <c r="E105" s="44" t="n">
        <f aca="false">IF(LEFT(A105,1)&gt;="6",0,SUMIFS('BALANCE 2024'!$I:$I,'BALANCE 2024'!$A:$A,A105))</f>
        <v>0</v>
      </c>
      <c r="F105" s="39" t="n">
        <f aca="false">MAX(0,(H105-I105)-(D105-E105))</f>
        <v>0</v>
      </c>
      <c r="G105" s="39" t="n">
        <f aca="false">MAX(0,(D105-E105)-(H105-I105))</f>
        <v>750098564</v>
      </c>
      <c r="H105" s="39" t="n">
        <v>0</v>
      </c>
      <c r="I105" s="44" t="n">
        <f aca="false">ROUND(HYPOTHESES!D$50,0)</f>
        <v>750098564</v>
      </c>
      <c r="J105" s="39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5" s="40" t="n">
        <f aca="false">T_BAL_2025[[#This Row],[Clôture Débit]]-T_BAL_2025[[#This Row],[Clôture Crédit]]</f>
        <v>-750098564</v>
      </c>
    </row>
    <row r="106" customFormat="false" ht="15" hidden="false" customHeight="false" outlineLevel="0" collapsed="false">
      <c r="A106" s="42" t="n">
        <v>771200</v>
      </c>
      <c r="B106" s="12" t="s">
        <v>407</v>
      </c>
      <c r="C106" s="13" t="s">
        <v>408</v>
      </c>
      <c r="D106" s="15" t="n">
        <f aca="false">IF(LEFT(A106,1)&gt;="6",0,SUMIFS('BALANCE 2024'!$H:$H,'BALANCE 2024'!$A:$A,A106))</f>
        <v>0</v>
      </c>
      <c r="E106" s="15" t="n">
        <f aca="false">IF(LEFT(A106,1)&gt;="6",0,SUMIFS('BALANCE 2024'!$I:$I,'BALANCE 2024'!$A:$A,A106))</f>
        <v>0</v>
      </c>
      <c r="F106" s="21" t="n">
        <f aca="false">MAX(0,(H106-I106)-(D106-E106))</f>
        <v>0</v>
      </c>
      <c r="G106" s="21" t="n">
        <f aca="false">MAX(0,(D106-E106)-(H106-I106))</f>
        <v>848594</v>
      </c>
      <c r="H106" s="21" t="n">
        <v>0</v>
      </c>
      <c r="I106" s="15" t="n">
        <f aca="false">ROUND(HYPOTHESES!D$66,0)</f>
        <v>848594</v>
      </c>
      <c r="J106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6" s="43" t="n">
        <f aca="false">T_BAL_2025[[#This Row],[Clôture Débit]]-T_BAL_2025[[#This Row],[Clôture Crédit]]</f>
        <v>-848594</v>
      </c>
    </row>
    <row r="107" customFormat="false" ht="15" hidden="false" customHeight="false" outlineLevel="0" collapsed="false">
      <c r="A107" s="35" t="n">
        <v>891100</v>
      </c>
      <c r="B107" s="36" t="s">
        <v>409</v>
      </c>
      <c r="C107" s="37" t="s">
        <v>410</v>
      </c>
      <c r="D107" s="44" t="n">
        <f aca="false">IF(LEFT(A107,1)&gt;="6",0,SUMIFS('BALANCE 2024'!$H:$H,'BALANCE 2024'!$A:$A,A107))</f>
        <v>0</v>
      </c>
      <c r="E107" s="44" t="n">
        <f aca="false">IF(LEFT(A107,1)&gt;="6",0,SUMIFS('BALANCE 2024'!$I:$I,'BALANCE 2024'!$A:$A,A107))</f>
        <v>0</v>
      </c>
      <c r="F107" s="39" t="n">
        <f aca="false">MAX(0,(H107-I107)-(D107-E107))</f>
        <v>33153484</v>
      </c>
      <c r="G107" s="39" t="n">
        <f aca="false">MAX(0,(D107-E107)-(H107-I107))</f>
        <v>0</v>
      </c>
      <c r="H107" s="44" t="n">
        <f aca="false">ROUND(IF(HYPOTHESES!D$70&gt;=HYPOTHESES!D$71,HYPOTHESES!D$72,0),0)</f>
        <v>33153484</v>
      </c>
      <c r="I107" s="39" t="n">
        <v>0</v>
      </c>
      <c r="J107" s="39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7" s="40" t="n">
        <f aca="false">T_BAL_2025[[#This Row],[Clôture Débit]]-T_BAL_2025[[#This Row],[Clôture Crédit]]</f>
        <v>33153484</v>
      </c>
    </row>
    <row r="108" customFormat="false" ht="15" hidden="false" customHeight="false" outlineLevel="0" collapsed="false">
      <c r="A108" s="42" t="n">
        <v>895000</v>
      </c>
      <c r="B108" s="12" t="s">
        <v>411</v>
      </c>
      <c r="C108" s="13" t="s">
        <v>410</v>
      </c>
      <c r="D108" s="15" t="n">
        <f aca="false">IF(LEFT(A108,1)&gt;="6",0,SUMIFS('BALANCE 2024'!$H:$H,'BALANCE 2024'!$A:$A,A108))</f>
        <v>0</v>
      </c>
      <c r="E108" s="15" t="n">
        <f aca="false">IF(LEFT(A108,1)&gt;="6",0,SUMIFS('BALANCE 2024'!$I:$I,'BALANCE 2024'!$A:$A,A108))</f>
        <v>0</v>
      </c>
      <c r="F108" s="21" t="n">
        <f aca="false">MAX(0,(H108-I108)-(D108-E108))</f>
        <v>0</v>
      </c>
      <c r="G108" s="21" t="n">
        <f aca="false">MAX(0,(D108-E108)-(H108-I108))</f>
        <v>0</v>
      </c>
      <c r="H108" s="15" t="n">
        <f aca="false">ROUND(IF(HYPOTHESES!D$70&lt;HYPOTHESES!D$71,HYPOTHESES!D$72,0),0)</f>
        <v>0</v>
      </c>
      <c r="I108" s="21" t="n">
        <v>0</v>
      </c>
      <c r="J108" s="21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8" s="43" t="n">
        <f aca="false">T_BAL_2025[[#This Row],[Clôture Débit]]-T_BAL_2025[[#This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417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413</v>
      </c>
    </row>
    <row r="3" customFormat="false" ht="15" hidden="false" customHeight="false" outlineLevel="0" collapsed="false">
      <c r="A3" s="27"/>
      <c r="B3" s="27"/>
      <c r="C3" s="27"/>
      <c r="D3" s="28" t="s">
        <v>237</v>
      </c>
      <c r="E3" s="28"/>
      <c r="F3" s="28" t="s">
        <v>238</v>
      </c>
      <c r="G3" s="28"/>
      <c r="H3" s="28" t="s">
        <v>239</v>
      </c>
      <c r="I3" s="28"/>
      <c r="J3" s="29" t="s">
        <v>240</v>
      </c>
      <c r="K3" s="29" t="s">
        <v>241</v>
      </c>
      <c r="M3" s="30" t="s">
        <v>242</v>
      </c>
      <c r="N3" s="30"/>
    </row>
    <row r="4" customFormat="false" ht="15" hidden="false" customHeight="false" outlineLevel="0" collapsed="false">
      <c r="A4" s="8" t="s">
        <v>243</v>
      </c>
      <c r="B4" s="8" t="s">
        <v>244</v>
      </c>
      <c r="C4" s="8" t="s">
        <v>245</v>
      </c>
      <c r="D4" s="8" t="s">
        <v>246</v>
      </c>
      <c r="E4" s="8" t="s">
        <v>247</v>
      </c>
      <c r="F4" s="8" t="s">
        <v>246</v>
      </c>
      <c r="G4" s="8" t="s">
        <v>247</v>
      </c>
      <c r="H4" s="8" t="s">
        <v>246</v>
      </c>
      <c r="I4" s="8" t="s">
        <v>247</v>
      </c>
      <c r="J4" s="8" t="s">
        <v>248</v>
      </c>
      <c r="M4" s="31" t="s">
        <v>249</v>
      </c>
    </row>
    <row r="5" customFormat="false" ht="15" hidden="false" customHeight="false" outlineLevel="0" collapsed="false">
      <c r="A5" s="32"/>
      <c r="B5" s="33" t="s">
        <v>250</v>
      </c>
      <c r="C5" s="32"/>
      <c r="D5" s="34" t="n">
        <f aca="false">SUBTOTAL(109,T_BAL_2026[Ouverture Débit])</f>
        <v>1832433143</v>
      </c>
      <c r="E5" s="34" t="n">
        <f aca="false">SUBTOTAL(109,T_BAL_2026[Ouverture Crédit])</f>
        <v>1832433143</v>
      </c>
      <c r="F5" s="34" t="n">
        <f aca="false">SUBTOTAL(109,T_BAL_2026[Mouvements Débit])</f>
        <v>3840860021</v>
      </c>
      <c r="G5" s="34" t="n">
        <f aca="false">SUBTOTAL(109,T_BAL_2026[Mouvements Crédit])</f>
        <v>3840860021</v>
      </c>
      <c r="H5" s="34" t="n">
        <f aca="false">SUBTOTAL(109,T_BAL_2026[Clôture Débit])</f>
        <v>2711568298</v>
      </c>
      <c r="I5" s="34" t="n">
        <f aca="false">SUBTOTAL(109,T_BAL_2026[Clôture Crédit])</f>
        <v>2711568298</v>
      </c>
      <c r="J5" s="34" t="n">
        <f aca="false">SUBTOTAL(109,T_BAL_2026[Contrôle])</f>
        <v>0</v>
      </c>
      <c r="M5" s="31" t="s">
        <v>251</v>
      </c>
    </row>
    <row r="6" customFormat="false" ht="15" hidden="false" customHeight="false" outlineLevel="0" collapsed="false">
      <c r="B6" s="4" t="s">
        <v>252</v>
      </c>
      <c r="D6" s="24" t="n">
        <f aca="false">D5-E5</f>
        <v>0</v>
      </c>
      <c r="F6" s="24" t="n">
        <f aca="false">F5-G5</f>
        <v>0</v>
      </c>
      <c r="H6" s="24" t="n">
        <f aca="false">H5-I5</f>
        <v>0</v>
      </c>
      <c r="M6" s="31" t="s">
        <v>253</v>
      </c>
    </row>
    <row r="7" customFormat="false" ht="15" hidden="false" customHeight="false" outlineLevel="0" collapsed="false">
      <c r="B7" s="7" t="s">
        <v>414</v>
      </c>
      <c r="H7" s="21" t="n">
        <f aca="false">-SUM(T_BAL_2026[Hors trésorerie])</f>
        <v>309736749</v>
      </c>
      <c r="M7" s="31" t="s">
        <v>254</v>
      </c>
    </row>
    <row r="8" customFormat="false" ht="15" hidden="false" customHeight="false" outlineLevel="0" collapsed="false">
      <c r="B8" s="7" t="s">
        <v>415</v>
      </c>
      <c r="H8" s="21" t="n">
        <f aca="false">ROUND((G34+HYPOTHESES!E$66+'INVEST ET FINANCEMENT'!E$48+'INVEST ET FINANCEMENT'!E$52+(D56-E56)+(D57-E57)-H7)/(1-HYPOTHESES!E$37*(1-HYPOTHESES!E$38)),0)</f>
        <v>796595010</v>
      </c>
      <c r="M8" s="31" t="s">
        <v>255</v>
      </c>
    </row>
    <row r="9" customFormat="false" ht="15" hidden="false" customHeight="false" outlineLevel="0" collapsed="false">
      <c r="B9" s="7" t="s">
        <v>416</v>
      </c>
      <c r="H9" s="21" t="n">
        <f aca="false">ROUND(HYPOTHESES!E$37*H8,0)</f>
        <v>159319002</v>
      </c>
      <c r="M9" s="31" t="s">
        <v>256</v>
      </c>
    </row>
    <row r="10" customFormat="false" ht="15" hidden="false" customHeight="false" outlineLevel="0" collapsed="false">
      <c r="M10" s="31" t="s">
        <v>257</v>
      </c>
    </row>
    <row r="11" customFormat="false" ht="15" hidden="false" customHeight="false" outlineLevel="0" collapsed="false">
      <c r="A11" s="27"/>
      <c r="B11" s="29" t="s">
        <v>258</v>
      </c>
      <c r="C11" s="27"/>
      <c r="D11" s="28" t="s">
        <v>237</v>
      </c>
      <c r="E11" s="28"/>
      <c r="F11" s="28" t="s">
        <v>238</v>
      </c>
      <c r="G11" s="28"/>
      <c r="H11" s="28" t="s">
        <v>239</v>
      </c>
      <c r="I11" s="28"/>
      <c r="J11" s="29" t="s">
        <v>240</v>
      </c>
      <c r="K11" s="29" t="s">
        <v>241</v>
      </c>
      <c r="M11" s="31" t="s">
        <v>259</v>
      </c>
    </row>
    <row r="12" customFormat="false" ht="15" hidden="false" customHeight="false" outlineLevel="0" collapsed="false">
      <c r="A12" s="8" t="s">
        <v>243</v>
      </c>
      <c r="B12" s="8" t="s">
        <v>244</v>
      </c>
      <c r="C12" s="8" t="s">
        <v>245</v>
      </c>
      <c r="D12" s="8" t="s">
        <v>260</v>
      </c>
      <c r="E12" s="8" t="s">
        <v>261</v>
      </c>
      <c r="F12" s="8" t="s">
        <v>262</v>
      </c>
      <c r="G12" s="8" t="s">
        <v>263</v>
      </c>
      <c r="H12" s="8" t="s">
        <v>264</v>
      </c>
      <c r="I12" s="8" t="s">
        <v>265</v>
      </c>
      <c r="J12" s="8" t="s">
        <v>240</v>
      </c>
      <c r="K12" s="8" t="s">
        <v>266</v>
      </c>
      <c r="M12" s="29" t="s">
        <v>267</v>
      </c>
      <c r="N12" s="29" t="s">
        <v>268</v>
      </c>
    </row>
    <row r="13" customFormat="false" ht="15" hidden="false" customHeight="false" outlineLevel="0" collapsed="false">
      <c r="A13" s="35" t="n">
        <v>101000</v>
      </c>
      <c r="B13" s="36" t="s">
        <v>269</v>
      </c>
      <c r="C13" s="37" t="s">
        <v>270</v>
      </c>
      <c r="D13" s="44" t="n">
        <f aca="false">IF(LEFT(A13,1)&gt;="6",0,SUMIFS('BALANCE 2025'!$H:$H,'BALANCE 2025'!$A:$A,A13))</f>
        <v>0</v>
      </c>
      <c r="E13" s="44" t="n">
        <f aca="false">IF(LEFT(A13,1)&gt;="6",0,SUMIFS('BALANCE 2025'!$I:$I,'BALANCE 2025'!$A:$A,A13))</f>
        <v>10000000</v>
      </c>
      <c r="F13" s="44" t="n">
        <f aca="false">ROUND('INVEST ET FINANCEMENT'!E$52,0)+(H13-I13)-(D13-E13)</f>
        <v>0</v>
      </c>
      <c r="G13" s="44" t="n">
        <f aca="false">ROUND('INVEST ET FINANCEMENT'!E$52,0)</f>
        <v>0</v>
      </c>
      <c r="H13" s="39" t="n">
        <v>0</v>
      </c>
      <c r="I13" s="44" t="n">
        <f aca="false">ROUND(E13+'INVEST ET FINANCEMENT'!E$52,0)</f>
        <v>10000000</v>
      </c>
      <c r="J13" s="39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3" s="40" t="n">
        <f aca="false">T_BAL_2026[[#This Row],[Clôture Débit]]-T_BAL_2026[[#This Row],[Clôture Crédit]]</f>
        <v>-10000000</v>
      </c>
      <c r="M13" s="41" t="s">
        <v>271</v>
      </c>
      <c r="N13" s="31" t="s">
        <v>272</v>
      </c>
    </row>
    <row r="14" customFormat="false" ht="15" hidden="false" customHeight="false" outlineLevel="0" collapsed="false">
      <c r="A14" s="42" t="n">
        <v>111000</v>
      </c>
      <c r="B14" s="12" t="s">
        <v>273</v>
      </c>
      <c r="C14" s="13" t="s">
        <v>274</v>
      </c>
      <c r="D14" s="15" t="n">
        <f aca="false">IF(LEFT(A14,1)&gt;="6",0,SUMIFS('BALANCE 2025'!$H:$H,'BALANCE 2025'!$A:$A,A14))</f>
        <v>0</v>
      </c>
      <c r="E14" s="15" t="n">
        <f aca="false">IF(LEFT(A14,1)&gt;="6",0,SUMIFS('BALANCE 2025'!$I:$I,'BALANCE 2025'!$A:$A,A14))</f>
        <v>2000000</v>
      </c>
      <c r="F14" s="15" t="n">
        <f aca="false">ROUND(HYPOTHESES!E$74,0)+(H14-I14)-(D14-E14)</f>
        <v>0</v>
      </c>
      <c r="G14" s="15" t="n">
        <f aca="false">ROUND(HYPOTHESES!E$74,0)</f>
        <v>0</v>
      </c>
      <c r="H14" s="21" t="n">
        <v>0</v>
      </c>
      <c r="I14" s="15" t="n">
        <f aca="false">ROUND(E14+HYPOTHESES!E$74,0)</f>
        <v>2000000</v>
      </c>
      <c r="J14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4" s="43" t="n">
        <f aca="false">T_BAL_2026[[#This Row],[Clôture Débit]]-T_BAL_2026[[#This Row],[Clôture Crédit]]</f>
        <v>-2000000</v>
      </c>
      <c r="M14" s="41" t="s">
        <v>275</v>
      </c>
      <c r="N14" s="31" t="s">
        <v>276</v>
      </c>
    </row>
    <row r="15" customFormat="false" ht="15" hidden="false" customHeight="false" outlineLevel="0" collapsed="false">
      <c r="A15" s="42" t="n">
        <v>121000</v>
      </c>
      <c r="B15" s="12" t="s">
        <v>277</v>
      </c>
      <c r="C15" s="13" t="s">
        <v>278</v>
      </c>
      <c r="D15" s="15" t="n">
        <f aca="false">IF(LEFT(A15,1)&gt;="6",0,SUMIFS('BALANCE 2025'!$H:$H,'BALANCE 2025'!$A:$A,A15))</f>
        <v>0</v>
      </c>
      <c r="E15" s="15" t="n">
        <f aca="false">IF(LEFT(A15,1)&gt;="6",0,SUMIFS('BALANCE 2025'!$I:$I,'BALANCE 2025'!$A:$A,A15))</f>
        <v>844498728</v>
      </c>
      <c r="F15" s="21" t="n">
        <f aca="false">MAX(0,(H15-I15)-(D15-E15))</f>
        <v>0</v>
      </c>
      <c r="G15" s="21" t="n">
        <f aca="false">MAX(0,(D15-E15)-(H15-I15))</f>
        <v>92514868</v>
      </c>
      <c r="H15" s="15" t="n">
        <f aca="false">ROUND(MAX(0,-(E15-D15+HYPOTHESES!E$76)),0)</f>
        <v>0</v>
      </c>
      <c r="I15" s="15" t="n">
        <f aca="false">ROUND(MAX(0,(E15-D15+HYPOTHESES!E$76)),0)</f>
        <v>937013596</v>
      </c>
      <c r="J15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5" s="43" t="n">
        <f aca="false">T_BAL_2026[[#This Row],[Clôture Débit]]-T_BAL_2026[[#This Row],[Clôture Crédit]]</f>
        <v>-937013596</v>
      </c>
      <c r="M15" s="41" t="s">
        <v>279</v>
      </c>
      <c r="N15" s="31" t="s">
        <v>280</v>
      </c>
    </row>
    <row r="16" customFormat="false" ht="15" hidden="false" customHeight="false" outlineLevel="0" collapsed="false">
      <c r="A16" s="42" t="n">
        <v>130100</v>
      </c>
      <c r="B16" s="12" t="s">
        <v>281</v>
      </c>
      <c r="C16" s="13" t="s">
        <v>282</v>
      </c>
      <c r="D16" s="21" t="n">
        <f aca="false">MAX(0,-SUMPRODUCT((LEFT(T_BAL_2025[Compte],1)&gt;="6")*(T_BAL_2025[Clôture Crédit]-T_BAL_2025[Clôture Débit])))</f>
        <v>0</v>
      </c>
      <c r="E16" s="21" t="n">
        <f aca="false">MAX(0,SUMPRODUCT((LEFT(T_BAL_2025[Compte],1)&gt;="6")*(T_BAL_2025[Clôture Crédit]-T_BAL_2025[Clôture Débit])))</f>
        <v>92514868</v>
      </c>
      <c r="F16" s="21" t="n">
        <f aca="false">MAX(0,(H16-I16)-(D16-E16))</f>
        <v>92514868</v>
      </c>
      <c r="G16" s="21" t="n">
        <f aca="false">MAX(0,(D16-E16)-(H16-I16))</f>
        <v>0</v>
      </c>
      <c r="H16" s="21" t="n">
        <v>0</v>
      </c>
      <c r="I16" s="21" t="n">
        <v>0</v>
      </c>
      <c r="J16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6" s="43" t="n">
        <f aca="false">T_BAL_2026[[#This Row],[Clôture Débit]]-T_BAL_2026[[#This Row],[Clôture Crédit]]</f>
        <v>0</v>
      </c>
      <c r="M16" s="41" t="s">
        <v>283</v>
      </c>
      <c r="N16" s="31" t="s">
        <v>284</v>
      </c>
    </row>
    <row r="17" customFormat="false" ht="15" hidden="false" customHeight="false" outlineLevel="0" collapsed="false">
      <c r="A17" s="42" t="n">
        <v>162002</v>
      </c>
      <c r="B17" s="12" t="s">
        <v>285</v>
      </c>
      <c r="C17" s="13" t="s">
        <v>213</v>
      </c>
      <c r="D17" s="15" t="n">
        <f aca="false">IF(LEFT(A17,1)&gt;="6",0,SUMIFS('BALANCE 2025'!$H:$H,'BALANCE 2025'!$A:$A,A17))</f>
        <v>0</v>
      </c>
      <c r="E17" s="15" t="n">
        <f aca="false">IF(LEFT(A17,1)&gt;="6",0,SUMIFS('BALANCE 2025'!$I:$I,'BALANCE 2025'!$A:$A,A17))</f>
        <v>0</v>
      </c>
      <c r="F17" s="15" t="n">
        <f aca="false">ROUND('INVEST ET FINANCEMENT'!E$48,0)+(H17-I17)-(D17-E17)</f>
        <v>0</v>
      </c>
      <c r="G17" s="15" t="n">
        <f aca="false">ROUND('INVEST ET FINANCEMENT'!E$48,0)</f>
        <v>0</v>
      </c>
      <c r="H17" s="21" t="n">
        <v>0</v>
      </c>
      <c r="I17" s="15" t="n">
        <f aca="false">ROUND(E17+'INVEST ET FINANCEMENT'!E$48-'INVEST ET FINANCEMENT'!E$49,0)</f>
        <v>0</v>
      </c>
      <c r="J17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7" s="43" t="n">
        <f aca="false">T_BAL_2026[[#This Row],[Clôture Débit]]-T_BAL_2026[[#This Row],[Clôture Crédit]]</f>
        <v>0</v>
      </c>
      <c r="M17" s="41" t="s">
        <v>286</v>
      </c>
      <c r="N17" s="31" t="s">
        <v>287</v>
      </c>
    </row>
    <row r="18" customFormat="false" ht="15" hidden="false" customHeight="false" outlineLevel="0" collapsed="false">
      <c r="A18" s="42" t="n">
        <v>173060</v>
      </c>
      <c r="B18" s="12" t="s">
        <v>288</v>
      </c>
      <c r="C18" s="13" t="s">
        <v>216</v>
      </c>
      <c r="D18" s="15" t="n">
        <f aca="false">IF(LEFT(A18,1)&gt;="6",0,SUMIFS('BALANCE 2025'!$H:$H,'BALANCE 2025'!$A:$A,A18))</f>
        <v>0</v>
      </c>
      <c r="E18" s="15" t="n">
        <f aca="false">IF(LEFT(A18,1)&gt;="6",0,SUMIFS('BALANCE 2025'!$I:$I,'BALANCE 2025'!$A:$A,A18))</f>
        <v>0</v>
      </c>
      <c r="F18" s="15" t="n">
        <f aca="false">ROUND('INVEST ET FINANCEMENT'!E$50,0)</f>
        <v>0</v>
      </c>
      <c r="G18" s="15" t="n">
        <f aca="false">ROUND('INVEST ET FINANCEMENT'!E$50,0)+(D18-E18)-(H18-I18)</f>
        <v>0</v>
      </c>
      <c r="H18" s="21" t="n">
        <v>0</v>
      </c>
      <c r="I18" s="15" t="n">
        <f aca="false">ROUND(E18-'INVEST ET FINANCEMENT'!E$50,0)</f>
        <v>0</v>
      </c>
      <c r="J18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8" s="43" t="n">
        <f aca="false">T_BAL_2026[[#This Row],[Clôture Débit]]-T_BAL_2026[[#This Row],[Clôture Crédit]]</f>
        <v>0</v>
      </c>
      <c r="M18" s="41" t="s">
        <v>289</v>
      </c>
      <c r="N18" s="31" t="s">
        <v>290</v>
      </c>
    </row>
    <row r="19" customFormat="false" ht="15" hidden="false" customHeight="false" outlineLevel="0" collapsed="false">
      <c r="A19" s="42" t="n">
        <v>196100</v>
      </c>
      <c r="B19" s="12" t="s">
        <v>291</v>
      </c>
      <c r="C19" s="13" t="s">
        <v>292</v>
      </c>
      <c r="D19" s="15" t="n">
        <f aca="false">IF(LEFT(A19,1)&gt;="6",0,SUMIFS('BALANCE 2025'!$H:$H,'BALANCE 2025'!$A:$A,A19))</f>
        <v>0</v>
      </c>
      <c r="E19" s="15" t="n">
        <f aca="false">IF(LEFT(A19,1)&gt;="6",0,SUMIFS('BALANCE 2025'!$I:$I,'BALANCE 2025'!$A:$A,A19))</f>
        <v>28219479</v>
      </c>
      <c r="F19" s="15" t="n">
        <f aca="false">ROUND(HYPOTHESES!E$28,0)+(H19-I19)-(D19-E19)</f>
        <v>0</v>
      </c>
      <c r="G19" s="15" t="n">
        <f aca="false">ROUND(HYPOTHESES!E$28,0)</f>
        <v>6810848</v>
      </c>
      <c r="H19" s="21" t="n">
        <v>0</v>
      </c>
      <c r="I19" s="15" t="n">
        <f aca="false">ROUND(E19+HYPOTHESES!E$28,0)</f>
        <v>35030327</v>
      </c>
      <c r="J19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9" s="43" t="n">
        <f aca="false">T_BAL_2026[[#This Row],[Clôture Débit]]-T_BAL_2026[[#This Row],[Clôture Crédit]]</f>
        <v>-35030327</v>
      </c>
      <c r="M19" s="41" t="s">
        <v>293</v>
      </c>
      <c r="N19" s="31" t="s">
        <v>294</v>
      </c>
    </row>
    <row r="20" customFormat="false" ht="15" hidden="false" customHeight="false" outlineLevel="0" collapsed="false">
      <c r="A20" s="35" t="n">
        <v>234100</v>
      </c>
      <c r="B20" s="36" t="s">
        <v>295</v>
      </c>
      <c r="C20" s="37" t="s">
        <v>296</v>
      </c>
      <c r="D20" s="44" t="n">
        <f aca="false">IF(LEFT(A20,1)&gt;="6",0,SUMIFS('BALANCE 2025'!$H:$H,'BALANCE 2025'!$A:$A,A20))</f>
        <v>103601492</v>
      </c>
      <c r="E20" s="44" t="n">
        <f aca="false">IF(LEFT(A20,1)&gt;="6",0,SUMIFS('BALANCE 2025'!$I:$I,'BALANCE 2025'!$A:$A,A20))</f>
        <v>0</v>
      </c>
      <c r="F20" s="44" t="n">
        <f aca="false">ROUND('INVEST ET FINANCEMENT'!E$9,0)</f>
        <v>0</v>
      </c>
      <c r="G20" s="44" t="n">
        <f aca="false">ROUND('INVEST ET FINANCEMENT'!E$9,0)+(D20-E20)-(H20-I20)</f>
        <v>0</v>
      </c>
      <c r="H20" s="44" t="n">
        <f aca="false">ROUND(D20+'INVEST ET FINANCEMENT'!E$9,0)</f>
        <v>103601492</v>
      </c>
      <c r="I20" s="39" t="n">
        <v>0</v>
      </c>
      <c r="J20" s="39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0" s="40" t="n">
        <f aca="false">T_BAL_2026[[#This Row],[Clôture Débit]]-T_BAL_2026[[#This Row],[Clôture Crédit]]</f>
        <v>103601492</v>
      </c>
      <c r="M20" s="41" t="s">
        <v>297</v>
      </c>
      <c r="N20" s="31" t="s">
        <v>298</v>
      </c>
    </row>
    <row r="21" customFormat="false" ht="15" hidden="false" customHeight="false" outlineLevel="0" collapsed="false">
      <c r="A21" s="42" t="n">
        <v>241100</v>
      </c>
      <c r="B21" s="12" t="s">
        <v>299</v>
      </c>
      <c r="C21" s="13" t="s">
        <v>300</v>
      </c>
      <c r="D21" s="15" t="n">
        <f aca="false">IF(LEFT(A21,1)&gt;="6",0,SUMIFS('BALANCE 2025'!$H:$H,'BALANCE 2025'!$A:$A,A21))</f>
        <v>313845268</v>
      </c>
      <c r="E21" s="15" t="n">
        <f aca="false">IF(LEFT(A21,1)&gt;="6",0,SUMIFS('BALANCE 2025'!$I:$I,'BALANCE 2025'!$A:$A,A21))</f>
        <v>0</v>
      </c>
      <c r="F21" s="15" t="n">
        <f aca="false">ROUND('INVEST ET FINANCEMENT'!E$10,0)</f>
        <v>30000000</v>
      </c>
      <c r="G21" s="15" t="n">
        <f aca="false">ROUND('INVEST ET FINANCEMENT'!E$10,0)+(D21-E21)-(H21-I21)</f>
        <v>0</v>
      </c>
      <c r="H21" s="15" t="n">
        <f aca="false">ROUND(D21+'INVEST ET FINANCEMENT'!E$10,0)</f>
        <v>343845268</v>
      </c>
      <c r="I21" s="21" t="n">
        <v>0</v>
      </c>
      <c r="J21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1" s="43" t="n">
        <f aca="false">T_BAL_2026[[#This Row],[Clôture Débit]]-T_BAL_2026[[#This Row],[Clôture Crédit]]</f>
        <v>343845268</v>
      </c>
      <c r="M21" s="41" t="s">
        <v>301</v>
      </c>
      <c r="N21" s="31" t="s">
        <v>302</v>
      </c>
    </row>
    <row r="22" customFormat="false" ht="15" hidden="false" customHeight="false" outlineLevel="0" collapsed="false">
      <c r="A22" s="42" t="n">
        <v>244100</v>
      </c>
      <c r="B22" s="12" t="s">
        <v>303</v>
      </c>
      <c r="C22" s="13" t="s">
        <v>300</v>
      </c>
      <c r="D22" s="15" t="n">
        <f aca="false">IF(LEFT(A22,1)&gt;="6",0,SUMIFS('BALANCE 2025'!$H:$H,'BALANCE 2025'!$A:$A,A22))</f>
        <v>9306956</v>
      </c>
      <c r="E22" s="15" t="n">
        <f aca="false">IF(LEFT(A22,1)&gt;="6",0,SUMIFS('BALANCE 2025'!$I:$I,'BALANCE 2025'!$A:$A,A22))</f>
        <v>0</v>
      </c>
      <c r="F22" s="21" t="n">
        <f aca="false">MAX(0,(H22-I22)-(D22-E22))</f>
        <v>0</v>
      </c>
      <c r="G22" s="21" t="n">
        <f aca="false">MAX(0,(D22-E22)-(H22-I22))</f>
        <v>0</v>
      </c>
      <c r="H22" s="21" t="n">
        <f aca="false">ROUND(D22,0)</f>
        <v>9306956</v>
      </c>
      <c r="I22" s="21" t="n">
        <v>0</v>
      </c>
      <c r="J22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2" s="43" t="n">
        <f aca="false">T_BAL_2026[[#This Row],[Clôture Débit]]-T_BAL_2026[[#This Row],[Clôture Crédit]]</f>
        <v>9306956</v>
      </c>
    </row>
    <row r="23" customFormat="false" ht="15" hidden="false" customHeight="false" outlineLevel="0" collapsed="false">
      <c r="A23" s="42" t="n">
        <v>244200</v>
      </c>
      <c r="B23" s="12" t="s">
        <v>304</v>
      </c>
      <c r="C23" s="13" t="s">
        <v>300</v>
      </c>
      <c r="D23" s="15" t="n">
        <f aca="false">IF(LEFT(A23,1)&gt;="6",0,SUMIFS('BALANCE 2025'!$H:$H,'BALANCE 2025'!$A:$A,A23))</f>
        <v>13910459</v>
      </c>
      <c r="E23" s="15" t="n">
        <f aca="false">IF(LEFT(A23,1)&gt;="6",0,SUMIFS('BALANCE 2025'!$I:$I,'BALANCE 2025'!$A:$A,A23))</f>
        <v>0</v>
      </c>
      <c r="F23" s="15" t="n">
        <f aca="false">ROUND('INVEST ET FINANCEMENT'!E$11,0)</f>
        <v>5000000</v>
      </c>
      <c r="G23" s="15" t="n">
        <f aca="false">ROUND('INVEST ET FINANCEMENT'!E$11,0)+(D23-E23)-(H23-I23)</f>
        <v>0</v>
      </c>
      <c r="H23" s="15" t="n">
        <f aca="false">ROUND(D23+'INVEST ET FINANCEMENT'!E$11,0)</f>
        <v>18910459</v>
      </c>
      <c r="I23" s="21" t="n">
        <v>0</v>
      </c>
      <c r="J23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3" s="43" t="n">
        <f aca="false">T_BAL_2026[[#This Row],[Clôture Débit]]-T_BAL_2026[[#This Row],[Clôture Crédit]]</f>
        <v>18910459</v>
      </c>
    </row>
    <row r="24" customFormat="false" ht="15" hidden="false" customHeight="false" outlineLevel="0" collapsed="false">
      <c r="A24" s="42" t="n">
        <v>245100</v>
      </c>
      <c r="B24" s="12" t="s">
        <v>305</v>
      </c>
      <c r="C24" s="13" t="s">
        <v>306</v>
      </c>
      <c r="D24" s="15" t="n">
        <f aca="false">IF(LEFT(A24,1)&gt;="6",0,SUMIFS('BALANCE 2025'!$H:$H,'BALANCE 2025'!$A:$A,A24))</f>
        <v>452257899</v>
      </c>
      <c r="E24" s="15" t="n">
        <f aca="false">IF(LEFT(A24,1)&gt;="6",0,SUMIFS('BALANCE 2025'!$I:$I,'BALANCE 2025'!$A:$A,A24))</f>
        <v>0</v>
      </c>
      <c r="F24" s="15" t="n">
        <f aca="false">ROUND('INVEST ET FINANCEMENT'!E$12+'INVEST ET FINANCEMENT'!E$14,0)</f>
        <v>0</v>
      </c>
      <c r="G24" s="15" t="n">
        <f aca="false">ROUND('INVEST ET FINANCEMENT'!E$12+'INVEST ET FINANCEMENT'!E$14,0)+(D24-E24)-(H24-I24)</f>
        <v>0</v>
      </c>
      <c r="H24" s="15" t="n">
        <f aca="false">ROUND(D24+'INVEST ET FINANCEMENT'!E$12+'INVEST ET FINANCEMENT'!E$14,0)</f>
        <v>452257899</v>
      </c>
      <c r="I24" s="21" t="n">
        <v>0</v>
      </c>
      <c r="J24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4" s="43" t="n">
        <f aca="false">T_BAL_2026[[#This Row],[Clôture Débit]]-T_BAL_2026[[#This Row],[Clôture Crédit]]</f>
        <v>452257899</v>
      </c>
    </row>
    <row r="25" customFormat="false" ht="15" hidden="false" customHeight="false" outlineLevel="0" collapsed="false">
      <c r="A25" s="42" t="n">
        <v>245600</v>
      </c>
      <c r="B25" s="12" t="s">
        <v>307</v>
      </c>
      <c r="C25" s="13" t="s">
        <v>306</v>
      </c>
      <c r="D25" s="15" t="n">
        <f aca="false">IF(LEFT(A25,1)&gt;="6",0,SUMIFS('BALANCE 2025'!$H:$H,'BALANCE 2025'!$A:$A,A25))</f>
        <v>0</v>
      </c>
      <c r="E25" s="15" t="n">
        <f aca="false">IF(LEFT(A25,1)&gt;="6",0,SUMIFS('BALANCE 2025'!$I:$I,'BALANCE 2025'!$A:$A,A25))</f>
        <v>0</v>
      </c>
      <c r="F25" s="15" t="n">
        <f aca="false">ROUND('INVEST ET FINANCEMENT'!E$14,0)+(H25-I25)-(D25-E25)</f>
        <v>0</v>
      </c>
      <c r="G25" s="15" t="n">
        <f aca="false">ROUND('INVEST ET FINANCEMENT'!E$14,0)</f>
        <v>0</v>
      </c>
      <c r="H25" s="15" t="n">
        <f aca="false">ROUND(D25-'INVEST ET FINANCEMENT'!E$14,0)</f>
        <v>0</v>
      </c>
      <c r="I25" s="21" t="n">
        <v>0</v>
      </c>
      <c r="J25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5" s="43" t="n">
        <f aca="false">T_BAL_2026[[#This Row],[Clôture Débit]]-T_BAL_2026[[#This Row],[Clôture Crédit]]</f>
        <v>0</v>
      </c>
    </row>
    <row r="26" customFormat="false" ht="15" hidden="false" customHeight="false" outlineLevel="0" collapsed="false">
      <c r="A26" s="42" t="n">
        <v>271800</v>
      </c>
      <c r="B26" s="12" t="s">
        <v>308</v>
      </c>
      <c r="C26" s="13" t="s">
        <v>309</v>
      </c>
      <c r="D26" s="15" t="n">
        <f aca="false">IF(LEFT(A26,1)&gt;="6",0,SUMIFS('BALANCE 2025'!$H:$H,'BALANCE 2025'!$A:$A,A26))</f>
        <v>25000000</v>
      </c>
      <c r="E26" s="15" t="n">
        <f aca="false">IF(LEFT(A26,1)&gt;="6",0,SUMIFS('BALANCE 2025'!$I:$I,'BALANCE 2025'!$A:$A,A26))</f>
        <v>0</v>
      </c>
      <c r="F26" s="21" t="n">
        <f aca="false">MAX(0,(H26-I26)-(D26-E26))</f>
        <v>0</v>
      </c>
      <c r="G26" s="21" t="n">
        <f aca="false">MAX(0,(D26-E26)-(H26-I26))</f>
        <v>0</v>
      </c>
      <c r="H26" s="21" t="n">
        <f aca="false">ROUND(D26,0)</f>
        <v>25000000</v>
      </c>
      <c r="I26" s="21" t="n">
        <v>0</v>
      </c>
      <c r="J26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6" s="43" t="n">
        <f aca="false">T_BAL_2026[[#This Row],[Clôture Débit]]-T_BAL_2026[[#This Row],[Clôture Crédit]]</f>
        <v>25000000</v>
      </c>
    </row>
    <row r="27" customFormat="false" ht="15" hidden="false" customHeight="false" outlineLevel="0" collapsed="false">
      <c r="A27" s="42" t="n">
        <v>275100</v>
      </c>
      <c r="B27" s="12" t="s">
        <v>310</v>
      </c>
      <c r="C27" s="13" t="s">
        <v>309</v>
      </c>
      <c r="D27" s="15" t="n">
        <f aca="false">IF(LEFT(A27,1)&gt;="6",0,SUMIFS('BALANCE 2025'!$H:$H,'BALANCE 2025'!$A:$A,A27))</f>
        <v>231420138</v>
      </c>
      <c r="E27" s="15" t="n">
        <f aca="false">IF(LEFT(A27,1)&gt;="6",0,SUMIFS('BALANCE 2025'!$I:$I,'BALANCE 2025'!$A:$A,A27))</f>
        <v>0</v>
      </c>
      <c r="F27" s="15" t="n">
        <f aca="false">ROUND('INVEST ET FINANCEMENT'!E$13,0)</f>
        <v>0</v>
      </c>
      <c r="G27" s="15" t="n">
        <f aca="false">ROUND('INVEST ET FINANCEMENT'!E$13,0)+(D27-E27)-(H27-I27)</f>
        <v>0</v>
      </c>
      <c r="H27" s="15" t="n">
        <f aca="false">ROUND(D27+'INVEST ET FINANCEMENT'!E$13,0)</f>
        <v>231420138</v>
      </c>
      <c r="I27" s="21" t="n">
        <v>0</v>
      </c>
      <c r="J27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7" s="43" t="n">
        <f aca="false">T_BAL_2026[[#This Row],[Clôture Débit]]-T_BAL_2026[[#This Row],[Clôture Crédit]]</f>
        <v>231420138</v>
      </c>
    </row>
    <row r="28" customFormat="false" ht="15" hidden="false" customHeight="false" outlineLevel="0" collapsed="false">
      <c r="A28" s="42" t="n">
        <v>283400</v>
      </c>
      <c r="B28" s="12" t="s">
        <v>311</v>
      </c>
      <c r="C28" s="13" t="s">
        <v>296</v>
      </c>
      <c r="D28" s="15" t="n">
        <f aca="false">IF(LEFT(A28,1)&gt;="6",0,SUMIFS('BALANCE 2025'!$H:$H,'BALANCE 2025'!$A:$A,A28))</f>
        <v>0</v>
      </c>
      <c r="E28" s="15" t="n">
        <f aca="false">IF(LEFT(A28,1)&gt;="6",0,SUMIFS('BALANCE 2025'!$I:$I,'BALANCE 2025'!$A:$A,A28))</f>
        <v>61119321</v>
      </c>
      <c r="F28" s="15" t="n">
        <f aca="false">ROUND('INVEST ET FINANCEMENT'!E$32,0)+(H28-I28)-(D28-E28)</f>
        <v>0</v>
      </c>
      <c r="G28" s="15" t="n">
        <f aca="false">ROUND('INVEST ET FINANCEMENT'!E$32,0)</f>
        <v>19282845</v>
      </c>
      <c r="H28" s="21" t="n">
        <v>0</v>
      </c>
      <c r="I28" s="15" t="n">
        <f aca="false">ROUND(E28+'INVEST ET FINANCEMENT'!E$32,0)</f>
        <v>80402166</v>
      </c>
      <c r="J28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8" s="43" t="n">
        <f aca="false">T_BAL_2026[[#This Row],[Clôture Débit]]-T_BAL_2026[[#This Row],[Clôture Crédit]]</f>
        <v>-80402166</v>
      </c>
    </row>
    <row r="29" customFormat="false" ht="15" hidden="false" customHeight="false" outlineLevel="0" collapsed="false">
      <c r="A29" s="42" t="n">
        <v>284100</v>
      </c>
      <c r="B29" s="12" t="s">
        <v>312</v>
      </c>
      <c r="C29" s="13" t="s">
        <v>300</v>
      </c>
      <c r="D29" s="15" t="n">
        <f aca="false">IF(LEFT(A29,1)&gt;="6",0,SUMIFS('BALANCE 2025'!$H:$H,'BALANCE 2025'!$A:$A,A29))</f>
        <v>0</v>
      </c>
      <c r="E29" s="15" t="n">
        <f aca="false">IF(LEFT(A29,1)&gt;="6",0,SUMIFS('BALANCE 2025'!$I:$I,'BALANCE 2025'!$A:$A,A29))</f>
        <v>101521231</v>
      </c>
      <c r="F29" s="15" t="n">
        <f aca="false">ROUND('INVEST ET FINANCEMENT'!E$35,0)+(H29-I29)-(D29-E29)</f>
        <v>0</v>
      </c>
      <c r="G29" s="15" t="n">
        <f aca="false">ROUND('INVEST ET FINANCEMENT'!E$35,0)</f>
        <v>50854932</v>
      </c>
      <c r="H29" s="21" t="n">
        <v>0</v>
      </c>
      <c r="I29" s="15" t="n">
        <f aca="false">ROUND(E29+'INVEST ET FINANCEMENT'!E$35,0)</f>
        <v>152376163</v>
      </c>
      <c r="J29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9" s="43" t="n">
        <f aca="false">T_BAL_2026[[#This Row],[Clôture Débit]]-T_BAL_2026[[#This Row],[Clôture Crédit]]</f>
        <v>-152376163</v>
      </c>
    </row>
    <row r="30" customFormat="false" ht="15" hidden="false" customHeight="false" outlineLevel="0" collapsed="false">
      <c r="A30" s="42" t="n">
        <v>284400</v>
      </c>
      <c r="B30" s="12" t="s">
        <v>313</v>
      </c>
      <c r="C30" s="13" t="s">
        <v>300</v>
      </c>
      <c r="D30" s="15" t="n">
        <f aca="false">IF(LEFT(A30,1)&gt;="6",0,SUMIFS('BALANCE 2025'!$H:$H,'BALANCE 2025'!$A:$A,A30))</f>
        <v>0</v>
      </c>
      <c r="E30" s="15" t="n">
        <f aca="false">IF(LEFT(A30,1)&gt;="6",0,SUMIFS('BALANCE 2025'!$I:$I,'BALANCE 2025'!$A:$A,A30))</f>
        <v>18108242</v>
      </c>
      <c r="F30" s="15" t="n">
        <f aca="false">ROUND('INVEST ET FINANCEMENT'!E$38,0)+(H30-I30)-(D30-E30)</f>
        <v>0</v>
      </c>
      <c r="G30" s="15" t="n">
        <f aca="false">ROUND('INVEST ET FINANCEMENT'!E$38,0)</f>
        <v>7609173</v>
      </c>
      <c r="H30" s="21" t="n">
        <v>0</v>
      </c>
      <c r="I30" s="15" t="n">
        <f aca="false">ROUND(E30+'INVEST ET FINANCEMENT'!E$38,0)</f>
        <v>25717415</v>
      </c>
      <c r="J30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0" s="43" t="n">
        <f aca="false">T_BAL_2026[[#This Row],[Clôture Débit]]-T_BAL_2026[[#This Row],[Clôture Crédit]]</f>
        <v>-25717415</v>
      </c>
    </row>
    <row r="31" customFormat="false" ht="15" hidden="false" customHeight="false" outlineLevel="0" collapsed="false">
      <c r="A31" s="42" t="n">
        <v>284500</v>
      </c>
      <c r="B31" s="12" t="s">
        <v>314</v>
      </c>
      <c r="C31" s="13" t="s">
        <v>306</v>
      </c>
      <c r="D31" s="15" t="n">
        <f aca="false">IF(LEFT(A31,1)&gt;="6",0,SUMIFS('BALANCE 2025'!$H:$H,'BALANCE 2025'!$A:$A,A31))</f>
        <v>0</v>
      </c>
      <c r="E31" s="15" t="n">
        <f aca="false">IF(LEFT(A31,1)&gt;="6",0,SUMIFS('BALANCE 2025'!$I:$I,'BALANCE 2025'!$A:$A,A31))</f>
        <v>378867454</v>
      </c>
      <c r="F31" s="15" t="n">
        <f aca="false">ROUND('INVEST ET FINANCEMENT'!E$41,0)+(H31-I31)-(D31-E31)</f>
        <v>0</v>
      </c>
      <c r="G31" s="15" t="n">
        <f aca="false">ROUND('INVEST ET FINANCEMENT'!E$41,0)</f>
        <v>15958378</v>
      </c>
      <c r="H31" s="21" t="n">
        <v>0</v>
      </c>
      <c r="I31" s="15" t="n">
        <f aca="false">ROUND(E31+'INVEST ET FINANCEMENT'!E$41,0)</f>
        <v>394825832</v>
      </c>
      <c r="J31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1" s="43" t="n">
        <f aca="false">T_BAL_2026[[#This Row],[Clôture Débit]]-T_BAL_2026[[#This Row],[Clôture Crédit]]</f>
        <v>-394825832</v>
      </c>
    </row>
    <row r="32" customFormat="false" ht="15" hidden="false" customHeight="false" outlineLevel="0" collapsed="false">
      <c r="A32" s="35" t="n">
        <v>401100</v>
      </c>
      <c r="B32" s="36" t="s">
        <v>315</v>
      </c>
      <c r="C32" s="37" t="s">
        <v>316</v>
      </c>
      <c r="D32" s="44" t="n">
        <f aca="false">IF(LEFT(A32,1)&gt;="6",0,SUMIFS('BALANCE 2025'!$H:$H,'BALANCE 2025'!$A:$A,A32))</f>
        <v>0</v>
      </c>
      <c r="E32" s="44" t="n">
        <f aca="false">IF(LEFT(A32,1)&gt;="6",0,SUMIFS('BALANCE 2025'!$I:$I,'BALANCE 2025'!$A:$A,A32))</f>
        <v>71671232</v>
      </c>
      <c r="F32" s="44" t="n">
        <f aca="false">ROUND(HYPOTHESES!E$64*(1+HYPOTHESES!E$10),0)+(H32-I32)-(D32-E32)</f>
        <v>503158305</v>
      </c>
      <c r="G32" s="44" t="n">
        <f aca="false">ROUND(HYPOTHESES!E$64*(1+HYPOTHESES!E$10),0)</f>
        <v>512657908</v>
      </c>
      <c r="H32" s="39" t="n">
        <v>0</v>
      </c>
      <c r="I32" s="44" t="n">
        <f aca="false">ROUND(HYPOTHESES!E$64*(1+HYPOTHESES!E$10)*HYPOTHESES!E$31/360,0)</f>
        <v>81170835</v>
      </c>
      <c r="J32" s="39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2" s="40" t="n">
        <f aca="false">T_BAL_2026[[#This Row],[Clôture Débit]]-T_BAL_2026[[#This Row],[Clôture Crédit]]</f>
        <v>-81170835</v>
      </c>
    </row>
    <row r="33" customFormat="false" ht="15" hidden="false" customHeight="false" outlineLevel="0" collapsed="false">
      <c r="A33" s="42" t="n">
        <v>409100</v>
      </c>
      <c r="B33" s="12" t="s">
        <v>317</v>
      </c>
      <c r="C33" s="13" t="s">
        <v>318</v>
      </c>
      <c r="D33" s="15" t="n">
        <f aca="false">IF(LEFT(A33,1)&gt;="6",0,SUMIFS('BALANCE 2025'!$H:$H,'BALANCE 2025'!$A:$A,A33))</f>
        <v>0</v>
      </c>
      <c r="E33" s="15" t="n">
        <f aca="false">IF(LEFT(A33,1)&gt;="6",0,SUMIFS('BALANCE 2025'!$I:$I,'BALANCE 2025'!$A:$A,A33))</f>
        <v>0</v>
      </c>
      <c r="F33" s="21" t="n">
        <f aca="false">MAX(0,(H33-I33)-(D33-E33))</f>
        <v>0</v>
      </c>
      <c r="G33" s="21" t="n">
        <f aca="false">MAX(0,(D33-E33)-(H33-I33))</f>
        <v>0</v>
      </c>
      <c r="H33" s="15" t="n">
        <f aca="false">ROUND(IF(LEFT(A33,1)&gt;="6",IF(C33="RE",IF(HYPOTHESES!$C$51=0,0,HYPOTHESES!E$51*SUMIFS('BALANCE 2024'!$H:$H,'BALANCE 2024'!$A:$A,A33)/HYPOTHESES!$C$51),IF(C33="RG",IF(HYPOTHESES!$C$52=0,0,HYPOTHESES!E$52*SUMIFS('BALANCE 2024'!$H:$H,'BALANCE 2024'!$A:$A,A33)/HYPOTHESES!$C$52),IF(C33="RH",IF(HYPOTHESES!$C$53=0,0,HYPOTHESES!E$53*SUMIFS('BALANCE 2024'!$H:$H,'BALANCE 2024'!$A:$A,A33)/HYPOTHESES!$C$53),IF(C33="RI",IF(HYPOTHESES!$C$54=0,0,HYPOTHESES!E$54*SUMIFS('BALANCE 2024'!$H:$H,'BALANCE 2024'!$A:$A,A33)/HYPOTHESES!$C$54),IF(C33="RJ",IF(HYPOTHESES!$C$55=0,0,HYPOTHESES!E$55*SUMIFS('BALANCE 2024'!$H:$H,'BALANCE 2024'!$A:$A,A33)/HYPOTHESES!$C$55),IF(C33="RK",IF(HYPOTHESES!$C$56=0,0,HYPOTHESES!E$56*SUMIFS('BALANCE 2024'!$H:$H,'BALANCE 2024'!$A:$A,A33)/HYPOTHESES!$C$56),0)))))),MAX(0,D33-E33)),0)</f>
        <v>0</v>
      </c>
      <c r="I33" s="21" t="n">
        <f aca="false">ROUND(IF(LEFT(A33,1)&gt;="6",0,MAX(0,E33-D33)),0)</f>
        <v>0</v>
      </c>
      <c r="J33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3" s="43" t="n">
        <f aca="false">T_BAL_2026[[#This Row],[Clôture Débit]]-T_BAL_2026[[#This Row],[Clôture Crédit]]</f>
        <v>0</v>
      </c>
    </row>
    <row r="34" customFormat="false" ht="15" hidden="false" customHeight="false" outlineLevel="0" collapsed="false">
      <c r="A34" s="42" t="n">
        <v>411100</v>
      </c>
      <c r="B34" s="12" t="s">
        <v>319</v>
      </c>
      <c r="C34" s="13" t="s">
        <v>320</v>
      </c>
      <c r="D34" s="15" t="n">
        <f aca="false">IF(LEFT(A34,1)&gt;="6",0,SUMIFS('BALANCE 2025'!$H:$H,'BALANCE 2025'!$A:$A,A34))</f>
        <v>467144717</v>
      </c>
      <c r="E34" s="15" t="n">
        <f aca="false">IF(LEFT(A34,1)&gt;="6",0,SUMIFS('BALANCE 2025'!$I:$I,'BALANCE 2025'!$A:$A,A34))</f>
        <v>0</v>
      </c>
      <c r="F34" s="15" t="n">
        <f aca="false">ROUND(HYPOTHESES!E$50*(1+HYPOTHESES!E$10),0)</f>
        <v>929372121</v>
      </c>
      <c r="G34" s="15" t="n">
        <f aca="false">ROUND(HYPOTHESES!E$50*(1+HYPOTHESES!E$10),0)+(D34-E34)-(H34-I34)</f>
        <v>887943761</v>
      </c>
      <c r="H34" s="15" t="n">
        <f aca="false">ROUND(HYPOTHESES!E$50*(1+HYPOTHESES!E$10)*HYPOTHESES!E$30/360,0)</f>
        <v>508573077</v>
      </c>
      <c r="I34" s="21" t="n">
        <v>0</v>
      </c>
      <c r="J34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4" s="43" t="n">
        <f aca="false">T_BAL_2026[[#This Row],[Clôture Débit]]-T_BAL_2026[[#This Row],[Clôture Crédit]]</f>
        <v>508573077</v>
      </c>
    </row>
    <row r="35" customFormat="false" ht="15" hidden="false" customHeight="false" outlineLevel="0" collapsed="false">
      <c r="A35" s="42" t="n">
        <v>422000</v>
      </c>
      <c r="B35" s="12" t="s">
        <v>321</v>
      </c>
      <c r="C35" s="13" t="s">
        <v>322</v>
      </c>
      <c r="D35" s="15" t="n">
        <f aca="false">IF(LEFT(A35,1)&gt;="6",0,SUMIFS('BALANCE 2025'!$H:$H,'BALANCE 2025'!$A:$A,A35))</f>
        <v>0</v>
      </c>
      <c r="E35" s="15" t="n">
        <f aca="false">IF(LEFT(A35,1)&gt;="6",0,SUMIFS('BALANCE 2025'!$I:$I,'BALANCE 2025'!$A:$A,A35))</f>
        <v>7762359</v>
      </c>
      <c r="F35" s="15" t="n">
        <f aca="false">ROUND(IF(HYPOTHESES!$C$56=0,0,'BALANCE 2024'!$G$35*HYPOTHESES!E$56/HYPOTHESES!$C$56),0)+(H35-I35)-(D35-E35)</f>
        <v>91491943</v>
      </c>
      <c r="G35" s="15" t="n">
        <f aca="false">ROUND(IF(HYPOTHESES!$C$56=0,0,'BALANCE 2024'!$G$35*HYPOTHESES!E$56/HYPOTHESES!$C$56),0)</f>
        <v>91341364</v>
      </c>
      <c r="H35" s="21" t="n">
        <v>0</v>
      </c>
      <c r="I35" s="15" t="n">
        <f aca="false">ROUND(IF(HYPOTHESES!$C$56=0,0,'BALANCE 2024'!$G$35*HYPOTHESES!E$56/HYPOTHESES!$C$56)*HYPOTHESES!E$26/12,0)</f>
        <v>7611780</v>
      </c>
      <c r="J35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5" s="43" t="n">
        <f aca="false">T_BAL_2026[[#This Row],[Clôture Débit]]-T_BAL_2026[[#This Row],[Clôture Crédit]]</f>
        <v>-7611780</v>
      </c>
    </row>
    <row r="36" customFormat="false" ht="15" hidden="false" customHeight="false" outlineLevel="0" collapsed="false">
      <c r="A36" s="42" t="n">
        <v>431100</v>
      </c>
      <c r="B36" s="12" t="s">
        <v>323</v>
      </c>
      <c r="C36" s="13" t="s">
        <v>322</v>
      </c>
      <c r="D36" s="15" t="n">
        <f aca="false">IF(LEFT(A36,1)&gt;="6",0,SUMIFS('BALANCE 2025'!$H:$H,'BALANCE 2025'!$A:$A,A36))</f>
        <v>0</v>
      </c>
      <c r="E36" s="15" t="n">
        <f aca="false">IF(LEFT(A36,1)&gt;="6",0,SUMIFS('BALANCE 2025'!$I:$I,'BALANCE 2025'!$A:$A,A36))</f>
        <v>280313</v>
      </c>
      <c r="F36" s="15" t="n">
        <f aca="false">ROUND(HYPOTHESES!E$60,0)+(H36-I36)-(D36-E36)</f>
        <v>3838125</v>
      </c>
      <c r="G36" s="15" t="n">
        <f aca="false">ROUND(HYPOTHESES!E$60,0)</f>
        <v>3881250</v>
      </c>
      <c r="H36" s="21" t="n">
        <v>0</v>
      </c>
      <c r="I36" s="15" t="n">
        <f aca="false">ROUND(HYPOTHESES!E$60/12,0)</f>
        <v>323438</v>
      </c>
      <c r="J36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6" s="43" t="n">
        <f aca="false">T_BAL_2026[[#This Row],[Clôture Débit]]-T_BAL_2026[[#This Row],[Clôture Crédit]]</f>
        <v>-323438</v>
      </c>
    </row>
    <row r="37" customFormat="false" ht="15" hidden="false" customHeight="false" outlineLevel="0" collapsed="false">
      <c r="A37" s="42" t="n">
        <v>431200</v>
      </c>
      <c r="B37" s="12" t="s">
        <v>324</v>
      </c>
      <c r="C37" s="13" t="s">
        <v>322</v>
      </c>
      <c r="D37" s="15" t="n">
        <f aca="false">IF(LEFT(A37,1)&gt;="6",0,SUMIFS('BALANCE 2025'!$H:$H,'BALANCE 2025'!$A:$A,A37))</f>
        <v>0</v>
      </c>
      <c r="E37" s="15" t="n">
        <f aca="false">IF(LEFT(A37,1)&gt;="6",0,SUMIFS('BALANCE 2025'!$I:$I,'BALANCE 2025'!$A:$A,A37))</f>
        <v>243750</v>
      </c>
      <c r="F37" s="15" t="n">
        <f aca="false">ROUND(HYPOTHESES!E$61,0)+(H37-I37)-(D37-E37)</f>
        <v>3337500</v>
      </c>
      <c r="G37" s="15" t="n">
        <f aca="false">ROUND(HYPOTHESES!E$61,0)</f>
        <v>3375000</v>
      </c>
      <c r="H37" s="21" t="n">
        <v>0</v>
      </c>
      <c r="I37" s="15" t="n">
        <f aca="false">ROUND(HYPOTHESES!E$61/12,0)</f>
        <v>281250</v>
      </c>
      <c r="J37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7" s="43" t="n">
        <f aca="false">T_BAL_2026[[#This Row],[Clôture Débit]]-T_BAL_2026[[#This Row],[Clôture Crédit]]</f>
        <v>-281250</v>
      </c>
    </row>
    <row r="38" customFormat="false" ht="15" hidden="false" customHeight="false" outlineLevel="0" collapsed="false">
      <c r="A38" s="42" t="n">
        <v>431301</v>
      </c>
      <c r="B38" s="12" t="s">
        <v>325</v>
      </c>
      <c r="C38" s="13" t="s">
        <v>322</v>
      </c>
      <c r="D38" s="15" t="n">
        <f aca="false">IF(LEFT(A38,1)&gt;="6",0,SUMIFS('BALANCE 2025'!$H:$H,'BALANCE 2025'!$A:$A,A38))</f>
        <v>0</v>
      </c>
      <c r="E38" s="15" t="n">
        <f aca="false">IF(LEFT(A38,1)&gt;="6",0,SUMIFS('BALANCE 2025'!$I:$I,'BALANCE 2025'!$A:$A,A38))</f>
        <v>5640598</v>
      </c>
      <c r="F38" s="15" t="n">
        <f aca="false">ROUND(IF(HYPOTHESES!$C$59=0,0,'BALANCE 2024'!$G$38*HYPOTHESES!E$59/HYPOTHESES!$C$59),0)+(H38-I38)-(D38-E38)</f>
        <v>8083161</v>
      </c>
      <c r="G38" s="15" t="n">
        <f aca="false">ROUND(IF(HYPOTHESES!$C$59=0,0,'BALANCE 2024'!$G$38*HYPOTHESES!E$59/HYPOTHESES!$C$59),0)</f>
        <v>7973741</v>
      </c>
      <c r="H38" s="21" t="n">
        <v>0</v>
      </c>
      <c r="I38" s="15" t="n">
        <f aca="false">ROUND(IF(HYPOTHESES!$C$59=0,0,'BALANCE 2024'!$I$38*HYPOTHESES!E$59/HYPOTHESES!$C$59),0)</f>
        <v>5531178</v>
      </c>
      <c r="J38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8" s="43" t="n">
        <f aca="false">T_BAL_2026[[#This Row],[Clôture Débit]]-T_BAL_2026[[#This Row],[Clôture Crédit]]</f>
        <v>-5531178</v>
      </c>
    </row>
    <row r="39" customFormat="false" ht="15" hidden="false" customHeight="false" outlineLevel="0" collapsed="false">
      <c r="A39" s="42" t="n">
        <v>431302</v>
      </c>
      <c r="B39" s="12" t="s">
        <v>326</v>
      </c>
      <c r="C39" s="13" t="s">
        <v>322</v>
      </c>
      <c r="D39" s="15" t="n">
        <f aca="false">IF(LEFT(A39,1)&gt;="6",0,SUMIFS('BALANCE 2025'!$H:$H,'BALANCE 2025'!$A:$A,A39))</f>
        <v>0</v>
      </c>
      <c r="E39" s="15" t="n">
        <f aca="false">IF(LEFT(A39,1)&gt;="6",0,SUMIFS('BALANCE 2025'!$I:$I,'BALANCE 2025'!$A:$A,A39))</f>
        <v>1378111</v>
      </c>
      <c r="F39" s="15" t="n">
        <f aca="false">ROUND(IF(HYPOTHESES!$C$56=0,0,'BALANCE 2024'!$G$39*HYPOTHESES!E$56/HYPOTHESES!$C$56),0)+(H39-I39)-(D39-E39)</f>
        <v>12905887</v>
      </c>
      <c r="G39" s="15" t="n">
        <f aca="false">ROUND(IF(HYPOTHESES!$C$56=0,0,'BALANCE 2024'!$G$39*HYPOTHESES!E$56/HYPOTHESES!$C$56),0)</f>
        <v>12879153</v>
      </c>
      <c r="H39" s="21" t="n">
        <v>0</v>
      </c>
      <c r="I39" s="15" t="n">
        <f aca="false">ROUND(IF(HYPOTHESES!$C$56=0,0,'BALANCE 2024'!$I$39*HYPOTHESES!E$56/HYPOTHESES!$C$56),0)</f>
        <v>1351377</v>
      </c>
      <c r="J39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9" s="43" t="n">
        <f aca="false">T_BAL_2026[[#This Row],[Clôture Débit]]-T_BAL_2026[[#This Row],[Clôture Crédit]]</f>
        <v>-1351377</v>
      </c>
    </row>
    <row r="40" customFormat="false" ht="15" hidden="false" customHeight="false" outlineLevel="0" collapsed="false">
      <c r="A40" s="42" t="n">
        <v>431802</v>
      </c>
      <c r="B40" s="12" t="s">
        <v>327</v>
      </c>
      <c r="C40" s="13" t="s">
        <v>322</v>
      </c>
      <c r="D40" s="15" t="n">
        <f aca="false">IF(LEFT(A40,1)&gt;="6",0,SUMIFS('BALANCE 2025'!$H:$H,'BALANCE 2025'!$A:$A,A40))</f>
        <v>0</v>
      </c>
      <c r="E40" s="15" t="n">
        <f aca="false">IF(LEFT(A40,1)&gt;="6",0,SUMIFS('BALANCE 2025'!$I:$I,'BALANCE 2025'!$A:$A,A40))</f>
        <v>185602</v>
      </c>
      <c r="F40" s="15" t="n">
        <f aca="false">ROUND(IF(HYPOTHESES!$C$56=0,0,'BALANCE 2024'!$G$40*HYPOTHESES!E$56/HYPOTHESES!$C$56),0)+(H40-I40)-(D40-E40)</f>
        <v>439245</v>
      </c>
      <c r="G40" s="15" t="n">
        <f aca="false">ROUND(IF(HYPOTHESES!$C$56=0,0,'BALANCE 2024'!$G$40*HYPOTHESES!E$56/HYPOTHESES!$C$56),0)</f>
        <v>435644</v>
      </c>
      <c r="H40" s="21" t="n">
        <v>0</v>
      </c>
      <c r="I40" s="15" t="n">
        <f aca="false">ROUND(IF(HYPOTHESES!$C$56=0,0,'BALANCE 2024'!$I$40*HYPOTHESES!E$56/HYPOTHESES!$C$56),0)</f>
        <v>182001</v>
      </c>
      <c r="J40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0" s="43" t="n">
        <f aca="false">T_BAL_2026[[#This Row],[Clôture Débit]]-T_BAL_2026[[#This Row],[Clôture Crédit]]</f>
        <v>-182001</v>
      </c>
    </row>
    <row r="41" customFormat="false" ht="15" hidden="false" customHeight="false" outlineLevel="0" collapsed="false">
      <c r="A41" s="42" t="n">
        <v>431803</v>
      </c>
      <c r="B41" s="12" t="s">
        <v>328</v>
      </c>
      <c r="C41" s="13" t="s">
        <v>322</v>
      </c>
      <c r="D41" s="15" t="n">
        <f aca="false">IF(LEFT(A41,1)&gt;="6",0,SUMIFS('BALANCE 2025'!$H:$H,'BALANCE 2025'!$A:$A,A41))</f>
        <v>0</v>
      </c>
      <c r="E41" s="15" t="n">
        <f aca="false">IF(LEFT(A41,1)&gt;="6",0,SUMIFS('BALANCE 2025'!$I:$I,'BALANCE 2025'!$A:$A,A41))</f>
        <v>32500</v>
      </c>
      <c r="F41" s="15" t="n">
        <f aca="false">ROUND(HYPOTHESES!E$62,0)+(H41-I41)-(D41-E41)</f>
        <v>445000</v>
      </c>
      <c r="G41" s="15" t="n">
        <f aca="false">ROUND(HYPOTHESES!E$62,0)</f>
        <v>450000</v>
      </c>
      <c r="H41" s="21" t="n">
        <v>0</v>
      </c>
      <c r="I41" s="15" t="n">
        <f aca="false">ROUND(HYPOTHESES!E$62/12,0)</f>
        <v>37500</v>
      </c>
      <c r="J41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1" s="43" t="n">
        <f aca="false">T_BAL_2026[[#This Row],[Clôture Débit]]-T_BAL_2026[[#This Row],[Clôture Crédit]]</f>
        <v>-37500</v>
      </c>
    </row>
    <row r="42" customFormat="false" ht="15" hidden="false" customHeight="false" outlineLevel="0" collapsed="false">
      <c r="A42" s="42" t="n">
        <v>433300</v>
      </c>
      <c r="B42" s="12" t="s">
        <v>329</v>
      </c>
      <c r="C42" s="13" t="s">
        <v>322</v>
      </c>
      <c r="D42" s="15" t="n">
        <f aca="false">IF(LEFT(A42,1)&gt;="6",0,SUMIFS('BALANCE 2025'!$H:$H,'BALANCE 2025'!$A:$A,A42))</f>
        <v>0</v>
      </c>
      <c r="E42" s="15" t="n">
        <f aca="false">IF(LEFT(A42,1)&gt;="6",0,SUMIFS('BALANCE 2025'!$I:$I,'BALANCE 2025'!$A:$A,A42))</f>
        <v>0</v>
      </c>
      <c r="F42" s="15" t="n">
        <f aca="false">ROUND(IF(HYPOTHESES!$C$56=0,0,'BALANCE 2024'!$G$42*HYPOTHESES!E$56/HYPOTHESES!$C$56),0)+(H42-I42)-(D42-E42)</f>
        <v>0</v>
      </c>
      <c r="G42" s="15" t="n">
        <f aca="false">ROUND(IF(HYPOTHESES!$C$56=0,0,'BALANCE 2024'!$G$42*HYPOTHESES!E$56/HYPOTHESES!$C$56),0)</f>
        <v>0</v>
      </c>
      <c r="H42" s="21" t="n">
        <v>0</v>
      </c>
      <c r="I42" s="15" t="n">
        <f aca="false">ROUND(IF(HYPOTHESES!$C$56=0,0,'BALANCE 2024'!$I$42*HYPOTHESES!E$56/HYPOTHESES!$C$56),0)</f>
        <v>0</v>
      </c>
      <c r="J42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2" s="43" t="n">
        <f aca="false">T_BAL_2026[[#This Row],[Clôture Débit]]-T_BAL_2026[[#This Row],[Clôture Crédit]]</f>
        <v>0</v>
      </c>
    </row>
    <row r="43" customFormat="false" ht="15" hidden="false" customHeight="false" outlineLevel="0" collapsed="false">
      <c r="A43" s="42" t="n">
        <v>441000</v>
      </c>
      <c r="B43" s="12" t="s">
        <v>330</v>
      </c>
      <c r="C43" s="13" t="s">
        <v>322</v>
      </c>
      <c r="D43" s="15" t="n">
        <f aca="false">IF(LEFT(A43,1)&gt;="6",0,SUMIFS('BALANCE 2025'!$H:$H,'BALANCE 2025'!$A:$A,A43))</f>
        <v>0</v>
      </c>
      <c r="E43" s="15" t="n">
        <f aca="false">IF(LEFT(A43,1)&gt;="6",0,SUMIFS('BALANCE 2025'!$I:$I,'BALANCE 2025'!$A:$A,A43))</f>
        <v>33153484</v>
      </c>
      <c r="F43" s="15" t="n">
        <f aca="false">ROUND(HYPOTHESES!E$72,0)+(H43-I43)-(D43-E43)</f>
        <v>33153484</v>
      </c>
      <c r="G43" s="15" t="n">
        <f aca="false">ROUND(HYPOTHESES!E$72,0)</f>
        <v>28782225</v>
      </c>
      <c r="H43" s="21" t="n">
        <v>0</v>
      </c>
      <c r="I43" s="15" t="n">
        <f aca="false">ROUND(HYPOTHESES!E$72,0)</f>
        <v>28782225</v>
      </c>
      <c r="J43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3" s="43" t="n">
        <f aca="false">T_BAL_2026[[#This Row],[Clôture Débit]]-T_BAL_2026[[#This Row],[Clôture Crédit]]</f>
        <v>-28782225</v>
      </c>
    </row>
    <row r="44" customFormat="false" ht="15" hidden="false" customHeight="false" outlineLevel="0" collapsed="false">
      <c r="A44" s="42" t="n">
        <v>442800</v>
      </c>
      <c r="B44" s="12" t="s">
        <v>331</v>
      </c>
      <c r="C44" s="13" t="s">
        <v>322</v>
      </c>
      <c r="D44" s="15" t="n">
        <f aca="false">IF(LEFT(A44,1)&gt;="6",0,SUMIFS('BALANCE 2025'!$H:$H,'BALANCE 2025'!$A:$A,A44))</f>
        <v>0</v>
      </c>
      <c r="E44" s="15" t="n">
        <f aca="false">IF(LEFT(A44,1)&gt;="6",0,SUMIFS('BALANCE 2025'!$I:$I,'BALANCE 2025'!$A:$A,A44))</f>
        <v>776041</v>
      </c>
      <c r="F44" s="15" t="n">
        <f aca="false">ROUND(IF(HYPOTHESES!$C$54=0,0,'BALANCE 2024'!$G$44*HYPOTHESES!E$54/HYPOTHESES!$C$54),0)+(H44-I44)-(D44-E44)</f>
        <v>776041</v>
      </c>
      <c r="G44" s="15" t="n">
        <f aca="false">ROUND(IF(HYPOTHESES!$C$54=0,0,'BALANCE 2024'!$G$44*HYPOTHESES!E$54/HYPOTHESES!$C$54),0)</f>
        <v>814843</v>
      </c>
      <c r="H44" s="21" t="n">
        <v>0</v>
      </c>
      <c r="I44" s="15" t="n">
        <f aca="false">ROUND(IF(HYPOTHESES!$C$54=0,0,'BALANCE 2024'!$I$44*HYPOTHESES!E$54/HYPOTHESES!$C$54),0)</f>
        <v>814843</v>
      </c>
      <c r="J44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4" s="43" t="n">
        <f aca="false">T_BAL_2026[[#This Row],[Clôture Débit]]-T_BAL_2026[[#This Row],[Clôture Crédit]]</f>
        <v>-814843</v>
      </c>
    </row>
    <row r="45" customFormat="false" ht="15" hidden="false" customHeight="false" outlineLevel="0" collapsed="false">
      <c r="A45" s="42" t="n">
        <v>442801</v>
      </c>
      <c r="B45" s="12" t="s">
        <v>332</v>
      </c>
      <c r="C45" s="13" t="s">
        <v>322</v>
      </c>
      <c r="D45" s="15" t="n">
        <f aca="false">IF(LEFT(A45,1)&gt;="6",0,SUMIFS('BALANCE 2025'!$H:$H,'BALANCE 2025'!$A:$A,A45))</f>
        <v>0</v>
      </c>
      <c r="E45" s="15" t="n">
        <f aca="false">IF(LEFT(A45,1)&gt;="6",0,SUMIFS('BALANCE 2025'!$I:$I,'BALANCE 2025'!$A:$A,A45))</f>
        <v>111291</v>
      </c>
      <c r="F45" s="15" t="n">
        <f aca="false">ROUND(IF(HYPOTHESES!$C$54=0,0,'BALANCE 2024'!$G$45*HYPOTHESES!E$54/HYPOTHESES!$C$54),0)+(H45-I45)-(D45-E45)</f>
        <v>111291</v>
      </c>
      <c r="G45" s="15" t="n">
        <f aca="false">ROUND(IF(HYPOTHESES!$C$54=0,0,'BALANCE 2024'!$G$45*HYPOTHESES!E$54/HYPOTHESES!$C$54),0)</f>
        <v>116856</v>
      </c>
      <c r="H45" s="21" t="n">
        <v>0</v>
      </c>
      <c r="I45" s="15" t="n">
        <f aca="false">ROUND(IF(HYPOTHESES!$C$54=0,0,'BALANCE 2024'!$I$45*HYPOTHESES!E$54/HYPOTHESES!$C$54),0)</f>
        <v>116856</v>
      </c>
      <c r="J45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5" s="43" t="n">
        <f aca="false">T_BAL_2026[[#This Row],[Clôture Débit]]-T_BAL_2026[[#This Row],[Clôture Crédit]]</f>
        <v>-116856</v>
      </c>
    </row>
    <row r="46" customFormat="false" ht="15" hidden="false" customHeight="false" outlineLevel="0" collapsed="false">
      <c r="A46" s="42" t="n">
        <v>442802</v>
      </c>
      <c r="B46" s="12" t="s">
        <v>333</v>
      </c>
      <c r="C46" s="13" t="s">
        <v>322</v>
      </c>
      <c r="D46" s="15" t="n">
        <f aca="false">IF(LEFT(A46,1)&gt;="6",0,SUMIFS('BALANCE 2025'!$H:$H,'BALANCE 2025'!$A:$A,A46))</f>
        <v>0</v>
      </c>
      <c r="E46" s="15" t="n">
        <f aca="false">IF(LEFT(A46,1)&gt;="6",0,SUMIFS('BALANCE 2025'!$I:$I,'BALANCE 2025'!$A:$A,A46))</f>
        <v>166945</v>
      </c>
      <c r="F46" s="15" t="n">
        <f aca="false">ROUND(IF(HYPOTHESES!$C$54=0,0,'BALANCE 2024'!$G$46*HYPOTHESES!E$54/HYPOTHESES!$C$54),0)+(H46-I46)-(D46-E46)</f>
        <v>166945</v>
      </c>
      <c r="G46" s="15" t="n">
        <f aca="false">ROUND(IF(HYPOTHESES!$C$54=0,0,'BALANCE 2024'!$G$46*HYPOTHESES!E$54/HYPOTHESES!$C$54),0)</f>
        <v>175292</v>
      </c>
      <c r="H46" s="21" t="n">
        <v>0</v>
      </c>
      <c r="I46" s="15" t="n">
        <f aca="false">ROUND(IF(HYPOTHESES!$C$54=0,0,'BALANCE 2024'!$I$46*HYPOTHESES!E$54/HYPOTHESES!$C$54),0)</f>
        <v>175292</v>
      </c>
      <c r="J46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6" s="43" t="n">
        <f aca="false">T_BAL_2026[[#This Row],[Clôture Débit]]-T_BAL_2026[[#This Row],[Clôture Crédit]]</f>
        <v>-175292</v>
      </c>
    </row>
    <row r="47" customFormat="false" ht="15" hidden="false" customHeight="false" outlineLevel="0" collapsed="false">
      <c r="A47" s="42" t="n">
        <v>442803</v>
      </c>
      <c r="B47" s="12" t="s">
        <v>334</v>
      </c>
      <c r="C47" s="13" t="s">
        <v>322</v>
      </c>
      <c r="D47" s="15" t="n">
        <f aca="false">IF(LEFT(A47,1)&gt;="6",0,SUMIFS('BALANCE 2025'!$H:$H,'BALANCE 2025'!$A:$A,A47))</f>
        <v>0</v>
      </c>
      <c r="E47" s="15" t="n">
        <f aca="false">IF(LEFT(A47,1)&gt;="6",0,SUMIFS('BALANCE 2025'!$I:$I,'BALANCE 2025'!$A:$A,A47))</f>
        <v>166944</v>
      </c>
      <c r="F47" s="15" t="n">
        <f aca="false">ROUND(IF(HYPOTHESES!$C$54=0,0,'BALANCE 2024'!$G$47*HYPOTHESES!E$54/HYPOTHESES!$C$54),0)+(H47-I47)-(D47-E47)</f>
        <v>166944</v>
      </c>
      <c r="G47" s="15" t="n">
        <f aca="false">ROUND(IF(HYPOTHESES!$C$54=0,0,'BALANCE 2024'!$G$47*HYPOTHESES!E$54/HYPOTHESES!$C$54),0)</f>
        <v>175291</v>
      </c>
      <c r="H47" s="21" t="n">
        <v>0</v>
      </c>
      <c r="I47" s="15" t="n">
        <f aca="false">ROUND(IF(HYPOTHESES!$C$54=0,0,'BALANCE 2024'!$I$47*HYPOTHESES!E$54/HYPOTHESES!$C$54),0)</f>
        <v>175291</v>
      </c>
      <c r="J47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7" s="43" t="n">
        <f aca="false">T_BAL_2026[[#This Row],[Clôture Débit]]-T_BAL_2026[[#This Row],[Clôture Crédit]]</f>
        <v>-175291</v>
      </c>
    </row>
    <row r="48" customFormat="false" ht="15" hidden="false" customHeight="false" outlineLevel="0" collapsed="false">
      <c r="A48" s="42" t="n">
        <v>442820</v>
      </c>
      <c r="B48" s="12" t="s">
        <v>335</v>
      </c>
      <c r="C48" s="13" t="s">
        <v>322</v>
      </c>
      <c r="D48" s="15" t="n">
        <f aca="false">IF(LEFT(A48,1)&gt;="6",0,SUMIFS('BALANCE 2025'!$H:$H,'BALANCE 2025'!$A:$A,A48))</f>
        <v>0</v>
      </c>
      <c r="E48" s="15" t="n">
        <f aca="false">IF(LEFT(A48,1)&gt;="6",0,SUMIFS('BALANCE 2025'!$I:$I,'BALANCE 2025'!$A:$A,A48))</f>
        <v>393134</v>
      </c>
      <c r="F48" s="15" t="n">
        <f aca="false">ROUND(IF(HYPOTHESES!$C$54=0,0,'BALANCE 2024'!$G$48*HYPOTHESES!E$54/HYPOTHESES!$C$54),0)+(H48-I48)-(D48-E48)</f>
        <v>908507</v>
      </c>
      <c r="G48" s="15" t="n">
        <f aca="false">ROUND(IF(HYPOTHESES!$C$54=0,0,'BALANCE 2024'!$G$48*HYPOTHESES!E$54/HYPOTHESES!$C$54),0)</f>
        <v>928163</v>
      </c>
      <c r="H48" s="21" t="n">
        <v>0</v>
      </c>
      <c r="I48" s="15" t="n">
        <f aca="false">ROUND(IF(HYPOTHESES!$C$54=0,0,'BALANCE 2024'!$I$48*HYPOTHESES!E$54/HYPOTHESES!$C$54),0)</f>
        <v>412790</v>
      </c>
      <c r="J48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8" s="43" t="n">
        <f aca="false">T_BAL_2026[[#This Row],[Clôture Débit]]-T_BAL_2026[[#This Row],[Clôture Crédit]]</f>
        <v>-412790</v>
      </c>
    </row>
    <row r="49" customFormat="false" ht="15" hidden="false" customHeight="false" outlineLevel="0" collapsed="false">
      <c r="A49" s="42" t="n">
        <v>442840</v>
      </c>
      <c r="B49" s="12" t="s">
        <v>336</v>
      </c>
      <c r="C49" s="13" t="s">
        <v>322</v>
      </c>
      <c r="D49" s="15" t="n">
        <f aca="false">IF(LEFT(A49,1)&gt;="6",0,SUMIFS('BALANCE 2025'!$H:$H,'BALANCE 2025'!$A:$A,A49))</f>
        <v>0</v>
      </c>
      <c r="E49" s="15" t="n">
        <f aca="false">IF(LEFT(A49,1)&gt;="6",0,SUMIFS('BALANCE 2025'!$I:$I,'BALANCE 2025'!$A:$A,A49))</f>
        <v>5347156</v>
      </c>
      <c r="F49" s="15" t="n">
        <f aca="false">ROUND(IF(HYPOTHESES!$C$54=0,0,'BALANCE 2024'!$G$49*HYPOTHESES!E$54/HYPOTHESES!$C$54),0)+(H49-I49)-(D49-E49)</f>
        <v>9900676</v>
      </c>
      <c r="G49" s="15" t="n">
        <f aca="false">ROUND(IF(HYPOTHESES!$C$54=0,0,'BALANCE 2024'!$G$49*HYPOTHESES!E$54/HYPOTHESES!$C$54),0)</f>
        <v>10168034</v>
      </c>
      <c r="H49" s="21" t="n">
        <v>0</v>
      </c>
      <c r="I49" s="15" t="n">
        <f aca="false">ROUND(IF(HYPOTHESES!$C$54=0,0,'BALANCE 2024'!$I$49*HYPOTHESES!E$54/HYPOTHESES!$C$54),0)</f>
        <v>5614514</v>
      </c>
      <c r="J49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9" s="43" t="n">
        <f aca="false">T_BAL_2026[[#This Row],[Clôture Débit]]-T_BAL_2026[[#This Row],[Clôture Crédit]]</f>
        <v>-5614514</v>
      </c>
    </row>
    <row r="50" customFormat="false" ht="15" hidden="false" customHeight="false" outlineLevel="0" collapsed="false">
      <c r="A50" s="42" t="n">
        <v>443300</v>
      </c>
      <c r="B50" s="12" t="s">
        <v>337</v>
      </c>
      <c r="C50" s="13" t="s">
        <v>322</v>
      </c>
      <c r="D50" s="15" t="n">
        <f aca="false">IF(LEFT(A50,1)&gt;="6",0,SUMIFS('BALANCE 2025'!$H:$H,'BALANCE 2025'!$A:$A,A50))</f>
        <v>0</v>
      </c>
      <c r="E50" s="15" t="n">
        <f aca="false">IF(LEFT(A50,1)&gt;="6",0,SUMIFS('BALANCE 2025'!$I:$I,'BALANCE 2025'!$A:$A,A50))</f>
        <v>53860553</v>
      </c>
      <c r="F50" s="15" t="n">
        <f aca="false">ROUND(HYPOTHESES!E$50*HYPOTHESES!E$10,0)+(H50-I50)-(D50-E50)</f>
        <v>136992049</v>
      </c>
      <c r="G50" s="15" t="n">
        <f aca="false">ROUND(HYPOTHESES!E$50*HYPOTHESES!E$10,0)</f>
        <v>141768629</v>
      </c>
      <c r="H50" s="21" t="n">
        <v>0</v>
      </c>
      <c r="I50" s="15" t="n">
        <f aca="false">ROUND(IF('BALANCE 2024'!$H$34=0,0,'BALANCE 2024'!$I$50*H34/'BALANCE 2024'!$H$34),0)</f>
        <v>58637133</v>
      </c>
      <c r="J50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0" s="43" t="n">
        <f aca="false">T_BAL_2026[[#This Row],[Clôture Débit]]-T_BAL_2026[[#This Row],[Clôture Crédit]]</f>
        <v>-58637133</v>
      </c>
    </row>
    <row r="51" customFormat="false" ht="15" hidden="false" customHeight="false" outlineLevel="0" collapsed="false">
      <c r="A51" s="42" t="n">
        <v>446000</v>
      </c>
      <c r="B51" s="12" t="s">
        <v>338</v>
      </c>
      <c r="C51" s="13" t="s">
        <v>322</v>
      </c>
      <c r="D51" s="15" t="n">
        <f aca="false">IF(LEFT(A51,1)&gt;="6",0,SUMIFS('BALANCE 2025'!$H:$H,'BALANCE 2025'!$A:$A,A51))</f>
        <v>0</v>
      </c>
      <c r="E51" s="15" t="n">
        <f aca="false">IF(LEFT(A51,1)&gt;="6",0,SUMIFS('BALANCE 2025'!$I:$I,'BALANCE 2025'!$A:$A,A51))</f>
        <v>213886</v>
      </c>
      <c r="F51" s="15" t="n">
        <f aca="false">ROUND(IF(HYPOTHESES!$C$54=0,0,'BALANCE 2024'!$G$51*HYPOTHESES!E$54/HYPOTHESES!$C$54),0)+(H51-I51)-(D51-E51)</f>
        <v>227007</v>
      </c>
      <c r="G51" s="15" t="n">
        <f aca="false">ROUND(IF(HYPOTHESES!$C$54=0,0,'BALANCE 2024'!$G$51*HYPOTHESES!E$54/HYPOTHESES!$C$54),0)</f>
        <v>237702</v>
      </c>
      <c r="H51" s="21" t="n">
        <v>0</v>
      </c>
      <c r="I51" s="15" t="n">
        <f aca="false">ROUND(IF(HYPOTHESES!$C$54=0,0,'BALANCE 2024'!$I$51*HYPOTHESES!E$54/HYPOTHESES!$C$54),0)</f>
        <v>224581</v>
      </c>
      <c r="J51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1" s="43" t="n">
        <f aca="false">T_BAL_2026[[#This Row],[Clôture Débit]]-T_BAL_2026[[#This Row],[Clôture Crédit]]</f>
        <v>-224581</v>
      </c>
    </row>
    <row r="52" customFormat="false" ht="15" hidden="false" customHeight="false" outlineLevel="0" collapsed="false">
      <c r="A52" s="42" t="n">
        <v>447201</v>
      </c>
      <c r="B52" s="12" t="s">
        <v>339</v>
      </c>
      <c r="C52" s="13" t="s">
        <v>322</v>
      </c>
      <c r="D52" s="15" t="n">
        <f aca="false">IF(LEFT(A52,1)&gt;="6",0,SUMIFS('BALANCE 2025'!$H:$H,'BALANCE 2025'!$A:$A,A52))</f>
        <v>0</v>
      </c>
      <c r="E52" s="15" t="n">
        <f aca="false">IF(LEFT(A52,1)&gt;="6",0,SUMIFS('BALANCE 2025'!$I:$I,'BALANCE 2025'!$A:$A,A52))</f>
        <v>1870067</v>
      </c>
      <c r="F52" s="15" t="n">
        <f aca="false">ROUND(IF(HYPOTHESES!$C$56=0,0,'BALANCE 2024'!$G$52*HYPOTHESES!E$56/HYPOTHESES!$C$56),0)+(H52-I52)-(D52-E52)</f>
        <v>6668488</v>
      </c>
      <c r="G52" s="15" t="n">
        <f aca="false">ROUND(IF(HYPOTHESES!$C$56=0,0,'BALANCE 2024'!$G$52*HYPOTHESES!E$56/HYPOTHESES!$C$56),0)</f>
        <v>6632211</v>
      </c>
      <c r="H52" s="21" t="n">
        <v>0</v>
      </c>
      <c r="I52" s="15" t="n">
        <f aca="false">ROUND(IF(HYPOTHESES!$C$56=0,0,'BALANCE 2024'!$I$52*HYPOTHESES!E$56/HYPOTHESES!$C$56),0)</f>
        <v>1833790</v>
      </c>
      <c r="J52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2" s="43" t="n">
        <f aca="false">T_BAL_2026[[#This Row],[Clôture Débit]]-T_BAL_2026[[#This Row],[Clôture Crédit]]</f>
        <v>-1833790</v>
      </c>
    </row>
    <row r="53" customFormat="false" ht="15" hidden="false" customHeight="false" outlineLevel="0" collapsed="false">
      <c r="A53" s="42" t="n">
        <v>462100</v>
      </c>
      <c r="B53" s="12" t="s">
        <v>340</v>
      </c>
      <c r="C53" s="13" t="s">
        <v>341</v>
      </c>
      <c r="D53" s="15" t="n">
        <f aca="false">IF(LEFT(A53,1)&gt;="6",0,SUMIFS('BALANCE 2025'!$H:$H,'BALANCE 2025'!$A:$A,A53))</f>
        <v>0</v>
      </c>
      <c r="E53" s="15" t="n">
        <f aca="false">IF(LEFT(A53,1)&gt;="6",0,SUMIFS('BALANCE 2025'!$I:$I,'BALANCE 2025'!$A:$A,A53))</f>
        <v>0</v>
      </c>
      <c r="F53" s="15" t="n">
        <f aca="false">ROUND('INVEST ET FINANCEMENT'!E$54,0)+(H53-I53)-(D53-E53)</f>
        <v>0</v>
      </c>
      <c r="G53" s="15" t="n">
        <f aca="false">ROUND('INVEST ET FINANCEMENT'!E$54,0)</f>
        <v>0</v>
      </c>
      <c r="H53" s="21" t="n">
        <v>0</v>
      </c>
      <c r="I53" s="15" t="n">
        <f aca="false">ROUND('INVEST ET FINANCEMENT'!E$55,0)</f>
        <v>0</v>
      </c>
      <c r="J53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3" s="43" t="n">
        <f aca="false">T_BAL_2026[[#This Row],[Clôture Débit]]-T_BAL_2026[[#This Row],[Clôture Crédit]]</f>
        <v>0</v>
      </c>
    </row>
    <row r="54" customFormat="false" ht="15" hidden="false" customHeight="false" outlineLevel="0" collapsed="false">
      <c r="A54" s="42" t="n">
        <v>471200</v>
      </c>
      <c r="B54" s="12" t="s">
        <v>342</v>
      </c>
      <c r="C54" s="13" t="s">
        <v>343</v>
      </c>
      <c r="D54" s="15" t="n">
        <f aca="false">IF(LEFT(A54,1)&gt;="6",0,SUMIFS('BALANCE 2025'!$H:$H,'BALANCE 2025'!$A:$A,A54))</f>
        <v>0</v>
      </c>
      <c r="E54" s="15" t="n">
        <f aca="false">IF(LEFT(A54,1)&gt;="6",0,SUMIFS('BALANCE 2025'!$I:$I,'BALANCE 2025'!$A:$A,A54))</f>
        <v>0</v>
      </c>
      <c r="F54" s="21" t="n">
        <f aca="false">MAX(0,(H54-I54)-(D54-E54))</f>
        <v>-0</v>
      </c>
      <c r="G54" s="21" t="n">
        <f aca="false">MAX(0,(D54-E54)-(H54-I54))</f>
        <v>0</v>
      </c>
      <c r="H54" s="15" t="n">
        <f aca="false">ROUND(MAX(0,-(E54-D54+HYPOTHESES!E$39)),0)</f>
        <v>-0</v>
      </c>
      <c r="I54" s="15" t="n">
        <f aca="false">ROUND(MAX(0,(E54-D54+HYPOTHESES!E$39)),0)</f>
        <v>0</v>
      </c>
      <c r="J54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4" s="43" t="n">
        <f aca="false">T_BAL_2026[[#This Row],[Clôture Débit]]-T_BAL_2026[[#This Row],[Clôture Crédit]]</f>
        <v>-0</v>
      </c>
    </row>
    <row r="55" customFormat="false" ht="15" hidden="false" customHeight="false" outlineLevel="0" collapsed="false">
      <c r="A55" s="42" t="n">
        <v>481200</v>
      </c>
      <c r="B55" s="12" t="s">
        <v>344</v>
      </c>
      <c r="C55" s="13" t="s">
        <v>345</v>
      </c>
      <c r="D55" s="15" t="n">
        <f aca="false">IF(LEFT(A55,1)&gt;="6",0,SUMIFS('BALANCE 2025'!$H:$H,'BALANCE 2025'!$A:$A,A55))</f>
        <v>0</v>
      </c>
      <c r="E55" s="15" t="n">
        <f aca="false">IF(LEFT(A55,1)&gt;="6",0,SUMIFS('BALANCE 2025'!$I:$I,'BALANCE 2025'!$A:$A,A55))</f>
        <v>112329854</v>
      </c>
      <c r="F55" s="15" t="n">
        <f aca="false">ROUND('INVEST ET FINANCEMENT'!E$42,0)+(H55-I55)-(D55-E55)</f>
        <v>54855815</v>
      </c>
      <c r="G55" s="15" t="n">
        <f aca="false">ROUND('INVEST ET FINANCEMENT'!E$42,0)</f>
        <v>35000000</v>
      </c>
      <c r="H55" s="21" t="n">
        <v>0</v>
      </c>
      <c r="I55" s="15" t="n">
        <f aca="false">ROUND(HYPOTHESES!E$36,0)</f>
        <v>92474039</v>
      </c>
      <c r="J55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5" s="43" t="n">
        <f aca="false">T_BAL_2026[[#This Row],[Clôture Débit]]-T_BAL_2026[[#This Row],[Clôture Crédit]]</f>
        <v>-92474039</v>
      </c>
    </row>
    <row r="56" customFormat="false" ht="15" hidden="false" customHeight="false" outlineLevel="0" collapsed="false">
      <c r="A56" s="35" t="n">
        <v>521101</v>
      </c>
      <c r="B56" s="36" t="s">
        <v>346</v>
      </c>
      <c r="C56" s="37" t="s">
        <v>347</v>
      </c>
      <c r="D56" s="44" t="n">
        <f aca="false">IF(LEFT(A56,1)&gt;="6",0,SUMIFS('BALANCE 2025'!$H:$H,'BALANCE 2025'!$A:$A,A56))</f>
        <v>208721814</v>
      </c>
      <c r="E56" s="44" t="n">
        <f aca="false">IF(LEFT(A56,1)&gt;="6",0,SUMIFS('BALANCE 2025'!$I:$I,'BALANCE 2025'!$A:$A,A56))</f>
        <v>0</v>
      </c>
      <c r="F56" s="44" t="n">
        <f aca="false">ROUND(G34+HYPOTHESES!E$66+'INVEST ET FINANCEMENT'!E$48+'INVEST ET FINANCEMENT'!E$52,0)</f>
        <v>888792355</v>
      </c>
      <c r="G56" s="44" t="n">
        <f aca="false">ROUND(G34+HYPOTHESES!E$66+'INVEST ET FINANCEMENT'!E$48+'INVEST ET FINANCEMENT'!E$52,0)+(D56-E56)-(H56-I56)</f>
        <v>796595010</v>
      </c>
      <c r="H56" s="39" t="n">
        <f aca="false">ROUND(MAX(0,(H7-(H57-I57))),0)</f>
        <v>300919159</v>
      </c>
      <c r="I56" s="39" t="n">
        <f aca="false">ROUND(MAX(0,-(H7-(H57-I57))),0)</f>
        <v>0</v>
      </c>
      <c r="J56" s="39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6" s="40" t="n">
        <v>0</v>
      </c>
    </row>
    <row r="57" customFormat="false" ht="15" hidden="false" customHeight="false" outlineLevel="0" collapsed="false">
      <c r="A57" s="42" t="n">
        <v>571101</v>
      </c>
      <c r="B57" s="12" t="s">
        <v>348</v>
      </c>
      <c r="C57" s="13" t="s">
        <v>349</v>
      </c>
      <c r="D57" s="15" t="n">
        <f aca="false">IF(LEFT(A57,1)&gt;="6",0,SUMIFS('BALANCE 2025'!$H:$H,'BALANCE 2025'!$A:$A,A57))</f>
        <v>7224400</v>
      </c>
      <c r="E57" s="15" t="n">
        <f aca="false">IF(LEFT(A57,1)&gt;="6",0,SUMIFS('BALANCE 2025'!$I:$I,'BALANCE 2025'!$A:$A,A57))</f>
        <v>0</v>
      </c>
      <c r="F57" s="21" t="n">
        <f aca="false">ROUND(H9,0)</f>
        <v>159319002</v>
      </c>
      <c r="G57" s="21" t="n">
        <f aca="false">ROUND(H9,0)+(D57-E57)-(H57-I57)</f>
        <v>157725812</v>
      </c>
      <c r="H57" s="15" t="n">
        <f aca="false">ROUND(MAX(0,((D57-E57)+H9*(1-HYPOTHESES!E$38))),0)</f>
        <v>8817590</v>
      </c>
      <c r="I57" s="15" t="n">
        <f aca="false">ROUND(MAX(0,-((D57-E57)+H9*(1-HYPOTHESES!E$38))),0)</f>
        <v>0</v>
      </c>
      <c r="J57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7" s="43" t="n">
        <v>0</v>
      </c>
    </row>
    <row r="58" customFormat="false" ht="15" hidden="false" customHeight="false" outlineLevel="0" collapsed="false">
      <c r="A58" s="42" t="n">
        <v>585000</v>
      </c>
      <c r="B58" s="12" t="s">
        <v>350</v>
      </c>
      <c r="C58" s="13" t="s">
        <v>349</v>
      </c>
      <c r="D58" s="15" t="n">
        <f aca="false">IF(LEFT(A58,1)&gt;="6",0,SUMIFS('BALANCE 2025'!$H:$H,'BALANCE 2025'!$A:$A,A58))</f>
        <v>0</v>
      </c>
      <c r="E58" s="15" t="n">
        <f aca="false">IF(LEFT(A58,1)&gt;="6",0,SUMIFS('BALANCE 2025'!$I:$I,'BALANCE 2025'!$A:$A,A58))</f>
        <v>0</v>
      </c>
      <c r="F58" s="21" t="n">
        <f aca="false">ROUND(H9,0)</f>
        <v>159319002</v>
      </c>
      <c r="G58" s="21" t="n">
        <f aca="false">ROUND(H9,0)+(D58-E58)-(H58-I58)</f>
        <v>159319002</v>
      </c>
      <c r="H58" s="15" t="n">
        <f aca="false">ROUND(IF(LEFT(A58,1)&gt;="6",IF(C58="RE",IF(HYPOTHESES!$C$51=0,0,HYPOTHESES!E$51*SUMIFS('BALANCE 2024'!$H:$H,'BALANCE 2024'!$A:$A,A58)/HYPOTHESES!$C$51),IF(C58="RG",IF(HYPOTHESES!$C$52=0,0,HYPOTHESES!E$52*SUMIFS('BALANCE 2024'!$H:$H,'BALANCE 2024'!$A:$A,A58)/HYPOTHESES!$C$52),IF(C58="RH",IF(HYPOTHESES!$C$53=0,0,HYPOTHESES!E$53*SUMIFS('BALANCE 2024'!$H:$H,'BALANCE 2024'!$A:$A,A58)/HYPOTHESES!$C$53),IF(C58="RI",IF(HYPOTHESES!$C$54=0,0,HYPOTHESES!E$54*SUMIFS('BALANCE 2024'!$H:$H,'BALANCE 2024'!$A:$A,A58)/HYPOTHESES!$C$54),IF(C58="RJ",IF(HYPOTHESES!$C$55=0,0,HYPOTHESES!E$55*SUMIFS('BALANCE 2024'!$H:$H,'BALANCE 2024'!$A:$A,A58)/HYPOTHESES!$C$55),IF(C58="RK",IF(HYPOTHESES!$C$56=0,0,HYPOTHESES!E$56*SUMIFS('BALANCE 2024'!$H:$H,'BALANCE 2024'!$A:$A,A58)/HYPOTHESES!$C$56),0)))))),MAX(0,D58-E58)),0)</f>
        <v>0</v>
      </c>
      <c r="I58" s="21" t="n">
        <f aca="false">ROUND(IF(LEFT(A58,1)&gt;="6",0,MAX(0,E58-D58)),0)</f>
        <v>0</v>
      </c>
      <c r="J58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8" s="43" t="n">
        <f aca="false">T_BAL_2026[[#This Row],[Clôture Débit]]-T_BAL_2026[[#This Row],[Clôture Crédit]]</f>
        <v>0</v>
      </c>
    </row>
    <row r="59" customFormat="false" ht="15" hidden="false" customHeight="false" outlineLevel="0" collapsed="false">
      <c r="A59" s="35" t="n">
        <v>604300</v>
      </c>
      <c r="B59" s="36" t="s">
        <v>351</v>
      </c>
      <c r="C59" s="37" t="s">
        <v>352</v>
      </c>
      <c r="D59" s="44" t="n">
        <f aca="false">IF(LEFT(A59,1)&gt;="6",0,SUMIFS('BALANCE 2025'!$H:$H,'BALANCE 2025'!$A:$A,A59))</f>
        <v>0</v>
      </c>
      <c r="E59" s="44" t="n">
        <f aca="false">IF(LEFT(A59,1)&gt;="6",0,SUMIFS('BALANCE 2025'!$I:$I,'BALANCE 2025'!$A:$A,A59))</f>
        <v>0</v>
      </c>
      <c r="F59" s="39" t="n">
        <f aca="false">MAX(0,(H59-I59)-(D59-E59))</f>
        <v>1394747</v>
      </c>
      <c r="G59" s="39" t="n">
        <f aca="false">MAX(0,(D59-E59)-(H59-I59))</f>
        <v>0</v>
      </c>
      <c r="H59" s="44" t="n">
        <f aca="false">ROUND(IF(LEFT(A59,1)&gt;="6",IF(C59="RE",IF(HYPOTHESES!$C$51=0,0,HYPOTHESES!E$51*SUMIFS('BALANCE 2024'!$H:$H,'BALANCE 2024'!$A:$A,A59)/HYPOTHESES!$C$51),IF(C59="RG",IF(HYPOTHESES!$C$52=0,0,HYPOTHESES!E$52*SUMIFS('BALANCE 2024'!$H:$H,'BALANCE 2024'!$A:$A,A59)/HYPOTHESES!$C$52),IF(C59="RH",IF(HYPOTHESES!$C$53=0,0,HYPOTHESES!E$53*SUMIFS('BALANCE 2024'!$H:$H,'BALANCE 2024'!$A:$A,A59)/HYPOTHESES!$C$53),IF(C59="RI",IF(HYPOTHESES!$C$54=0,0,HYPOTHESES!E$54*SUMIFS('BALANCE 2024'!$H:$H,'BALANCE 2024'!$A:$A,A59)/HYPOTHESES!$C$54),IF(C59="RJ",IF(HYPOTHESES!$C$55=0,0,HYPOTHESES!E$55*SUMIFS('BALANCE 2024'!$H:$H,'BALANCE 2024'!$A:$A,A59)/HYPOTHESES!$C$55),IF(C59="RK",IF(HYPOTHESES!$C$56=0,0,HYPOTHESES!E$56*SUMIFS('BALANCE 2024'!$H:$H,'BALANCE 2024'!$A:$A,A59)/HYPOTHESES!$C$56),0)))))),MAX(0,D59-E59)),0)</f>
        <v>1394747</v>
      </c>
      <c r="I59" s="39" t="n">
        <v>0</v>
      </c>
      <c r="J59" s="39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9" s="40" t="n">
        <f aca="false">T_BAL_2026[[#This Row],[Clôture Débit]]-T_BAL_2026[[#This Row],[Clôture Crédit]]</f>
        <v>1394747</v>
      </c>
    </row>
    <row r="60" customFormat="false" ht="15" hidden="false" customHeight="false" outlineLevel="0" collapsed="false">
      <c r="A60" s="42" t="n">
        <v>605100</v>
      </c>
      <c r="B60" s="12" t="s">
        <v>353</v>
      </c>
      <c r="C60" s="13" t="s">
        <v>352</v>
      </c>
      <c r="D60" s="15" t="n">
        <f aca="false">IF(LEFT(A60,1)&gt;="6",0,SUMIFS('BALANCE 2025'!$H:$H,'BALANCE 2025'!$A:$A,A60))</f>
        <v>0</v>
      </c>
      <c r="E60" s="15" t="n">
        <f aca="false">IF(LEFT(A60,1)&gt;="6",0,SUMIFS('BALANCE 2025'!$I:$I,'BALANCE 2025'!$A:$A,A60))</f>
        <v>0</v>
      </c>
      <c r="F60" s="21" t="n">
        <f aca="false">MAX(0,(H60-I60)-(D60-E60))</f>
        <v>138957</v>
      </c>
      <c r="G60" s="21" t="n">
        <f aca="false">MAX(0,(D60-E60)-(H60-I60))</f>
        <v>0</v>
      </c>
      <c r="H60" s="15" t="n">
        <f aca="false">ROUND(IF(LEFT(A60,1)&gt;="6",IF(C60="RE",IF(HYPOTHESES!$C$51=0,0,HYPOTHESES!E$51*SUMIFS('BALANCE 2024'!$H:$H,'BALANCE 2024'!$A:$A,A60)/HYPOTHESES!$C$51),IF(C60="RG",IF(HYPOTHESES!$C$52=0,0,HYPOTHESES!E$52*SUMIFS('BALANCE 2024'!$H:$H,'BALANCE 2024'!$A:$A,A60)/HYPOTHESES!$C$52),IF(C60="RH",IF(HYPOTHESES!$C$53=0,0,HYPOTHESES!E$53*SUMIFS('BALANCE 2024'!$H:$H,'BALANCE 2024'!$A:$A,A60)/HYPOTHESES!$C$53),IF(C60="RI",IF(HYPOTHESES!$C$54=0,0,HYPOTHESES!E$54*SUMIFS('BALANCE 2024'!$H:$H,'BALANCE 2024'!$A:$A,A60)/HYPOTHESES!$C$54),IF(C60="RJ",IF(HYPOTHESES!$C$55=0,0,HYPOTHESES!E$55*SUMIFS('BALANCE 2024'!$H:$H,'BALANCE 2024'!$A:$A,A60)/HYPOTHESES!$C$55),IF(C60="RK",IF(HYPOTHESES!$C$56=0,0,HYPOTHESES!E$56*SUMIFS('BALANCE 2024'!$H:$H,'BALANCE 2024'!$A:$A,A60)/HYPOTHESES!$C$56),0)))))),MAX(0,D60-E60)),0)</f>
        <v>138957</v>
      </c>
      <c r="I60" s="21" t="n">
        <v>0</v>
      </c>
      <c r="J60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0" s="43" t="n">
        <f aca="false">T_BAL_2026[[#This Row],[Clôture Débit]]-T_BAL_2026[[#This Row],[Clôture Crédit]]</f>
        <v>138957</v>
      </c>
    </row>
    <row r="61" customFormat="false" ht="15" hidden="false" customHeight="false" outlineLevel="0" collapsed="false">
      <c r="A61" s="42" t="n">
        <v>605200</v>
      </c>
      <c r="B61" s="12" t="s">
        <v>354</v>
      </c>
      <c r="C61" s="13" t="s">
        <v>352</v>
      </c>
      <c r="D61" s="15" t="n">
        <f aca="false">IF(LEFT(A61,1)&gt;="6",0,SUMIFS('BALANCE 2025'!$H:$H,'BALANCE 2025'!$A:$A,A61))</f>
        <v>0</v>
      </c>
      <c r="E61" s="15" t="n">
        <f aca="false">IF(LEFT(A61,1)&gt;="6",0,SUMIFS('BALANCE 2025'!$I:$I,'BALANCE 2025'!$A:$A,A61))</f>
        <v>0</v>
      </c>
      <c r="F61" s="21" t="n">
        <f aca="false">MAX(0,(H61-I61)-(D61-E61))</f>
        <v>44574628</v>
      </c>
      <c r="G61" s="21" t="n">
        <f aca="false">MAX(0,(D61-E61)-(H61-I61))</f>
        <v>0</v>
      </c>
      <c r="H61" s="15" t="n">
        <f aca="false">ROUND(IF(LEFT(A61,1)&gt;="6",IF(C61="RE",IF(HYPOTHESES!$C$51=0,0,HYPOTHESES!E$51*SUMIFS('BALANCE 2024'!$H:$H,'BALANCE 2024'!$A:$A,A61)/HYPOTHESES!$C$51),IF(C61="RG",IF(HYPOTHESES!$C$52=0,0,HYPOTHESES!E$52*SUMIFS('BALANCE 2024'!$H:$H,'BALANCE 2024'!$A:$A,A61)/HYPOTHESES!$C$52),IF(C61="RH",IF(HYPOTHESES!$C$53=0,0,HYPOTHESES!E$53*SUMIFS('BALANCE 2024'!$H:$H,'BALANCE 2024'!$A:$A,A61)/HYPOTHESES!$C$53),IF(C61="RI",IF(HYPOTHESES!$C$54=0,0,HYPOTHESES!E$54*SUMIFS('BALANCE 2024'!$H:$H,'BALANCE 2024'!$A:$A,A61)/HYPOTHESES!$C$54),IF(C61="RJ",IF(HYPOTHESES!$C$55=0,0,HYPOTHESES!E$55*SUMIFS('BALANCE 2024'!$H:$H,'BALANCE 2024'!$A:$A,A61)/HYPOTHESES!$C$55),IF(C61="RK",IF(HYPOTHESES!$C$56=0,0,HYPOTHESES!E$56*SUMIFS('BALANCE 2024'!$H:$H,'BALANCE 2024'!$A:$A,A61)/HYPOTHESES!$C$56),0)))))),MAX(0,D61-E61)),0)</f>
        <v>44574628</v>
      </c>
      <c r="I61" s="21" t="n">
        <v>0</v>
      </c>
      <c r="J61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1" s="43" t="n">
        <f aca="false">T_BAL_2026[[#This Row],[Clôture Débit]]-T_BAL_2026[[#This Row],[Clôture Crédit]]</f>
        <v>44574628</v>
      </c>
    </row>
    <row r="62" customFormat="false" ht="15" hidden="false" customHeight="false" outlineLevel="0" collapsed="false">
      <c r="A62" s="42" t="n">
        <v>605300</v>
      </c>
      <c r="B62" s="12" t="s">
        <v>355</v>
      </c>
      <c r="C62" s="13" t="s">
        <v>352</v>
      </c>
      <c r="D62" s="15" t="n">
        <f aca="false">IF(LEFT(A62,1)&gt;="6",0,SUMIFS('BALANCE 2025'!$H:$H,'BALANCE 2025'!$A:$A,A62))</f>
        <v>0</v>
      </c>
      <c r="E62" s="15" t="n">
        <f aca="false">IF(LEFT(A62,1)&gt;="6",0,SUMIFS('BALANCE 2025'!$I:$I,'BALANCE 2025'!$A:$A,A62))</f>
        <v>0</v>
      </c>
      <c r="F62" s="21" t="n">
        <f aca="false">MAX(0,(H62-I62)-(D62-E62))</f>
        <v>22129322</v>
      </c>
      <c r="G62" s="21" t="n">
        <f aca="false">MAX(0,(D62-E62)-(H62-I62))</f>
        <v>0</v>
      </c>
      <c r="H62" s="15" t="n">
        <f aca="false">ROUND(IF(LEFT(A62,1)&gt;="6",IF(C62="RE",IF(HYPOTHESES!$C$51=0,0,HYPOTHESES!E$51*SUMIFS('BALANCE 2024'!$H:$H,'BALANCE 2024'!$A:$A,A62)/HYPOTHESES!$C$51),IF(C62="RG",IF(HYPOTHESES!$C$52=0,0,HYPOTHESES!E$52*SUMIFS('BALANCE 2024'!$H:$H,'BALANCE 2024'!$A:$A,A62)/HYPOTHESES!$C$52),IF(C62="RH",IF(HYPOTHESES!$C$53=0,0,HYPOTHESES!E$53*SUMIFS('BALANCE 2024'!$H:$H,'BALANCE 2024'!$A:$A,A62)/HYPOTHESES!$C$53),IF(C62="RI",IF(HYPOTHESES!$C$54=0,0,HYPOTHESES!E$54*SUMIFS('BALANCE 2024'!$H:$H,'BALANCE 2024'!$A:$A,A62)/HYPOTHESES!$C$54),IF(C62="RJ",IF(HYPOTHESES!$C$55=0,0,HYPOTHESES!E$55*SUMIFS('BALANCE 2024'!$H:$H,'BALANCE 2024'!$A:$A,A62)/HYPOTHESES!$C$55),IF(C62="RK",IF(HYPOTHESES!$C$56=0,0,HYPOTHESES!E$56*SUMIFS('BALANCE 2024'!$H:$H,'BALANCE 2024'!$A:$A,A62)/HYPOTHESES!$C$56),0)))))),MAX(0,D62-E62)),0)</f>
        <v>22129322</v>
      </c>
      <c r="I62" s="21" t="n">
        <v>0</v>
      </c>
      <c r="J62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2" s="43" t="n">
        <f aca="false">T_BAL_2026[[#This Row],[Clôture Débit]]-T_BAL_2026[[#This Row],[Clôture Crédit]]</f>
        <v>22129322</v>
      </c>
    </row>
    <row r="63" customFormat="false" ht="15" hidden="false" customHeight="false" outlineLevel="0" collapsed="false">
      <c r="A63" s="42" t="n">
        <v>605500</v>
      </c>
      <c r="B63" s="12" t="s">
        <v>356</v>
      </c>
      <c r="C63" s="13" t="s">
        <v>352</v>
      </c>
      <c r="D63" s="15" t="n">
        <f aca="false">IF(LEFT(A63,1)&gt;="6",0,SUMIFS('BALANCE 2025'!$H:$H,'BALANCE 2025'!$A:$A,A63))</f>
        <v>0</v>
      </c>
      <c r="E63" s="15" t="n">
        <f aca="false">IF(LEFT(A63,1)&gt;="6",0,SUMIFS('BALANCE 2025'!$I:$I,'BALANCE 2025'!$A:$A,A63))</f>
        <v>0</v>
      </c>
      <c r="F63" s="21" t="n">
        <f aca="false">MAX(0,(H63-I63)-(D63-E63))</f>
        <v>14359773</v>
      </c>
      <c r="G63" s="21" t="n">
        <f aca="false">MAX(0,(D63-E63)-(H63-I63))</f>
        <v>0</v>
      </c>
      <c r="H63" s="15" t="n">
        <f aca="false">ROUND(IF(LEFT(A63,1)&gt;="6",IF(C63="RE",IF(HYPOTHESES!$C$51=0,0,HYPOTHESES!E$51*SUMIFS('BALANCE 2024'!$H:$H,'BALANCE 2024'!$A:$A,A63)/HYPOTHESES!$C$51),IF(C63="RG",IF(HYPOTHESES!$C$52=0,0,HYPOTHESES!E$52*SUMIFS('BALANCE 2024'!$H:$H,'BALANCE 2024'!$A:$A,A63)/HYPOTHESES!$C$52),IF(C63="RH",IF(HYPOTHESES!$C$53=0,0,HYPOTHESES!E$53*SUMIFS('BALANCE 2024'!$H:$H,'BALANCE 2024'!$A:$A,A63)/HYPOTHESES!$C$53),IF(C63="RI",IF(HYPOTHESES!$C$54=0,0,HYPOTHESES!E$54*SUMIFS('BALANCE 2024'!$H:$H,'BALANCE 2024'!$A:$A,A63)/HYPOTHESES!$C$54),IF(C63="RJ",IF(HYPOTHESES!$C$55=0,0,HYPOTHESES!E$55*SUMIFS('BALANCE 2024'!$H:$H,'BALANCE 2024'!$A:$A,A63)/HYPOTHESES!$C$55),IF(C63="RK",IF(HYPOTHESES!$C$56=0,0,HYPOTHESES!E$56*SUMIFS('BALANCE 2024'!$H:$H,'BALANCE 2024'!$A:$A,A63)/HYPOTHESES!$C$56),0)))))),MAX(0,D63-E63)),0)</f>
        <v>14359773</v>
      </c>
      <c r="I63" s="21" t="n">
        <v>0</v>
      </c>
      <c r="J63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3" s="43" t="n">
        <f aca="false">T_BAL_2026[[#This Row],[Clôture Débit]]-T_BAL_2026[[#This Row],[Clôture Crédit]]</f>
        <v>14359773</v>
      </c>
    </row>
    <row r="64" customFormat="false" ht="15" hidden="false" customHeight="false" outlineLevel="0" collapsed="false">
      <c r="A64" s="42" t="n">
        <v>605600</v>
      </c>
      <c r="B64" s="12" t="s">
        <v>357</v>
      </c>
      <c r="C64" s="13" t="s">
        <v>352</v>
      </c>
      <c r="D64" s="15" t="n">
        <f aca="false">IF(LEFT(A64,1)&gt;="6",0,SUMIFS('BALANCE 2025'!$H:$H,'BALANCE 2025'!$A:$A,A64))</f>
        <v>0</v>
      </c>
      <c r="E64" s="15" t="n">
        <f aca="false">IF(LEFT(A64,1)&gt;="6",0,SUMIFS('BALANCE 2025'!$I:$I,'BALANCE 2025'!$A:$A,A64))</f>
        <v>0</v>
      </c>
      <c r="F64" s="21" t="n">
        <f aca="false">MAX(0,(H64-I64)-(D64-E64))</f>
        <v>4117795</v>
      </c>
      <c r="G64" s="21" t="n">
        <f aca="false">MAX(0,(D64-E64)-(H64-I64))</f>
        <v>0</v>
      </c>
      <c r="H64" s="15" t="n">
        <f aca="false">ROUND(IF(LEFT(A64,1)&gt;="6",IF(C64="RE",IF(HYPOTHESES!$C$51=0,0,HYPOTHESES!E$51*SUMIFS('BALANCE 2024'!$H:$H,'BALANCE 2024'!$A:$A,A64)/HYPOTHESES!$C$51),IF(C64="RG",IF(HYPOTHESES!$C$52=0,0,HYPOTHESES!E$52*SUMIFS('BALANCE 2024'!$H:$H,'BALANCE 2024'!$A:$A,A64)/HYPOTHESES!$C$52),IF(C64="RH",IF(HYPOTHESES!$C$53=0,0,HYPOTHESES!E$53*SUMIFS('BALANCE 2024'!$H:$H,'BALANCE 2024'!$A:$A,A64)/HYPOTHESES!$C$53),IF(C64="RI",IF(HYPOTHESES!$C$54=0,0,HYPOTHESES!E$54*SUMIFS('BALANCE 2024'!$H:$H,'BALANCE 2024'!$A:$A,A64)/HYPOTHESES!$C$54),IF(C64="RJ",IF(HYPOTHESES!$C$55=0,0,HYPOTHESES!E$55*SUMIFS('BALANCE 2024'!$H:$H,'BALANCE 2024'!$A:$A,A64)/HYPOTHESES!$C$55),IF(C64="RK",IF(HYPOTHESES!$C$56=0,0,HYPOTHESES!E$56*SUMIFS('BALANCE 2024'!$H:$H,'BALANCE 2024'!$A:$A,A64)/HYPOTHESES!$C$56),0)))))),MAX(0,D64-E64)),0)</f>
        <v>4117795</v>
      </c>
      <c r="I64" s="21" t="n">
        <v>0</v>
      </c>
      <c r="J64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4" s="43" t="n">
        <f aca="false">T_BAL_2026[[#This Row],[Clôture Débit]]-T_BAL_2026[[#This Row],[Clôture Crédit]]</f>
        <v>4117795</v>
      </c>
    </row>
    <row r="65" customFormat="false" ht="15" hidden="false" customHeight="false" outlineLevel="0" collapsed="false">
      <c r="A65" s="42" t="n">
        <v>605700</v>
      </c>
      <c r="B65" s="12" t="s">
        <v>358</v>
      </c>
      <c r="C65" s="13" t="s">
        <v>352</v>
      </c>
      <c r="D65" s="15" t="n">
        <f aca="false">IF(LEFT(A65,1)&gt;="6",0,SUMIFS('BALANCE 2025'!$H:$H,'BALANCE 2025'!$A:$A,A65))</f>
        <v>0</v>
      </c>
      <c r="E65" s="15" t="n">
        <f aca="false">IF(LEFT(A65,1)&gt;="6",0,SUMIFS('BALANCE 2025'!$I:$I,'BALANCE 2025'!$A:$A,A65))</f>
        <v>0</v>
      </c>
      <c r="F65" s="21" t="n">
        <f aca="false">MAX(0,(H65-I65)-(D65-E65))</f>
        <v>89414224</v>
      </c>
      <c r="G65" s="21" t="n">
        <f aca="false">MAX(0,(D65-E65)-(H65-I65))</f>
        <v>0</v>
      </c>
      <c r="H65" s="15" t="n">
        <f aca="false">ROUND(IF(LEFT(A65,1)&gt;="6",IF(C65="RE",IF(HYPOTHESES!$C$51=0,0,HYPOTHESES!E$51*SUMIFS('BALANCE 2024'!$H:$H,'BALANCE 2024'!$A:$A,A65)/HYPOTHESES!$C$51),IF(C65="RG",IF(HYPOTHESES!$C$52=0,0,HYPOTHESES!E$52*SUMIFS('BALANCE 2024'!$H:$H,'BALANCE 2024'!$A:$A,A65)/HYPOTHESES!$C$52),IF(C65="RH",IF(HYPOTHESES!$C$53=0,0,HYPOTHESES!E$53*SUMIFS('BALANCE 2024'!$H:$H,'BALANCE 2024'!$A:$A,A65)/HYPOTHESES!$C$53),IF(C65="RI",IF(HYPOTHESES!$C$54=0,0,HYPOTHESES!E$54*SUMIFS('BALANCE 2024'!$H:$H,'BALANCE 2024'!$A:$A,A65)/HYPOTHESES!$C$54),IF(C65="RJ",IF(HYPOTHESES!$C$55=0,0,HYPOTHESES!E$55*SUMIFS('BALANCE 2024'!$H:$H,'BALANCE 2024'!$A:$A,A65)/HYPOTHESES!$C$55),IF(C65="RK",IF(HYPOTHESES!$C$56=0,0,HYPOTHESES!E$56*SUMIFS('BALANCE 2024'!$H:$H,'BALANCE 2024'!$A:$A,A65)/HYPOTHESES!$C$56),0)))))),MAX(0,D65-E65)),0)</f>
        <v>89414224</v>
      </c>
      <c r="I65" s="21" t="n">
        <v>0</v>
      </c>
      <c r="J65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5" s="43" t="n">
        <f aca="false">T_BAL_2026[[#This Row],[Clôture Débit]]-T_BAL_2026[[#This Row],[Clôture Crédit]]</f>
        <v>89414224</v>
      </c>
    </row>
    <row r="66" customFormat="false" ht="15" hidden="false" customHeight="false" outlineLevel="0" collapsed="false">
      <c r="A66" s="42" t="n">
        <v>605800</v>
      </c>
      <c r="B66" s="12" t="s">
        <v>359</v>
      </c>
      <c r="C66" s="13" t="s">
        <v>352</v>
      </c>
      <c r="D66" s="15" t="n">
        <f aca="false">IF(LEFT(A66,1)&gt;="6",0,SUMIFS('BALANCE 2025'!$H:$H,'BALANCE 2025'!$A:$A,A66))</f>
        <v>0</v>
      </c>
      <c r="E66" s="15" t="n">
        <f aca="false">IF(LEFT(A66,1)&gt;="6",0,SUMIFS('BALANCE 2025'!$I:$I,'BALANCE 2025'!$A:$A,A66))</f>
        <v>0</v>
      </c>
      <c r="F66" s="21" t="n">
        <f aca="false">MAX(0,(H66-I66)-(D66-E66))</f>
        <v>134121337</v>
      </c>
      <c r="G66" s="21" t="n">
        <f aca="false">MAX(0,(D66-E66)-(H66-I66))</f>
        <v>0</v>
      </c>
      <c r="H66" s="15" t="n">
        <f aca="false">ROUND(IF(HYPOTHESES!$C$51=0,0,HYPOTHESES!E$51-SUMPRODUCT((T_BAL_2026[Poste]="RE")*(T_BAL_2026[Compte]&lt;&gt;605800)*ROUND(HYPOTHESES!E$51*SUMIFS('BALANCE 2024'!$H:$H,'BALANCE 2024'!$A:$A,T_BAL_2026[Compte])/HYPOTHESES!$C$51,0))),0)</f>
        <v>134121337</v>
      </c>
      <c r="I66" s="21" t="n">
        <v>0</v>
      </c>
      <c r="J66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6" s="43" t="n">
        <f aca="false">T_BAL_2026[[#This Row],[Clôture Débit]]-T_BAL_2026[[#This Row],[Clôture Crédit]]</f>
        <v>134121337</v>
      </c>
    </row>
    <row r="67" customFormat="false" ht="15" hidden="false" customHeight="false" outlineLevel="0" collapsed="false">
      <c r="A67" s="42" t="n">
        <v>616000</v>
      </c>
      <c r="B67" s="12" t="s">
        <v>360</v>
      </c>
      <c r="C67" s="13" t="s">
        <v>361</v>
      </c>
      <c r="D67" s="15" t="n">
        <f aca="false">IF(LEFT(A67,1)&gt;="6",0,SUMIFS('BALANCE 2025'!$H:$H,'BALANCE 2025'!$A:$A,A67))</f>
        <v>0</v>
      </c>
      <c r="E67" s="15" t="n">
        <f aca="false">IF(LEFT(A67,1)&gt;="6",0,SUMIFS('BALANCE 2025'!$I:$I,'BALANCE 2025'!$A:$A,A67))</f>
        <v>0</v>
      </c>
      <c r="F67" s="21" t="n">
        <f aca="false">MAX(0,(H67-I67)-(D67-E67))</f>
        <v>104548</v>
      </c>
      <c r="G67" s="21" t="n">
        <f aca="false">MAX(0,(D67-E67)-(H67-I67))</f>
        <v>0</v>
      </c>
      <c r="H67" s="15" t="n">
        <f aca="false">ROUND(IF(LEFT(A67,1)&gt;="6",IF(C67="RE",IF(HYPOTHESES!$C$51=0,0,HYPOTHESES!E$51*SUMIFS('BALANCE 2024'!$H:$H,'BALANCE 2024'!$A:$A,A67)/HYPOTHESES!$C$51),IF(C67="RG",IF(HYPOTHESES!$C$52=0,0,HYPOTHESES!E$52*SUMIFS('BALANCE 2024'!$H:$H,'BALANCE 2024'!$A:$A,A67)/HYPOTHESES!$C$52),IF(C67="RH",IF(HYPOTHESES!$C$53=0,0,HYPOTHESES!E$53*SUMIFS('BALANCE 2024'!$H:$H,'BALANCE 2024'!$A:$A,A67)/HYPOTHESES!$C$53),IF(C67="RI",IF(HYPOTHESES!$C$54=0,0,HYPOTHESES!E$54*SUMIFS('BALANCE 2024'!$H:$H,'BALANCE 2024'!$A:$A,A67)/HYPOTHESES!$C$54),IF(C67="RJ",IF(HYPOTHESES!$C$55=0,0,HYPOTHESES!E$55*SUMIFS('BALANCE 2024'!$H:$H,'BALANCE 2024'!$A:$A,A67)/HYPOTHESES!$C$55),IF(C67="RK",IF(HYPOTHESES!$C$56=0,0,HYPOTHESES!E$56*SUMIFS('BALANCE 2024'!$H:$H,'BALANCE 2024'!$A:$A,A67)/HYPOTHESES!$C$56),0)))))),MAX(0,D67-E67)),0)</f>
        <v>104548</v>
      </c>
      <c r="I67" s="21" t="n">
        <v>0</v>
      </c>
      <c r="J67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7" s="43" t="n">
        <f aca="false">T_BAL_2026[[#This Row],[Clôture Débit]]-T_BAL_2026[[#This Row],[Clôture Crédit]]</f>
        <v>104548</v>
      </c>
    </row>
    <row r="68" customFormat="false" ht="15" hidden="false" customHeight="false" outlineLevel="0" collapsed="false">
      <c r="A68" s="42" t="n">
        <v>618200</v>
      </c>
      <c r="B68" s="12" t="s">
        <v>362</v>
      </c>
      <c r="C68" s="13" t="s">
        <v>361</v>
      </c>
      <c r="D68" s="15" t="n">
        <f aca="false">IF(LEFT(A68,1)&gt;="6",0,SUMIFS('BALANCE 2025'!$H:$H,'BALANCE 2025'!$A:$A,A68))</f>
        <v>0</v>
      </c>
      <c r="E68" s="15" t="n">
        <f aca="false">IF(LEFT(A68,1)&gt;="6",0,SUMIFS('BALANCE 2025'!$I:$I,'BALANCE 2025'!$A:$A,A68))</f>
        <v>0</v>
      </c>
      <c r="F68" s="21" t="n">
        <f aca="false">MAX(0,(H68-I68)-(D68-E68))</f>
        <v>1744538</v>
      </c>
      <c r="G68" s="21" t="n">
        <f aca="false">MAX(0,(D68-E68)-(H68-I68))</f>
        <v>0</v>
      </c>
      <c r="H68" s="15" t="n">
        <f aca="false">ROUND(IF(LEFT(A68,1)&gt;="6",IF(C68="RE",IF(HYPOTHESES!$C$51=0,0,HYPOTHESES!E$51*SUMIFS('BALANCE 2024'!$H:$H,'BALANCE 2024'!$A:$A,A68)/HYPOTHESES!$C$51),IF(C68="RG",IF(HYPOTHESES!$C$52=0,0,HYPOTHESES!E$52*SUMIFS('BALANCE 2024'!$H:$H,'BALANCE 2024'!$A:$A,A68)/HYPOTHESES!$C$52),IF(C68="RH",IF(HYPOTHESES!$C$53=0,0,HYPOTHESES!E$53*SUMIFS('BALANCE 2024'!$H:$H,'BALANCE 2024'!$A:$A,A68)/HYPOTHESES!$C$53),IF(C68="RI",IF(HYPOTHESES!$C$54=0,0,HYPOTHESES!E$54*SUMIFS('BALANCE 2024'!$H:$H,'BALANCE 2024'!$A:$A,A68)/HYPOTHESES!$C$54),IF(C68="RJ",IF(HYPOTHESES!$C$55=0,0,HYPOTHESES!E$55*SUMIFS('BALANCE 2024'!$H:$H,'BALANCE 2024'!$A:$A,A68)/HYPOTHESES!$C$55),IF(C68="RK",IF(HYPOTHESES!$C$56=0,0,HYPOTHESES!E$56*SUMIFS('BALANCE 2024'!$H:$H,'BALANCE 2024'!$A:$A,A68)/HYPOTHESES!$C$56),0)))))),MAX(0,D68-E68)),0)</f>
        <v>1744538</v>
      </c>
      <c r="I68" s="21" t="n">
        <v>0</v>
      </c>
      <c r="J68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8" s="43" t="n">
        <f aca="false">T_BAL_2026[[#This Row],[Clôture Débit]]-T_BAL_2026[[#This Row],[Clôture Crédit]]</f>
        <v>1744538</v>
      </c>
    </row>
    <row r="69" customFormat="false" ht="15" hidden="false" customHeight="false" outlineLevel="0" collapsed="false">
      <c r="A69" s="42" t="n">
        <v>618300</v>
      </c>
      <c r="B69" s="12" t="s">
        <v>363</v>
      </c>
      <c r="C69" s="13" t="s">
        <v>361</v>
      </c>
      <c r="D69" s="15" t="n">
        <f aca="false">IF(LEFT(A69,1)&gt;="6",0,SUMIFS('BALANCE 2025'!$H:$H,'BALANCE 2025'!$A:$A,A69))</f>
        <v>0</v>
      </c>
      <c r="E69" s="15" t="n">
        <f aca="false">IF(LEFT(A69,1)&gt;="6",0,SUMIFS('BALANCE 2025'!$I:$I,'BALANCE 2025'!$A:$A,A69))</f>
        <v>0</v>
      </c>
      <c r="F69" s="21" t="n">
        <f aca="false">MAX(0,(H69-I69)-(D69-E69))</f>
        <v>2403973</v>
      </c>
      <c r="G69" s="21" t="n">
        <f aca="false">MAX(0,(D69-E69)-(H69-I69))</f>
        <v>0</v>
      </c>
      <c r="H69" s="15" t="n">
        <f aca="false">ROUND(IF(HYPOTHESES!$C$52=0,0,HYPOTHESES!E$52-SUMPRODUCT((T_BAL_2026[Poste]="RG")*(T_BAL_2026[Compte]&lt;&gt;618300)*ROUND(HYPOTHESES!E$52*SUMIFS('BALANCE 2024'!$H:$H,'BALANCE 2024'!$A:$A,T_BAL_2026[Compte])/HYPOTHESES!$C$52,0))),0)</f>
        <v>2403973</v>
      </c>
      <c r="I69" s="21" t="n">
        <v>0</v>
      </c>
      <c r="J69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9" s="43" t="n">
        <f aca="false">T_BAL_2026[[#This Row],[Clôture Débit]]-T_BAL_2026[[#This Row],[Clôture Crédit]]</f>
        <v>2403973</v>
      </c>
    </row>
    <row r="70" customFormat="false" ht="15" hidden="false" customHeight="false" outlineLevel="0" collapsed="false">
      <c r="A70" s="42" t="n">
        <v>622200</v>
      </c>
      <c r="B70" s="12" t="s">
        <v>364</v>
      </c>
      <c r="C70" s="13" t="s">
        <v>365</v>
      </c>
      <c r="D70" s="15" t="n">
        <f aca="false">IF(LEFT(A70,1)&gt;="6",0,SUMIFS('BALANCE 2025'!$H:$H,'BALANCE 2025'!$A:$A,A70))</f>
        <v>0</v>
      </c>
      <c r="E70" s="15" t="n">
        <f aca="false">IF(LEFT(A70,1)&gt;="6",0,SUMIFS('BALANCE 2025'!$I:$I,'BALANCE 2025'!$A:$A,A70))</f>
        <v>0</v>
      </c>
      <c r="F70" s="21" t="n">
        <f aca="false">MAX(0,(H70-I70)-(D70-E70))</f>
        <v>18689049</v>
      </c>
      <c r="G70" s="21" t="n">
        <f aca="false">MAX(0,(D70-E70)-(H70-I70))</f>
        <v>0</v>
      </c>
      <c r="H70" s="15" t="n">
        <f aca="false">ROUND(IF(LEFT(A70,1)&gt;="6",IF(C70="RE",IF(HYPOTHESES!$C$51=0,0,HYPOTHESES!E$51*SUMIFS('BALANCE 2024'!$H:$H,'BALANCE 2024'!$A:$A,A70)/HYPOTHESES!$C$51),IF(C70="RG",IF(HYPOTHESES!$C$52=0,0,HYPOTHESES!E$52*SUMIFS('BALANCE 2024'!$H:$H,'BALANCE 2024'!$A:$A,A70)/HYPOTHESES!$C$52),IF(C70="RH",IF(HYPOTHESES!$C$53=0,0,HYPOTHESES!E$53*SUMIFS('BALANCE 2024'!$H:$H,'BALANCE 2024'!$A:$A,A70)/HYPOTHESES!$C$53),IF(C70="RI",IF(HYPOTHESES!$C$54=0,0,HYPOTHESES!E$54*SUMIFS('BALANCE 2024'!$H:$H,'BALANCE 2024'!$A:$A,A70)/HYPOTHESES!$C$54),IF(C70="RJ",IF(HYPOTHESES!$C$55=0,0,HYPOTHESES!E$55*SUMIFS('BALANCE 2024'!$H:$H,'BALANCE 2024'!$A:$A,A70)/HYPOTHESES!$C$55),IF(C70="RK",IF(HYPOTHESES!$C$56=0,0,HYPOTHESES!E$56*SUMIFS('BALANCE 2024'!$H:$H,'BALANCE 2024'!$A:$A,A70)/HYPOTHESES!$C$56),0)))))),MAX(0,D70-E70)),0)</f>
        <v>18689049</v>
      </c>
      <c r="I70" s="21" t="n">
        <v>0</v>
      </c>
      <c r="J70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0" s="43" t="n">
        <f aca="false">T_BAL_2026[[#This Row],[Clôture Débit]]-T_BAL_2026[[#This Row],[Clôture Crédit]]</f>
        <v>18689049</v>
      </c>
    </row>
    <row r="71" customFormat="false" ht="15" hidden="false" customHeight="false" outlineLevel="0" collapsed="false">
      <c r="A71" s="42" t="n">
        <v>624200</v>
      </c>
      <c r="B71" s="12" t="s">
        <v>366</v>
      </c>
      <c r="C71" s="13" t="s">
        <v>365</v>
      </c>
      <c r="D71" s="15" t="n">
        <f aca="false">IF(LEFT(A71,1)&gt;="6",0,SUMIFS('BALANCE 2025'!$H:$H,'BALANCE 2025'!$A:$A,A71))</f>
        <v>0</v>
      </c>
      <c r="E71" s="15" t="n">
        <f aca="false">IF(LEFT(A71,1)&gt;="6",0,SUMIFS('BALANCE 2025'!$I:$I,'BALANCE 2025'!$A:$A,A71))</f>
        <v>0</v>
      </c>
      <c r="F71" s="21" t="n">
        <f aca="false">MAX(0,(H71-I71)-(D71-E71))</f>
        <v>38426632</v>
      </c>
      <c r="G71" s="21" t="n">
        <f aca="false">MAX(0,(D71-E71)-(H71-I71))</f>
        <v>0</v>
      </c>
      <c r="H71" s="15" t="n">
        <f aca="false">ROUND(IF(HYPOTHESES!$C$53=0,0,HYPOTHESES!E$53-SUMPRODUCT((T_BAL_2026[Poste]="RH")*(T_BAL_2026[Compte]&lt;&gt;624200)*ROUND(HYPOTHESES!E$53*SUMIFS('BALANCE 2024'!$H:$H,'BALANCE 2024'!$A:$A,T_BAL_2026[Compte])/HYPOTHESES!$C$53,0))),0)</f>
        <v>38426632</v>
      </c>
      <c r="I71" s="21" t="n">
        <v>0</v>
      </c>
      <c r="J71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1" s="43" t="n">
        <f aca="false">T_BAL_2026[[#This Row],[Clôture Débit]]-T_BAL_2026[[#This Row],[Clôture Crédit]]</f>
        <v>38426632</v>
      </c>
    </row>
    <row r="72" customFormat="false" ht="15" hidden="false" customHeight="false" outlineLevel="0" collapsed="false">
      <c r="A72" s="42" t="n">
        <v>625800</v>
      </c>
      <c r="B72" s="12" t="s">
        <v>367</v>
      </c>
      <c r="C72" s="13" t="s">
        <v>365</v>
      </c>
      <c r="D72" s="15" t="n">
        <f aca="false">IF(LEFT(A72,1)&gt;="6",0,SUMIFS('BALANCE 2025'!$H:$H,'BALANCE 2025'!$A:$A,A72))</f>
        <v>0</v>
      </c>
      <c r="E72" s="15" t="n">
        <f aca="false">IF(LEFT(A72,1)&gt;="6",0,SUMIFS('BALANCE 2025'!$I:$I,'BALANCE 2025'!$A:$A,A72))</f>
        <v>0</v>
      </c>
      <c r="F72" s="21" t="n">
        <f aca="false">MAX(0,(H72-I72)-(D72-E72))</f>
        <v>5156343</v>
      </c>
      <c r="G72" s="21" t="n">
        <f aca="false">MAX(0,(D72-E72)-(H72-I72))</f>
        <v>0</v>
      </c>
      <c r="H72" s="15" t="n">
        <f aca="false">ROUND(IF(LEFT(A72,1)&gt;="6",IF(C72="RE",IF(HYPOTHESES!$C$51=0,0,HYPOTHESES!E$51*SUMIFS('BALANCE 2024'!$H:$H,'BALANCE 2024'!$A:$A,A72)/HYPOTHESES!$C$51),IF(C72="RG",IF(HYPOTHESES!$C$52=0,0,HYPOTHESES!E$52*SUMIFS('BALANCE 2024'!$H:$H,'BALANCE 2024'!$A:$A,A72)/HYPOTHESES!$C$52),IF(C72="RH",IF(HYPOTHESES!$C$53=0,0,HYPOTHESES!E$53*SUMIFS('BALANCE 2024'!$H:$H,'BALANCE 2024'!$A:$A,A72)/HYPOTHESES!$C$53),IF(C72="RI",IF(HYPOTHESES!$C$54=0,0,HYPOTHESES!E$54*SUMIFS('BALANCE 2024'!$H:$H,'BALANCE 2024'!$A:$A,A72)/HYPOTHESES!$C$54),IF(C72="RJ",IF(HYPOTHESES!$C$55=0,0,HYPOTHESES!E$55*SUMIFS('BALANCE 2024'!$H:$H,'BALANCE 2024'!$A:$A,A72)/HYPOTHESES!$C$55),IF(C72="RK",IF(HYPOTHESES!$C$56=0,0,HYPOTHESES!E$56*SUMIFS('BALANCE 2024'!$H:$H,'BALANCE 2024'!$A:$A,A72)/HYPOTHESES!$C$56),0)))))),MAX(0,D72-E72)),0)</f>
        <v>5156343</v>
      </c>
      <c r="I72" s="21" t="n">
        <v>0</v>
      </c>
      <c r="J72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2" s="43" t="n">
        <f aca="false">T_BAL_2026[[#This Row],[Clôture Débit]]-T_BAL_2026[[#This Row],[Clôture Crédit]]</f>
        <v>5156343</v>
      </c>
    </row>
    <row r="73" customFormat="false" ht="15" hidden="false" customHeight="false" outlineLevel="0" collapsed="false">
      <c r="A73" s="42" t="n">
        <v>626600</v>
      </c>
      <c r="B73" s="12" t="s">
        <v>368</v>
      </c>
      <c r="C73" s="13" t="s">
        <v>365</v>
      </c>
      <c r="D73" s="15" t="n">
        <f aca="false">IF(LEFT(A73,1)&gt;="6",0,SUMIFS('BALANCE 2025'!$H:$H,'BALANCE 2025'!$A:$A,A73))</f>
        <v>0</v>
      </c>
      <c r="E73" s="15" t="n">
        <f aca="false">IF(LEFT(A73,1)&gt;="6",0,SUMIFS('BALANCE 2025'!$I:$I,'BALANCE 2025'!$A:$A,A73))</f>
        <v>0</v>
      </c>
      <c r="F73" s="21" t="n">
        <f aca="false">MAX(0,(H73-I73)-(D73-E73))</f>
        <v>35951</v>
      </c>
      <c r="G73" s="21" t="n">
        <f aca="false">MAX(0,(D73-E73)-(H73-I73))</f>
        <v>0</v>
      </c>
      <c r="H73" s="15" t="n">
        <f aca="false">ROUND(IF(LEFT(A73,1)&gt;="6",IF(C73="RE",IF(HYPOTHESES!$C$51=0,0,HYPOTHESES!E$51*SUMIFS('BALANCE 2024'!$H:$H,'BALANCE 2024'!$A:$A,A73)/HYPOTHESES!$C$51),IF(C73="RG",IF(HYPOTHESES!$C$52=0,0,HYPOTHESES!E$52*SUMIFS('BALANCE 2024'!$H:$H,'BALANCE 2024'!$A:$A,A73)/HYPOTHESES!$C$52),IF(C73="RH",IF(HYPOTHESES!$C$53=0,0,HYPOTHESES!E$53*SUMIFS('BALANCE 2024'!$H:$H,'BALANCE 2024'!$A:$A,A73)/HYPOTHESES!$C$53),IF(C73="RI",IF(HYPOTHESES!$C$54=0,0,HYPOTHESES!E$54*SUMIFS('BALANCE 2024'!$H:$H,'BALANCE 2024'!$A:$A,A73)/HYPOTHESES!$C$54),IF(C73="RJ",IF(HYPOTHESES!$C$55=0,0,HYPOTHESES!E$55*SUMIFS('BALANCE 2024'!$H:$H,'BALANCE 2024'!$A:$A,A73)/HYPOTHESES!$C$55),IF(C73="RK",IF(HYPOTHESES!$C$56=0,0,HYPOTHESES!E$56*SUMIFS('BALANCE 2024'!$H:$H,'BALANCE 2024'!$A:$A,A73)/HYPOTHESES!$C$56),0)))))),MAX(0,D73-E73)),0)</f>
        <v>35951</v>
      </c>
      <c r="I73" s="21" t="n">
        <v>0</v>
      </c>
      <c r="J73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3" s="43" t="n">
        <f aca="false">T_BAL_2026[[#This Row],[Clôture Débit]]-T_BAL_2026[[#This Row],[Clôture Crédit]]</f>
        <v>35951</v>
      </c>
    </row>
    <row r="74" customFormat="false" ht="15" hidden="false" customHeight="false" outlineLevel="0" collapsed="false">
      <c r="A74" s="42" t="n">
        <v>627700</v>
      </c>
      <c r="B74" s="12" t="s">
        <v>369</v>
      </c>
      <c r="C74" s="13" t="s">
        <v>365</v>
      </c>
      <c r="D74" s="15" t="n">
        <f aca="false">IF(LEFT(A74,1)&gt;="6",0,SUMIFS('BALANCE 2025'!$H:$H,'BALANCE 2025'!$A:$A,A74))</f>
        <v>0</v>
      </c>
      <c r="E74" s="15" t="n">
        <f aca="false">IF(LEFT(A74,1)&gt;="6",0,SUMIFS('BALANCE 2025'!$I:$I,'BALANCE 2025'!$A:$A,A74))</f>
        <v>0</v>
      </c>
      <c r="F74" s="21" t="n">
        <f aca="false">MAX(0,(H74-I74)-(D74-E74))</f>
        <v>65723</v>
      </c>
      <c r="G74" s="21" t="n">
        <f aca="false">MAX(0,(D74-E74)-(H74-I74))</f>
        <v>0</v>
      </c>
      <c r="H74" s="15" t="n">
        <f aca="false">ROUND(IF(LEFT(A74,1)&gt;="6",IF(C74="RE",IF(HYPOTHESES!$C$51=0,0,HYPOTHESES!E$51*SUMIFS('BALANCE 2024'!$H:$H,'BALANCE 2024'!$A:$A,A74)/HYPOTHESES!$C$51),IF(C74="RG",IF(HYPOTHESES!$C$52=0,0,HYPOTHESES!E$52*SUMIFS('BALANCE 2024'!$H:$H,'BALANCE 2024'!$A:$A,A74)/HYPOTHESES!$C$52),IF(C74="RH",IF(HYPOTHESES!$C$53=0,0,HYPOTHESES!E$53*SUMIFS('BALANCE 2024'!$H:$H,'BALANCE 2024'!$A:$A,A74)/HYPOTHESES!$C$53),IF(C74="RI",IF(HYPOTHESES!$C$54=0,0,HYPOTHESES!E$54*SUMIFS('BALANCE 2024'!$H:$H,'BALANCE 2024'!$A:$A,A74)/HYPOTHESES!$C$54),IF(C74="RJ",IF(HYPOTHESES!$C$55=0,0,HYPOTHESES!E$55*SUMIFS('BALANCE 2024'!$H:$H,'BALANCE 2024'!$A:$A,A74)/HYPOTHESES!$C$55),IF(C74="RK",IF(HYPOTHESES!$C$56=0,0,HYPOTHESES!E$56*SUMIFS('BALANCE 2024'!$H:$H,'BALANCE 2024'!$A:$A,A74)/HYPOTHESES!$C$56),0)))))),MAX(0,D74-E74)),0)</f>
        <v>65723</v>
      </c>
      <c r="I74" s="21" t="n">
        <v>0</v>
      </c>
      <c r="J74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4" s="43" t="n">
        <f aca="false">T_BAL_2026[[#This Row],[Clôture Débit]]-T_BAL_2026[[#This Row],[Clôture Crédit]]</f>
        <v>65723</v>
      </c>
    </row>
    <row r="75" customFormat="false" ht="15" hidden="false" customHeight="false" outlineLevel="0" collapsed="false">
      <c r="A75" s="42" t="n">
        <v>628800</v>
      </c>
      <c r="B75" s="12" t="s">
        <v>370</v>
      </c>
      <c r="C75" s="13" t="s">
        <v>365</v>
      </c>
      <c r="D75" s="15" t="n">
        <f aca="false">IF(LEFT(A75,1)&gt;="6",0,SUMIFS('BALANCE 2025'!$H:$H,'BALANCE 2025'!$A:$A,A75))</f>
        <v>0</v>
      </c>
      <c r="E75" s="15" t="n">
        <f aca="false">IF(LEFT(A75,1)&gt;="6",0,SUMIFS('BALANCE 2025'!$I:$I,'BALANCE 2025'!$A:$A,A75))</f>
        <v>0</v>
      </c>
      <c r="F75" s="21" t="n">
        <f aca="false">MAX(0,(H75-I75)-(D75-E75))</f>
        <v>892086</v>
      </c>
      <c r="G75" s="21" t="n">
        <f aca="false">MAX(0,(D75-E75)-(H75-I75))</f>
        <v>0</v>
      </c>
      <c r="H75" s="15" t="n">
        <f aca="false">ROUND(IF(LEFT(A75,1)&gt;="6",IF(C75="RE",IF(HYPOTHESES!$C$51=0,0,HYPOTHESES!E$51*SUMIFS('BALANCE 2024'!$H:$H,'BALANCE 2024'!$A:$A,A75)/HYPOTHESES!$C$51),IF(C75="RG",IF(HYPOTHESES!$C$52=0,0,HYPOTHESES!E$52*SUMIFS('BALANCE 2024'!$H:$H,'BALANCE 2024'!$A:$A,A75)/HYPOTHESES!$C$52),IF(C75="RH",IF(HYPOTHESES!$C$53=0,0,HYPOTHESES!E$53*SUMIFS('BALANCE 2024'!$H:$H,'BALANCE 2024'!$A:$A,A75)/HYPOTHESES!$C$53),IF(C75="RI",IF(HYPOTHESES!$C$54=0,0,HYPOTHESES!E$54*SUMIFS('BALANCE 2024'!$H:$H,'BALANCE 2024'!$A:$A,A75)/HYPOTHESES!$C$54),IF(C75="RJ",IF(HYPOTHESES!$C$55=0,0,HYPOTHESES!E$55*SUMIFS('BALANCE 2024'!$H:$H,'BALANCE 2024'!$A:$A,A75)/HYPOTHESES!$C$55),IF(C75="RK",IF(HYPOTHESES!$C$56=0,0,HYPOTHESES!E$56*SUMIFS('BALANCE 2024'!$H:$H,'BALANCE 2024'!$A:$A,A75)/HYPOTHESES!$C$56),0)))))),MAX(0,D75-E75)),0)</f>
        <v>892086</v>
      </c>
      <c r="I75" s="21" t="n">
        <v>0</v>
      </c>
      <c r="J75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5" s="43" t="n">
        <f aca="false">T_BAL_2026[[#This Row],[Clôture Débit]]-T_BAL_2026[[#This Row],[Clôture Crédit]]</f>
        <v>892086</v>
      </c>
    </row>
    <row r="76" customFormat="false" ht="15" hidden="false" customHeight="false" outlineLevel="0" collapsed="false">
      <c r="A76" s="42" t="n">
        <v>631800</v>
      </c>
      <c r="B76" s="12" t="s">
        <v>371</v>
      </c>
      <c r="C76" s="13" t="s">
        <v>365</v>
      </c>
      <c r="D76" s="15" t="n">
        <f aca="false">IF(LEFT(A76,1)&gt;="6",0,SUMIFS('BALANCE 2025'!$H:$H,'BALANCE 2025'!$A:$A,A76))</f>
        <v>0</v>
      </c>
      <c r="E76" s="15" t="n">
        <f aca="false">IF(LEFT(A76,1)&gt;="6",0,SUMIFS('BALANCE 2025'!$I:$I,'BALANCE 2025'!$A:$A,A76))</f>
        <v>0</v>
      </c>
      <c r="F76" s="21" t="n">
        <f aca="false">MAX(0,(H76-I76)-(D76-E76))</f>
        <v>25379403</v>
      </c>
      <c r="G76" s="21" t="n">
        <f aca="false">MAX(0,(D76-E76)-(H76-I76))</f>
        <v>0</v>
      </c>
      <c r="H76" s="15" t="n">
        <f aca="false">ROUND(IF(LEFT(A76,1)&gt;="6",IF(C76="RE",IF(HYPOTHESES!$C$51=0,0,HYPOTHESES!E$51*SUMIFS('BALANCE 2024'!$H:$H,'BALANCE 2024'!$A:$A,A76)/HYPOTHESES!$C$51),IF(C76="RG",IF(HYPOTHESES!$C$52=0,0,HYPOTHESES!E$52*SUMIFS('BALANCE 2024'!$H:$H,'BALANCE 2024'!$A:$A,A76)/HYPOTHESES!$C$52),IF(C76="RH",IF(HYPOTHESES!$C$53=0,0,HYPOTHESES!E$53*SUMIFS('BALANCE 2024'!$H:$H,'BALANCE 2024'!$A:$A,A76)/HYPOTHESES!$C$53),IF(C76="RI",IF(HYPOTHESES!$C$54=0,0,HYPOTHESES!E$54*SUMIFS('BALANCE 2024'!$H:$H,'BALANCE 2024'!$A:$A,A76)/HYPOTHESES!$C$54),IF(C76="RJ",IF(HYPOTHESES!$C$55=0,0,HYPOTHESES!E$55*SUMIFS('BALANCE 2024'!$H:$H,'BALANCE 2024'!$A:$A,A76)/HYPOTHESES!$C$55),IF(C76="RK",IF(HYPOTHESES!$C$56=0,0,HYPOTHESES!E$56*SUMIFS('BALANCE 2024'!$H:$H,'BALANCE 2024'!$A:$A,A76)/HYPOTHESES!$C$56),0)))))),MAX(0,D76-E76)),0)</f>
        <v>25379403</v>
      </c>
      <c r="I76" s="21" t="n">
        <v>0</v>
      </c>
      <c r="J76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6" s="43" t="n">
        <f aca="false">T_BAL_2026[[#This Row],[Clôture Débit]]-T_BAL_2026[[#This Row],[Clôture Crédit]]</f>
        <v>25379403</v>
      </c>
    </row>
    <row r="77" customFormat="false" ht="15" hidden="false" customHeight="false" outlineLevel="0" collapsed="false">
      <c r="A77" s="42" t="n">
        <v>632800</v>
      </c>
      <c r="B77" s="12" t="s">
        <v>372</v>
      </c>
      <c r="C77" s="13" t="s">
        <v>365</v>
      </c>
      <c r="D77" s="15" t="n">
        <f aca="false">IF(LEFT(A77,1)&gt;="6",0,SUMIFS('BALANCE 2025'!$H:$H,'BALANCE 2025'!$A:$A,A77))</f>
        <v>0</v>
      </c>
      <c r="E77" s="15" t="n">
        <f aca="false">IF(LEFT(A77,1)&gt;="6",0,SUMIFS('BALANCE 2025'!$I:$I,'BALANCE 2025'!$A:$A,A77))</f>
        <v>0</v>
      </c>
      <c r="F77" s="21" t="n">
        <f aca="false">MAX(0,(H77-I77)-(D77-E77))</f>
        <v>5339905</v>
      </c>
      <c r="G77" s="21" t="n">
        <f aca="false">MAX(0,(D77-E77)-(H77-I77))</f>
        <v>0</v>
      </c>
      <c r="H77" s="15" t="n">
        <f aca="false">ROUND(IF(LEFT(A77,1)&gt;="6",IF(C77="RE",IF(HYPOTHESES!$C$51=0,0,HYPOTHESES!E$51*SUMIFS('BALANCE 2024'!$H:$H,'BALANCE 2024'!$A:$A,A77)/HYPOTHESES!$C$51),IF(C77="RG",IF(HYPOTHESES!$C$52=0,0,HYPOTHESES!E$52*SUMIFS('BALANCE 2024'!$H:$H,'BALANCE 2024'!$A:$A,A77)/HYPOTHESES!$C$52),IF(C77="RH",IF(HYPOTHESES!$C$53=0,0,HYPOTHESES!E$53*SUMIFS('BALANCE 2024'!$H:$H,'BALANCE 2024'!$A:$A,A77)/HYPOTHESES!$C$53),IF(C77="RI",IF(HYPOTHESES!$C$54=0,0,HYPOTHESES!E$54*SUMIFS('BALANCE 2024'!$H:$H,'BALANCE 2024'!$A:$A,A77)/HYPOTHESES!$C$54),IF(C77="RJ",IF(HYPOTHESES!$C$55=0,0,HYPOTHESES!E$55*SUMIFS('BALANCE 2024'!$H:$H,'BALANCE 2024'!$A:$A,A77)/HYPOTHESES!$C$55),IF(C77="RK",IF(HYPOTHESES!$C$56=0,0,HYPOTHESES!E$56*SUMIFS('BALANCE 2024'!$H:$H,'BALANCE 2024'!$A:$A,A77)/HYPOTHESES!$C$56),0)))))),MAX(0,D77-E77)),0)</f>
        <v>5339905</v>
      </c>
      <c r="I77" s="21" t="n">
        <v>0</v>
      </c>
      <c r="J77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7" s="43" t="n">
        <f aca="false">T_BAL_2026[[#This Row],[Clôture Débit]]-T_BAL_2026[[#This Row],[Clôture Crédit]]</f>
        <v>5339905</v>
      </c>
    </row>
    <row r="78" customFormat="false" ht="15" hidden="false" customHeight="false" outlineLevel="0" collapsed="false">
      <c r="A78" s="42" t="n">
        <v>638800</v>
      </c>
      <c r="B78" s="12" t="s">
        <v>373</v>
      </c>
      <c r="C78" s="13" t="s">
        <v>365</v>
      </c>
      <c r="D78" s="15" t="n">
        <f aca="false">IF(LEFT(A78,1)&gt;="6",0,SUMIFS('BALANCE 2025'!$H:$H,'BALANCE 2025'!$A:$A,A78))</f>
        <v>0</v>
      </c>
      <c r="E78" s="15" t="n">
        <f aca="false">IF(LEFT(A78,1)&gt;="6",0,SUMIFS('BALANCE 2025'!$I:$I,'BALANCE 2025'!$A:$A,A78))</f>
        <v>0</v>
      </c>
      <c r="F78" s="21" t="n">
        <f aca="false">MAX(0,(H78-I78)-(D78-E78))</f>
        <v>25966920</v>
      </c>
      <c r="G78" s="21" t="n">
        <f aca="false">MAX(0,(D78-E78)-(H78-I78))</f>
        <v>0</v>
      </c>
      <c r="H78" s="15" t="n">
        <f aca="false">ROUND(IF(LEFT(A78,1)&gt;="6",IF(C78="RE",IF(HYPOTHESES!$C$51=0,0,HYPOTHESES!E$51*SUMIFS('BALANCE 2024'!$H:$H,'BALANCE 2024'!$A:$A,A78)/HYPOTHESES!$C$51),IF(C78="RG",IF(HYPOTHESES!$C$52=0,0,HYPOTHESES!E$52*SUMIFS('BALANCE 2024'!$H:$H,'BALANCE 2024'!$A:$A,A78)/HYPOTHESES!$C$52),IF(C78="RH",IF(HYPOTHESES!$C$53=0,0,HYPOTHESES!E$53*SUMIFS('BALANCE 2024'!$H:$H,'BALANCE 2024'!$A:$A,A78)/HYPOTHESES!$C$53),IF(C78="RI",IF(HYPOTHESES!$C$54=0,0,HYPOTHESES!E$54*SUMIFS('BALANCE 2024'!$H:$H,'BALANCE 2024'!$A:$A,A78)/HYPOTHESES!$C$54),IF(C78="RJ",IF(HYPOTHESES!$C$55=0,0,HYPOTHESES!E$55*SUMIFS('BALANCE 2024'!$H:$H,'BALANCE 2024'!$A:$A,A78)/HYPOTHESES!$C$55),IF(C78="RK",IF(HYPOTHESES!$C$56=0,0,HYPOTHESES!E$56*SUMIFS('BALANCE 2024'!$H:$H,'BALANCE 2024'!$A:$A,A78)/HYPOTHESES!$C$56),0)))))),MAX(0,D78-E78)),0)</f>
        <v>25966920</v>
      </c>
      <c r="I78" s="21" t="n">
        <v>0</v>
      </c>
      <c r="J78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8" s="43" t="n">
        <f aca="false">T_BAL_2026[[#This Row],[Clôture Débit]]-T_BAL_2026[[#This Row],[Clôture Crédit]]</f>
        <v>25966920</v>
      </c>
    </row>
    <row r="79" customFormat="false" ht="15" hidden="false" customHeight="false" outlineLevel="0" collapsed="false">
      <c r="A79" s="42" t="n">
        <v>641100</v>
      </c>
      <c r="B79" s="12" t="s">
        <v>374</v>
      </c>
      <c r="C79" s="13" t="s">
        <v>375</v>
      </c>
      <c r="D79" s="15" t="n">
        <f aca="false">IF(LEFT(A79,1)&gt;="6",0,SUMIFS('BALANCE 2025'!$H:$H,'BALANCE 2025'!$A:$A,A79))</f>
        <v>0</v>
      </c>
      <c r="E79" s="15" t="n">
        <f aca="false">IF(LEFT(A79,1)&gt;="6",0,SUMIFS('BALANCE 2025'!$I:$I,'BALANCE 2025'!$A:$A,A79))</f>
        <v>0</v>
      </c>
      <c r="F79" s="21" t="n">
        <f aca="false">MAX(0,(H79-I79)-(D79-E79))</f>
        <v>404245</v>
      </c>
      <c r="G79" s="21" t="n">
        <f aca="false">MAX(0,(D79-E79)-(H79-I79))</f>
        <v>0</v>
      </c>
      <c r="H79" s="15" t="n">
        <f aca="false">ROUND(IF(LEFT(A79,1)&gt;="6",IF(C79="RE",IF(HYPOTHESES!$C$51=0,0,HYPOTHESES!E$51*SUMIFS('BALANCE 2024'!$H:$H,'BALANCE 2024'!$A:$A,A79)/HYPOTHESES!$C$51),IF(C79="RG",IF(HYPOTHESES!$C$52=0,0,HYPOTHESES!E$52*SUMIFS('BALANCE 2024'!$H:$H,'BALANCE 2024'!$A:$A,A79)/HYPOTHESES!$C$52),IF(C79="RH",IF(HYPOTHESES!$C$53=0,0,HYPOTHESES!E$53*SUMIFS('BALANCE 2024'!$H:$H,'BALANCE 2024'!$A:$A,A79)/HYPOTHESES!$C$53),IF(C79="RI",IF(HYPOTHESES!$C$54=0,0,HYPOTHESES!E$54*SUMIFS('BALANCE 2024'!$H:$H,'BALANCE 2024'!$A:$A,A79)/HYPOTHESES!$C$54),IF(C79="RJ",IF(HYPOTHESES!$C$55=0,0,HYPOTHESES!E$55*SUMIFS('BALANCE 2024'!$H:$H,'BALANCE 2024'!$A:$A,A79)/HYPOTHESES!$C$55),IF(C79="RK",IF(HYPOTHESES!$C$56=0,0,HYPOTHESES!E$56*SUMIFS('BALANCE 2024'!$H:$H,'BALANCE 2024'!$A:$A,A79)/HYPOTHESES!$C$56),0)))))),MAX(0,D79-E79)),0)</f>
        <v>404245</v>
      </c>
      <c r="I79" s="21" t="n">
        <v>0</v>
      </c>
      <c r="J79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9" s="43" t="n">
        <f aca="false">T_BAL_2026[[#This Row],[Clôture Débit]]-T_BAL_2026[[#This Row],[Clôture Crédit]]</f>
        <v>404245</v>
      </c>
    </row>
    <row r="80" customFormat="false" ht="15" hidden="false" customHeight="false" outlineLevel="0" collapsed="false">
      <c r="A80" s="42" t="n">
        <v>641201</v>
      </c>
      <c r="B80" s="12" t="s">
        <v>376</v>
      </c>
      <c r="C80" s="13" t="s">
        <v>375</v>
      </c>
      <c r="D80" s="15" t="n">
        <f aca="false">IF(LEFT(A80,1)&gt;="6",0,SUMIFS('BALANCE 2025'!$H:$H,'BALANCE 2025'!$A:$A,A80))</f>
        <v>0</v>
      </c>
      <c r="E80" s="15" t="n">
        <f aca="false">IF(LEFT(A80,1)&gt;="6",0,SUMIFS('BALANCE 2025'!$I:$I,'BALANCE 2025'!$A:$A,A80))</f>
        <v>0</v>
      </c>
      <c r="F80" s="21" t="n">
        <f aca="false">MAX(0,(H80-I80)-(D80-E80))</f>
        <v>10168034</v>
      </c>
      <c r="G80" s="21" t="n">
        <f aca="false">MAX(0,(D80-E80)-(H80-I80))</f>
        <v>0</v>
      </c>
      <c r="H80" s="15" t="n">
        <f aca="false">ROUND(IF(HYPOTHESES!$C$54=0,0,HYPOTHESES!E$54-SUMPRODUCT((T_BAL_2026[Poste]="RI")*(T_BAL_2026[Compte]&lt;&gt;641201)*ROUND(HYPOTHESES!E$54*SUMIFS('BALANCE 2024'!$H:$H,'BALANCE 2024'!$A:$A,T_BAL_2026[Compte])/HYPOTHESES!$C$54,0))),0)</f>
        <v>10168034</v>
      </c>
      <c r="I80" s="21" t="n">
        <v>0</v>
      </c>
      <c r="J80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0" s="43" t="n">
        <f aca="false">T_BAL_2026[[#This Row],[Clôture Débit]]-T_BAL_2026[[#This Row],[Clôture Crédit]]</f>
        <v>10168034</v>
      </c>
    </row>
    <row r="81" customFormat="false" ht="15" hidden="false" customHeight="false" outlineLevel="0" collapsed="false">
      <c r="A81" s="42" t="n">
        <v>641202</v>
      </c>
      <c r="B81" s="12" t="s">
        <v>377</v>
      </c>
      <c r="C81" s="13" t="s">
        <v>375</v>
      </c>
      <c r="D81" s="15" t="n">
        <f aca="false">IF(LEFT(A81,1)&gt;="6",0,SUMIFS('BALANCE 2025'!$H:$H,'BALANCE 2025'!$A:$A,A81))</f>
        <v>0</v>
      </c>
      <c r="E81" s="15" t="n">
        <f aca="false">IF(LEFT(A81,1)&gt;="6",0,SUMIFS('BALANCE 2025'!$I:$I,'BALANCE 2025'!$A:$A,A81))</f>
        <v>0</v>
      </c>
      <c r="F81" s="21" t="n">
        <f aca="false">MAX(0,(H81-I81)-(D81-E81))</f>
        <v>1739034</v>
      </c>
      <c r="G81" s="21" t="n">
        <f aca="false">MAX(0,(D81-E81)-(H81-I81))</f>
        <v>0</v>
      </c>
      <c r="H81" s="15" t="n">
        <f aca="false">ROUND(IF(LEFT(A81,1)&gt;="6",IF(C81="RE",IF(HYPOTHESES!$C$51=0,0,HYPOTHESES!E$51*SUMIFS('BALANCE 2024'!$H:$H,'BALANCE 2024'!$A:$A,A81)/HYPOTHESES!$C$51),IF(C81="RG",IF(HYPOTHESES!$C$52=0,0,HYPOTHESES!E$52*SUMIFS('BALANCE 2024'!$H:$H,'BALANCE 2024'!$A:$A,A81)/HYPOTHESES!$C$52),IF(C81="RH",IF(HYPOTHESES!$C$53=0,0,HYPOTHESES!E$53*SUMIFS('BALANCE 2024'!$H:$H,'BALANCE 2024'!$A:$A,A81)/HYPOTHESES!$C$53),IF(C81="RI",IF(HYPOTHESES!$C$54=0,0,HYPOTHESES!E$54*SUMIFS('BALANCE 2024'!$H:$H,'BALANCE 2024'!$A:$A,A81)/HYPOTHESES!$C$54),IF(C81="RJ",IF(HYPOTHESES!$C$55=0,0,HYPOTHESES!E$55*SUMIFS('BALANCE 2024'!$H:$H,'BALANCE 2024'!$A:$A,A81)/HYPOTHESES!$C$55),IF(C81="RK",IF(HYPOTHESES!$C$56=0,0,HYPOTHESES!E$56*SUMIFS('BALANCE 2024'!$H:$H,'BALANCE 2024'!$A:$A,A81)/HYPOTHESES!$C$56),0)))))),MAX(0,D81-E81)),0)</f>
        <v>1739034</v>
      </c>
      <c r="I81" s="21" t="n">
        <v>0</v>
      </c>
      <c r="J81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1" s="43" t="n">
        <f aca="false">T_BAL_2026[[#This Row],[Clôture Débit]]-T_BAL_2026[[#This Row],[Clôture Crédit]]</f>
        <v>1739034</v>
      </c>
    </row>
    <row r="82" customFormat="false" ht="15" hidden="false" customHeight="false" outlineLevel="0" collapsed="false">
      <c r="A82" s="42" t="n">
        <v>641300</v>
      </c>
      <c r="B82" s="12" t="s">
        <v>378</v>
      </c>
      <c r="C82" s="13" t="s">
        <v>375</v>
      </c>
      <c r="D82" s="15" t="n">
        <f aca="false">IF(LEFT(A82,1)&gt;="6",0,SUMIFS('BALANCE 2025'!$H:$H,'BALANCE 2025'!$A:$A,A82))</f>
        <v>0</v>
      </c>
      <c r="E82" s="15" t="n">
        <f aca="false">IF(LEFT(A82,1)&gt;="6",0,SUMIFS('BALANCE 2025'!$I:$I,'BALANCE 2025'!$A:$A,A82))</f>
        <v>0</v>
      </c>
      <c r="F82" s="21" t="n">
        <f aca="false">MAX(0,(H82-I82)-(D82-E82))</f>
        <v>928163</v>
      </c>
      <c r="G82" s="21" t="n">
        <f aca="false">MAX(0,(D82-E82)-(H82-I82))</f>
        <v>0</v>
      </c>
      <c r="H82" s="15" t="n">
        <f aca="false">ROUND(IF(LEFT(A82,1)&gt;="6",IF(C82="RE",IF(HYPOTHESES!$C$51=0,0,HYPOTHESES!E$51*SUMIFS('BALANCE 2024'!$H:$H,'BALANCE 2024'!$A:$A,A82)/HYPOTHESES!$C$51),IF(C82="RG",IF(HYPOTHESES!$C$52=0,0,HYPOTHESES!E$52*SUMIFS('BALANCE 2024'!$H:$H,'BALANCE 2024'!$A:$A,A82)/HYPOTHESES!$C$52),IF(C82="RH",IF(HYPOTHESES!$C$53=0,0,HYPOTHESES!E$53*SUMIFS('BALANCE 2024'!$H:$H,'BALANCE 2024'!$A:$A,A82)/HYPOTHESES!$C$53),IF(C82="RI",IF(HYPOTHESES!$C$54=0,0,HYPOTHESES!E$54*SUMIFS('BALANCE 2024'!$H:$H,'BALANCE 2024'!$A:$A,A82)/HYPOTHESES!$C$54),IF(C82="RJ",IF(HYPOTHESES!$C$55=0,0,HYPOTHESES!E$55*SUMIFS('BALANCE 2024'!$H:$H,'BALANCE 2024'!$A:$A,A82)/HYPOTHESES!$C$55),IF(C82="RK",IF(HYPOTHESES!$C$56=0,0,HYPOTHESES!E$56*SUMIFS('BALANCE 2024'!$H:$H,'BALANCE 2024'!$A:$A,A82)/HYPOTHESES!$C$56),0)))))),MAX(0,D82-E82)),0)</f>
        <v>928163</v>
      </c>
      <c r="I82" s="21" t="n">
        <v>0</v>
      </c>
      <c r="J82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2" s="43" t="n">
        <f aca="false">T_BAL_2026[[#This Row],[Clôture Débit]]-T_BAL_2026[[#This Row],[Clôture Crédit]]</f>
        <v>928163</v>
      </c>
    </row>
    <row r="83" customFormat="false" ht="15" hidden="false" customHeight="false" outlineLevel="0" collapsed="false">
      <c r="A83" s="42" t="n">
        <v>641400</v>
      </c>
      <c r="B83" s="12" t="s">
        <v>379</v>
      </c>
      <c r="C83" s="13" t="s">
        <v>375</v>
      </c>
      <c r="D83" s="15" t="n">
        <f aca="false">IF(LEFT(A83,1)&gt;="6",0,SUMIFS('BALANCE 2025'!$H:$H,'BALANCE 2025'!$A:$A,A83))</f>
        <v>0</v>
      </c>
      <c r="E83" s="15" t="n">
        <f aca="false">IF(LEFT(A83,1)&gt;="6",0,SUMIFS('BALANCE 2025'!$I:$I,'BALANCE 2025'!$A:$A,A83))</f>
        <v>0</v>
      </c>
      <c r="F83" s="21" t="n">
        <f aca="false">MAX(0,(H83-I83)-(D83-E83))</f>
        <v>116856</v>
      </c>
      <c r="G83" s="21" t="n">
        <f aca="false">MAX(0,(D83-E83)-(H83-I83))</f>
        <v>0</v>
      </c>
      <c r="H83" s="15" t="n">
        <f aca="false">ROUND(IF(LEFT(A83,1)&gt;="6",IF(C83="RE",IF(HYPOTHESES!$C$51=0,0,HYPOTHESES!E$51*SUMIFS('BALANCE 2024'!$H:$H,'BALANCE 2024'!$A:$A,A83)/HYPOTHESES!$C$51),IF(C83="RG",IF(HYPOTHESES!$C$52=0,0,HYPOTHESES!E$52*SUMIFS('BALANCE 2024'!$H:$H,'BALANCE 2024'!$A:$A,A83)/HYPOTHESES!$C$52),IF(C83="RH",IF(HYPOTHESES!$C$53=0,0,HYPOTHESES!E$53*SUMIFS('BALANCE 2024'!$H:$H,'BALANCE 2024'!$A:$A,A83)/HYPOTHESES!$C$53),IF(C83="RI",IF(HYPOTHESES!$C$54=0,0,HYPOTHESES!E$54*SUMIFS('BALANCE 2024'!$H:$H,'BALANCE 2024'!$A:$A,A83)/HYPOTHESES!$C$54),IF(C83="RJ",IF(HYPOTHESES!$C$55=0,0,HYPOTHESES!E$55*SUMIFS('BALANCE 2024'!$H:$H,'BALANCE 2024'!$A:$A,A83)/HYPOTHESES!$C$55),IF(C83="RK",IF(HYPOTHESES!$C$56=0,0,HYPOTHESES!E$56*SUMIFS('BALANCE 2024'!$H:$H,'BALANCE 2024'!$A:$A,A83)/HYPOTHESES!$C$56),0)))))),MAX(0,D83-E83)),0)</f>
        <v>116856</v>
      </c>
      <c r="I83" s="21" t="n">
        <v>0</v>
      </c>
      <c r="J83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3" s="43" t="n">
        <f aca="false">T_BAL_2026[[#This Row],[Clôture Débit]]-T_BAL_2026[[#This Row],[Clôture Crédit]]</f>
        <v>116856</v>
      </c>
    </row>
    <row r="84" customFormat="false" ht="15" hidden="false" customHeight="false" outlineLevel="0" collapsed="false">
      <c r="A84" s="42" t="n">
        <v>641500</v>
      </c>
      <c r="B84" s="12" t="s">
        <v>380</v>
      </c>
      <c r="C84" s="13" t="s">
        <v>375</v>
      </c>
      <c r="D84" s="15" t="n">
        <f aca="false">IF(LEFT(A84,1)&gt;="6",0,SUMIFS('BALANCE 2025'!$H:$H,'BALANCE 2025'!$A:$A,A84))</f>
        <v>0</v>
      </c>
      <c r="E84" s="15" t="n">
        <f aca="false">IF(LEFT(A84,1)&gt;="6",0,SUMIFS('BALANCE 2025'!$I:$I,'BALANCE 2025'!$A:$A,A84))</f>
        <v>0</v>
      </c>
      <c r="F84" s="21" t="n">
        <f aca="false">MAX(0,(H84-I84)-(D84-E84))</f>
        <v>350583</v>
      </c>
      <c r="G84" s="21" t="n">
        <f aca="false">MAX(0,(D84-E84)-(H84-I84))</f>
        <v>0</v>
      </c>
      <c r="H84" s="15" t="n">
        <f aca="false">ROUND(IF(LEFT(A84,1)&gt;="6",IF(C84="RE",IF(HYPOTHESES!$C$51=0,0,HYPOTHESES!E$51*SUMIFS('BALANCE 2024'!$H:$H,'BALANCE 2024'!$A:$A,A84)/HYPOTHESES!$C$51),IF(C84="RG",IF(HYPOTHESES!$C$52=0,0,HYPOTHESES!E$52*SUMIFS('BALANCE 2024'!$H:$H,'BALANCE 2024'!$A:$A,A84)/HYPOTHESES!$C$52),IF(C84="RH",IF(HYPOTHESES!$C$53=0,0,HYPOTHESES!E$53*SUMIFS('BALANCE 2024'!$H:$H,'BALANCE 2024'!$A:$A,A84)/HYPOTHESES!$C$53),IF(C84="RI",IF(HYPOTHESES!$C$54=0,0,HYPOTHESES!E$54*SUMIFS('BALANCE 2024'!$H:$H,'BALANCE 2024'!$A:$A,A84)/HYPOTHESES!$C$54),IF(C84="RJ",IF(HYPOTHESES!$C$55=0,0,HYPOTHESES!E$55*SUMIFS('BALANCE 2024'!$H:$H,'BALANCE 2024'!$A:$A,A84)/HYPOTHESES!$C$55),IF(C84="RK",IF(HYPOTHESES!$C$56=0,0,HYPOTHESES!E$56*SUMIFS('BALANCE 2024'!$H:$H,'BALANCE 2024'!$A:$A,A84)/HYPOTHESES!$C$56),0)))))),MAX(0,D84-E84)),0)</f>
        <v>350583</v>
      </c>
      <c r="I84" s="21" t="n">
        <v>0</v>
      </c>
      <c r="J84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4" s="43" t="n">
        <f aca="false">T_BAL_2026[[#This Row],[Clôture Débit]]-T_BAL_2026[[#This Row],[Clôture Crédit]]</f>
        <v>350583</v>
      </c>
    </row>
    <row r="85" customFormat="false" ht="15" hidden="false" customHeight="false" outlineLevel="0" collapsed="false">
      <c r="A85" s="42" t="n">
        <v>641830</v>
      </c>
      <c r="B85" s="12" t="s">
        <v>381</v>
      </c>
      <c r="C85" s="13" t="s">
        <v>375</v>
      </c>
      <c r="D85" s="15" t="n">
        <f aca="false">IF(LEFT(A85,1)&gt;="6",0,SUMIFS('BALANCE 2025'!$H:$H,'BALANCE 2025'!$A:$A,A85))</f>
        <v>0</v>
      </c>
      <c r="E85" s="15" t="n">
        <f aca="false">IF(LEFT(A85,1)&gt;="6",0,SUMIFS('BALANCE 2025'!$I:$I,'BALANCE 2025'!$A:$A,A85))</f>
        <v>0</v>
      </c>
      <c r="F85" s="21" t="n">
        <f aca="false">MAX(0,(H85-I85)-(D85-E85))</f>
        <v>237702</v>
      </c>
      <c r="G85" s="21" t="n">
        <f aca="false">MAX(0,(D85-E85)-(H85-I85))</f>
        <v>0</v>
      </c>
      <c r="H85" s="15" t="n">
        <f aca="false">ROUND(IF(LEFT(A85,1)&gt;="6",IF(C85="RE",IF(HYPOTHESES!$C$51=0,0,HYPOTHESES!E$51*SUMIFS('BALANCE 2024'!$H:$H,'BALANCE 2024'!$A:$A,A85)/HYPOTHESES!$C$51),IF(C85="RG",IF(HYPOTHESES!$C$52=0,0,HYPOTHESES!E$52*SUMIFS('BALANCE 2024'!$H:$H,'BALANCE 2024'!$A:$A,A85)/HYPOTHESES!$C$52),IF(C85="RH",IF(HYPOTHESES!$C$53=0,0,HYPOTHESES!E$53*SUMIFS('BALANCE 2024'!$H:$H,'BALANCE 2024'!$A:$A,A85)/HYPOTHESES!$C$53),IF(C85="RI",IF(HYPOTHESES!$C$54=0,0,HYPOTHESES!E$54*SUMIFS('BALANCE 2024'!$H:$H,'BALANCE 2024'!$A:$A,A85)/HYPOTHESES!$C$54),IF(C85="RJ",IF(HYPOTHESES!$C$55=0,0,HYPOTHESES!E$55*SUMIFS('BALANCE 2024'!$H:$H,'BALANCE 2024'!$A:$A,A85)/HYPOTHESES!$C$55),IF(C85="RK",IF(HYPOTHESES!$C$56=0,0,HYPOTHESES!E$56*SUMIFS('BALANCE 2024'!$H:$H,'BALANCE 2024'!$A:$A,A85)/HYPOTHESES!$C$56),0)))))),MAX(0,D85-E85)),0)</f>
        <v>237702</v>
      </c>
      <c r="I85" s="21" t="n">
        <v>0</v>
      </c>
      <c r="J85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5" s="43" t="n">
        <f aca="false">T_BAL_2026[[#This Row],[Clôture Débit]]-T_BAL_2026[[#This Row],[Clôture Crédit]]</f>
        <v>237702</v>
      </c>
    </row>
    <row r="86" customFormat="false" ht="15" hidden="false" customHeight="false" outlineLevel="0" collapsed="false">
      <c r="A86" s="42" t="n">
        <v>646200</v>
      </c>
      <c r="B86" s="12" t="s">
        <v>382</v>
      </c>
      <c r="C86" s="13" t="s">
        <v>375</v>
      </c>
      <c r="D86" s="15" t="n">
        <f aca="false">IF(LEFT(A86,1)&gt;="6",0,SUMIFS('BALANCE 2025'!$H:$H,'BALANCE 2025'!$A:$A,A86))</f>
        <v>0</v>
      </c>
      <c r="E86" s="15" t="n">
        <f aca="false">IF(LEFT(A86,1)&gt;="6",0,SUMIFS('BALANCE 2025'!$I:$I,'BALANCE 2025'!$A:$A,A86))</f>
        <v>0</v>
      </c>
      <c r="F86" s="21" t="n">
        <f aca="false">MAX(0,(H86-I86)-(D86-E86))</f>
        <v>1937734</v>
      </c>
      <c r="G86" s="21" t="n">
        <f aca="false">MAX(0,(D86-E86)-(H86-I86))</f>
        <v>0</v>
      </c>
      <c r="H86" s="15" t="n">
        <f aca="false">ROUND(IF(LEFT(A86,1)&gt;="6",IF(C86="RE",IF(HYPOTHESES!$C$51=0,0,HYPOTHESES!E$51*SUMIFS('BALANCE 2024'!$H:$H,'BALANCE 2024'!$A:$A,A86)/HYPOTHESES!$C$51),IF(C86="RG",IF(HYPOTHESES!$C$52=0,0,HYPOTHESES!E$52*SUMIFS('BALANCE 2024'!$H:$H,'BALANCE 2024'!$A:$A,A86)/HYPOTHESES!$C$52),IF(C86="RH",IF(HYPOTHESES!$C$53=0,0,HYPOTHESES!E$53*SUMIFS('BALANCE 2024'!$H:$H,'BALANCE 2024'!$A:$A,A86)/HYPOTHESES!$C$53),IF(C86="RI",IF(HYPOTHESES!$C$54=0,0,HYPOTHESES!E$54*SUMIFS('BALANCE 2024'!$H:$H,'BALANCE 2024'!$A:$A,A86)/HYPOTHESES!$C$54),IF(C86="RJ",IF(HYPOTHESES!$C$55=0,0,HYPOTHESES!E$55*SUMIFS('BALANCE 2024'!$H:$H,'BALANCE 2024'!$A:$A,A86)/HYPOTHESES!$C$55),IF(C86="RK",IF(HYPOTHESES!$C$56=0,0,HYPOTHESES!E$56*SUMIFS('BALANCE 2024'!$H:$H,'BALANCE 2024'!$A:$A,A86)/HYPOTHESES!$C$56),0)))))),MAX(0,D86-E86)),0)</f>
        <v>1937734</v>
      </c>
      <c r="I86" s="21" t="n">
        <v>0</v>
      </c>
      <c r="J86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6" s="43" t="n">
        <f aca="false">T_BAL_2026[[#This Row],[Clôture Débit]]-T_BAL_2026[[#This Row],[Clôture Crédit]]</f>
        <v>1937734</v>
      </c>
    </row>
    <row r="87" customFormat="false" ht="15" hidden="false" customHeight="false" outlineLevel="0" collapsed="false">
      <c r="A87" s="42" t="n">
        <v>648000</v>
      </c>
      <c r="B87" s="12" t="s">
        <v>383</v>
      </c>
      <c r="C87" s="13" t="s">
        <v>375</v>
      </c>
      <c r="D87" s="15" t="n">
        <f aca="false">IF(LEFT(A87,1)&gt;="6",0,SUMIFS('BALANCE 2025'!$H:$H,'BALANCE 2025'!$A:$A,A87))</f>
        <v>0</v>
      </c>
      <c r="E87" s="15" t="n">
        <f aca="false">IF(LEFT(A87,1)&gt;="6",0,SUMIFS('BALANCE 2025'!$I:$I,'BALANCE 2025'!$A:$A,A87))</f>
        <v>0</v>
      </c>
      <c r="F87" s="21" t="n">
        <f aca="false">MAX(0,(H87-I87)-(D87-E87))</f>
        <v>814843</v>
      </c>
      <c r="G87" s="21" t="n">
        <f aca="false">MAX(0,(D87-E87)-(H87-I87))</f>
        <v>0</v>
      </c>
      <c r="H87" s="15" t="n">
        <f aca="false">ROUND(IF(LEFT(A87,1)&gt;="6",IF(C87="RE",IF(HYPOTHESES!$C$51=0,0,HYPOTHESES!E$51*SUMIFS('BALANCE 2024'!$H:$H,'BALANCE 2024'!$A:$A,A87)/HYPOTHESES!$C$51),IF(C87="RG",IF(HYPOTHESES!$C$52=0,0,HYPOTHESES!E$52*SUMIFS('BALANCE 2024'!$H:$H,'BALANCE 2024'!$A:$A,A87)/HYPOTHESES!$C$52),IF(C87="RH",IF(HYPOTHESES!$C$53=0,0,HYPOTHESES!E$53*SUMIFS('BALANCE 2024'!$H:$H,'BALANCE 2024'!$A:$A,A87)/HYPOTHESES!$C$53),IF(C87="RI",IF(HYPOTHESES!$C$54=0,0,HYPOTHESES!E$54*SUMIFS('BALANCE 2024'!$H:$H,'BALANCE 2024'!$A:$A,A87)/HYPOTHESES!$C$54),IF(C87="RJ",IF(HYPOTHESES!$C$55=0,0,HYPOTHESES!E$55*SUMIFS('BALANCE 2024'!$H:$H,'BALANCE 2024'!$A:$A,A87)/HYPOTHESES!$C$55),IF(C87="RK",IF(HYPOTHESES!$C$56=0,0,HYPOTHESES!E$56*SUMIFS('BALANCE 2024'!$H:$H,'BALANCE 2024'!$A:$A,A87)/HYPOTHESES!$C$56),0)))))),MAX(0,D87-E87)),0)</f>
        <v>814843</v>
      </c>
      <c r="I87" s="21" t="n">
        <v>0</v>
      </c>
      <c r="J87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7" s="43" t="n">
        <f aca="false">T_BAL_2026[[#This Row],[Clôture Débit]]-T_BAL_2026[[#This Row],[Clôture Crédit]]</f>
        <v>814843</v>
      </c>
    </row>
    <row r="88" customFormat="false" ht="15" hidden="false" customHeight="false" outlineLevel="0" collapsed="false">
      <c r="A88" s="42" t="n">
        <v>658800</v>
      </c>
      <c r="B88" s="12" t="s">
        <v>384</v>
      </c>
      <c r="C88" s="13" t="s">
        <v>385</v>
      </c>
      <c r="D88" s="15" t="n">
        <f aca="false">IF(LEFT(A88,1)&gt;="6",0,SUMIFS('BALANCE 2025'!$H:$H,'BALANCE 2025'!$A:$A,A88))</f>
        <v>0</v>
      </c>
      <c r="E88" s="15" t="n">
        <f aca="false">IF(LEFT(A88,1)&gt;="6",0,SUMIFS('BALANCE 2025'!$I:$I,'BALANCE 2025'!$A:$A,A88))</f>
        <v>0</v>
      </c>
      <c r="F88" s="21" t="n">
        <f aca="false">MAX(0,(H88-I88)-(D88-E88))</f>
        <v>1496447</v>
      </c>
      <c r="G88" s="21" t="n">
        <f aca="false">MAX(0,(D88-E88)-(H88-I88))</f>
        <v>0</v>
      </c>
      <c r="H88" s="15" t="n">
        <f aca="false">ROUND(IF(HYPOTHESES!$C$55=0,0,HYPOTHESES!E$55-SUMPRODUCT((T_BAL_2026[Poste]="RJ")*(T_BAL_2026[Compte]&lt;&gt;658800)*ROUND(HYPOTHESES!E$55*SUMIFS('BALANCE 2024'!$H:$H,'BALANCE 2024'!$A:$A,T_BAL_2026[Compte])/HYPOTHESES!$C$55,0))),0)</f>
        <v>1496447</v>
      </c>
      <c r="I88" s="21" t="n">
        <v>0</v>
      </c>
      <c r="J88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8" s="43" t="n">
        <f aca="false">T_BAL_2026[[#This Row],[Clôture Débit]]-T_BAL_2026[[#This Row],[Clôture Crédit]]</f>
        <v>1496447</v>
      </c>
    </row>
    <row r="89" customFormat="false" ht="15" hidden="false" customHeight="false" outlineLevel="0" collapsed="false">
      <c r="A89" s="42" t="n">
        <v>661100</v>
      </c>
      <c r="B89" s="12" t="s">
        <v>386</v>
      </c>
      <c r="C89" s="13" t="s">
        <v>387</v>
      </c>
      <c r="D89" s="15" t="n">
        <f aca="false">IF(LEFT(A89,1)&gt;="6",0,SUMIFS('BALANCE 2025'!$H:$H,'BALANCE 2025'!$A:$A,A89))</f>
        <v>0</v>
      </c>
      <c r="E89" s="15" t="n">
        <f aca="false">IF(LEFT(A89,1)&gt;="6",0,SUMIFS('BALANCE 2025'!$I:$I,'BALANCE 2025'!$A:$A,A89))</f>
        <v>0</v>
      </c>
      <c r="F89" s="21" t="n">
        <f aca="false">MAX(0,(H89-I89)-(D89-E89))</f>
        <v>66286612</v>
      </c>
      <c r="G89" s="21" t="n">
        <f aca="false">MAX(0,(D89-E89)-(H89-I89))</f>
        <v>0</v>
      </c>
      <c r="H89" s="15" t="n">
        <f aca="false">ROUND(IF(HYPOTHESES!$C$56=0,0,HYPOTHESES!E$56-SUMPRODUCT((T_BAL_2026[Poste]="RK")*(T_BAL_2026[Compte]&lt;&gt;661100)*(LEFT(T_BAL_2026[Compte],3)&lt;&gt;"664")*ROUND(HYPOTHESES!E$56*SUMIFS('BALANCE 2024'!$H:$H,'BALANCE 2024'!$A:$A,T_BAL_2026[Compte])/HYPOTHESES!$C$56,0))),0)</f>
        <v>66286612</v>
      </c>
      <c r="I89" s="21" t="n">
        <v>0</v>
      </c>
      <c r="J89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9" s="43" t="n">
        <f aca="false">T_BAL_2026[[#This Row],[Clôture Débit]]-T_BAL_2026[[#This Row],[Clôture Crédit]]</f>
        <v>66286612</v>
      </c>
    </row>
    <row r="90" customFormat="false" ht="15" hidden="false" customHeight="false" outlineLevel="0" collapsed="false">
      <c r="A90" s="42" t="n">
        <v>661200</v>
      </c>
      <c r="B90" s="12" t="s">
        <v>388</v>
      </c>
      <c r="C90" s="13" t="s">
        <v>387</v>
      </c>
      <c r="D90" s="15" t="n">
        <f aca="false">IF(LEFT(A90,1)&gt;="6",0,SUMIFS('BALANCE 2025'!$H:$H,'BALANCE 2025'!$A:$A,A90))</f>
        <v>0</v>
      </c>
      <c r="E90" s="15" t="n">
        <f aca="false">IF(LEFT(A90,1)&gt;="6",0,SUMIFS('BALANCE 2025'!$I:$I,'BALANCE 2025'!$A:$A,A90))</f>
        <v>0</v>
      </c>
      <c r="F90" s="21" t="n">
        <f aca="false">MAX(0,(H90-I90)-(D90-E90))</f>
        <v>22408221</v>
      </c>
      <c r="G90" s="21" t="n">
        <f aca="false">MAX(0,(D90-E90)-(H90-I90))</f>
        <v>0</v>
      </c>
      <c r="H90" s="15" t="n">
        <f aca="false">ROUND(IF(LEFT(A90,1)&gt;="6",IF(C90="RE",IF(HYPOTHESES!$C$51=0,0,HYPOTHESES!E$51*SUMIFS('BALANCE 2024'!$H:$H,'BALANCE 2024'!$A:$A,A90)/HYPOTHESES!$C$51),IF(C90="RG",IF(HYPOTHESES!$C$52=0,0,HYPOTHESES!E$52*SUMIFS('BALANCE 2024'!$H:$H,'BALANCE 2024'!$A:$A,A90)/HYPOTHESES!$C$52),IF(C90="RH",IF(HYPOTHESES!$C$53=0,0,HYPOTHESES!E$53*SUMIFS('BALANCE 2024'!$H:$H,'BALANCE 2024'!$A:$A,A90)/HYPOTHESES!$C$53),IF(C90="RI",IF(HYPOTHESES!$C$54=0,0,HYPOTHESES!E$54*SUMIFS('BALANCE 2024'!$H:$H,'BALANCE 2024'!$A:$A,A90)/HYPOTHESES!$C$54),IF(C90="RJ",IF(HYPOTHESES!$C$55=0,0,HYPOTHESES!E$55*SUMIFS('BALANCE 2024'!$H:$H,'BALANCE 2024'!$A:$A,A90)/HYPOTHESES!$C$55),IF(C90="RK",IF(HYPOTHESES!$C$56=0,0,HYPOTHESES!E$56*SUMIFS('BALANCE 2024'!$H:$H,'BALANCE 2024'!$A:$A,A90)/HYPOTHESES!$C$56),0)))))),MAX(0,D90-E90)),0)</f>
        <v>22408221</v>
      </c>
      <c r="I90" s="21" t="n">
        <v>0</v>
      </c>
      <c r="J90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0" s="43" t="n">
        <f aca="false">T_BAL_2026[[#This Row],[Clôture Débit]]-T_BAL_2026[[#This Row],[Clôture Crédit]]</f>
        <v>22408221</v>
      </c>
    </row>
    <row r="91" customFormat="false" ht="15" hidden="false" customHeight="false" outlineLevel="0" collapsed="false">
      <c r="A91" s="42" t="n">
        <v>661300</v>
      </c>
      <c r="B91" s="12" t="s">
        <v>389</v>
      </c>
      <c r="C91" s="13" t="s">
        <v>387</v>
      </c>
      <c r="D91" s="15" t="n">
        <f aca="false">IF(LEFT(A91,1)&gt;="6",0,SUMIFS('BALANCE 2025'!$H:$H,'BALANCE 2025'!$A:$A,A91))</f>
        <v>0</v>
      </c>
      <c r="E91" s="15" t="n">
        <f aca="false">IF(LEFT(A91,1)&gt;="6",0,SUMIFS('BALANCE 2025'!$I:$I,'BALANCE 2025'!$A:$A,A91))</f>
        <v>0</v>
      </c>
      <c r="F91" s="21" t="n">
        <f aca="false">MAX(0,(H91-I91)-(D91-E91))</f>
        <v>7393632</v>
      </c>
      <c r="G91" s="21" t="n">
        <f aca="false">MAX(0,(D91-E91)-(H91-I91))</f>
        <v>0</v>
      </c>
      <c r="H91" s="15" t="n">
        <f aca="false">ROUND(IF(LEFT(A91,1)&gt;="6",IF(C91="RE",IF(HYPOTHESES!$C$51=0,0,HYPOTHESES!E$51*SUMIFS('BALANCE 2024'!$H:$H,'BALANCE 2024'!$A:$A,A91)/HYPOTHESES!$C$51),IF(C91="RG",IF(HYPOTHESES!$C$52=0,0,HYPOTHESES!E$52*SUMIFS('BALANCE 2024'!$H:$H,'BALANCE 2024'!$A:$A,A91)/HYPOTHESES!$C$52),IF(C91="RH",IF(HYPOTHESES!$C$53=0,0,HYPOTHESES!E$53*SUMIFS('BALANCE 2024'!$H:$H,'BALANCE 2024'!$A:$A,A91)/HYPOTHESES!$C$53),IF(C91="RI",IF(HYPOTHESES!$C$54=0,0,HYPOTHESES!E$54*SUMIFS('BALANCE 2024'!$H:$H,'BALANCE 2024'!$A:$A,A91)/HYPOTHESES!$C$54),IF(C91="RJ",IF(HYPOTHESES!$C$55=0,0,HYPOTHESES!E$55*SUMIFS('BALANCE 2024'!$H:$H,'BALANCE 2024'!$A:$A,A91)/HYPOTHESES!$C$55),IF(C91="RK",IF(HYPOTHESES!$C$56=0,0,HYPOTHESES!E$56*SUMIFS('BALANCE 2024'!$H:$H,'BALANCE 2024'!$A:$A,A91)/HYPOTHESES!$C$56),0)))))),MAX(0,D91-E91)),0)</f>
        <v>7393632</v>
      </c>
      <c r="I91" s="21" t="n">
        <v>0</v>
      </c>
      <c r="J91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1" s="43" t="n">
        <f aca="false">T_BAL_2026[[#This Row],[Clôture Débit]]-T_BAL_2026[[#This Row],[Clôture Crédit]]</f>
        <v>7393632</v>
      </c>
    </row>
    <row r="92" customFormat="false" ht="15" hidden="false" customHeight="false" outlineLevel="0" collapsed="false">
      <c r="A92" s="42" t="n">
        <v>661400</v>
      </c>
      <c r="B92" s="12" t="s">
        <v>390</v>
      </c>
      <c r="C92" s="13" t="s">
        <v>387</v>
      </c>
      <c r="D92" s="15" t="n">
        <f aca="false">IF(LEFT(A92,1)&gt;="6",0,SUMIFS('BALANCE 2025'!$H:$H,'BALANCE 2025'!$A:$A,A92))</f>
        <v>0</v>
      </c>
      <c r="E92" s="15" t="n">
        <f aca="false">IF(LEFT(A92,1)&gt;="6",0,SUMIFS('BALANCE 2025'!$I:$I,'BALANCE 2025'!$A:$A,A92))</f>
        <v>0</v>
      </c>
      <c r="F92" s="21" t="n">
        <f aca="false">MAX(0,(H92-I92)-(D92-E92))</f>
        <v>7466613</v>
      </c>
      <c r="G92" s="21" t="n">
        <f aca="false">MAX(0,(D92-E92)-(H92-I92))</f>
        <v>0</v>
      </c>
      <c r="H92" s="15" t="n">
        <f aca="false">ROUND(IF(LEFT(A92,1)&gt;="6",IF(C92="RE",IF(HYPOTHESES!$C$51=0,0,HYPOTHESES!E$51*SUMIFS('BALANCE 2024'!$H:$H,'BALANCE 2024'!$A:$A,A92)/HYPOTHESES!$C$51),IF(C92="RG",IF(HYPOTHESES!$C$52=0,0,HYPOTHESES!E$52*SUMIFS('BALANCE 2024'!$H:$H,'BALANCE 2024'!$A:$A,A92)/HYPOTHESES!$C$52),IF(C92="RH",IF(HYPOTHESES!$C$53=0,0,HYPOTHESES!E$53*SUMIFS('BALANCE 2024'!$H:$H,'BALANCE 2024'!$A:$A,A92)/HYPOTHESES!$C$53),IF(C92="RI",IF(HYPOTHESES!$C$54=0,0,HYPOTHESES!E$54*SUMIFS('BALANCE 2024'!$H:$H,'BALANCE 2024'!$A:$A,A92)/HYPOTHESES!$C$54),IF(C92="RJ",IF(HYPOTHESES!$C$55=0,0,HYPOTHESES!E$55*SUMIFS('BALANCE 2024'!$H:$H,'BALANCE 2024'!$A:$A,A92)/HYPOTHESES!$C$55),IF(C92="RK",IF(HYPOTHESES!$C$56=0,0,HYPOTHESES!E$56*SUMIFS('BALANCE 2024'!$H:$H,'BALANCE 2024'!$A:$A,A92)/HYPOTHESES!$C$56),0)))))),MAX(0,D92-E92)),0)</f>
        <v>7466613</v>
      </c>
      <c r="I92" s="21" t="n">
        <v>0</v>
      </c>
      <c r="J92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2" s="43" t="n">
        <f aca="false">T_BAL_2026[[#This Row],[Clôture Débit]]-T_BAL_2026[[#This Row],[Clôture Crédit]]</f>
        <v>7466613</v>
      </c>
    </row>
    <row r="93" customFormat="false" ht="15" hidden="false" customHeight="false" outlineLevel="0" collapsed="false">
      <c r="A93" s="42" t="n">
        <v>663400</v>
      </c>
      <c r="B93" s="12" t="s">
        <v>391</v>
      </c>
      <c r="C93" s="13" t="s">
        <v>387</v>
      </c>
      <c r="D93" s="15" t="n">
        <f aca="false">IF(LEFT(A93,1)&gt;="6",0,SUMIFS('BALANCE 2025'!$H:$H,'BALANCE 2025'!$A:$A,A93))</f>
        <v>0</v>
      </c>
      <c r="E93" s="15" t="n">
        <f aca="false">IF(LEFT(A93,1)&gt;="6",0,SUMIFS('BALANCE 2025'!$I:$I,'BALANCE 2025'!$A:$A,A93))</f>
        <v>0</v>
      </c>
      <c r="F93" s="21" t="n">
        <f aca="false">MAX(0,(H93-I93)-(D93-E93))</f>
        <v>7733295</v>
      </c>
      <c r="G93" s="21" t="n">
        <f aca="false">MAX(0,(D93-E93)-(H93-I93))</f>
        <v>0</v>
      </c>
      <c r="H93" s="15" t="n">
        <f aca="false">ROUND(IF(LEFT(A93,1)&gt;="6",IF(C93="RE",IF(HYPOTHESES!$C$51=0,0,HYPOTHESES!E$51*SUMIFS('BALANCE 2024'!$H:$H,'BALANCE 2024'!$A:$A,A93)/HYPOTHESES!$C$51),IF(C93="RG",IF(HYPOTHESES!$C$52=0,0,HYPOTHESES!E$52*SUMIFS('BALANCE 2024'!$H:$H,'BALANCE 2024'!$A:$A,A93)/HYPOTHESES!$C$52),IF(C93="RH",IF(HYPOTHESES!$C$53=0,0,HYPOTHESES!E$53*SUMIFS('BALANCE 2024'!$H:$H,'BALANCE 2024'!$A:$A,A93)/HYPOTHESES!$C$53),IF(C93="RI",IF(HYPOTHESES!$C$54=0,0,HYPOTHESES!E$54*SUMIFS('BALANCE 2024'!$H:$H,'BALANCE 2024'!$A:$A,A93)/HYPOTHESES!$C$54),IF(C93="RJ",IF(HYPOTHESES!$C$55=0,0,HYPOTHESES!E$55*SUMIFS('BALANCE 2024'!$H:$H,'BALANCE 2024'!$A:$A,A93)/HYPOTHESES!$C$55),IF(C93="RK",IF(HYPOTHESES!$C$56=0,0,HYPOTHESES!E$56*SUMIFS('BALANCE 2024'!$H:$H,'BALANCE 2024'!$A:$A,A93)/HYPOTHESES!$C$56),0)))))),MAX(0,D93-E93)),0)</f>
        <v>7733295</v>
      </c>
      <c r="I93" s="21" t="n">
        <v>0</v>
      </c>
      <c r="J93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3" s="43" t="n">
        <f aca="false">T_BAL_2026[[#This Row],[Clôture Débit]]-T_BAL_2026[[#This Row],[Clôture Crédit]]</f>
        <v>7733295</v>
      </c>
    </row>
    <row r="94" customFormat="false" ht="15" hidden="false" customHeight="false" outlineLevel="0" collapsed="false">
      <c r="A94" s="42" t="n">
        <v>664101</v>
      </c>
      <c r="B94" s="12" t="s">
        <v>392</v>
      </c>
      <c r="C94" s="13" t="s">
        <v>387</v>
      </c>
      <c r="D94" s="15" t="n">
        <f aca="false">IF(LEFT(A94,1)&gt;="6",0,SUMIFS('BALANCE 2025'!$H:$H,'BALANCE 2025'!$A:$A,A94))</f>
        <v>0</v>
      </c>
      <c r="E94" s="15" t="n">
        <f aca="false">IF(LEFT(A94,1)&gt;="6",0,SUMIFS('BALANCE 2025'!$I:$I,'BALANCE 2025'!$A:$A,A94))</f>
        <v>0</v>
      </c>
      <c r="F94" s="21" t="n">
        <f aca="false">MAX(0,(H94-I94)-(D94-E94))</f>
        <v>450000</v>
      </c>
      <c r="G94" s="21" t="n">
        <f aca="false">MAX(0,(D94-E94)-(H94-I94))</f>
        <v>0</v>
      </c>
      <c r="H94" s="15" t="n">
        <f aca="false">ROUND(HYPOTHESES!E$62,0)</f>
        <v>450000</v>
      </c>
      <c r="I94" s="21" t="n">
        <v>0</v>
      </c>
      <c r="J94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4" s="43" t="n">
        <f aca="false">T_BAL_2026[[#This Row],[Clôture Débit]]-T_BAL_2026[[#This Row],[Clôture Crédit]]</f>
        <v>450000</v>
      </c>
    </row>
    <row r="95" customFormat="false" ht="15" hidden="false" customHeight="false" outlineLevel="0" collapsed="false">
      <c r="A95" s="42" t="n">
        <v>664102</v>
      </c>
      <c r="B95" s="12" t="s">
        <v>393</v>
      </c>
      <c r="C95" s="13" t="s">
        <v>387</v>
      </c>
      <c r="D95" s="15" t="n">
        <f aca="false">IF(LEFT(A95,1)&gt;="6",0,SUMIFS('BALANCE 2025'!$H:$H,'BALANCE 2025'!$A:$A,A95))</f>
        <v>0</v>
      </c>
      <c r="E95" s="15" t="n">
        <f aca="false">IF(LEFT(A95,1)&gt;="6",0,SUMIFS('BALANCE 2025'!$I:$I,'BALANCE 2025'!$A:$A,A95))</f>
        <v>0</v>
      </c>
      <c r="F95" s="21" t="n">
        <f aca="false">MAX(0,(H95-I95)-(D95-E95))</f>
        <v>3881250</v>
      </c>
      <c r="G95" s="21" t="n">
        <f aca="false">MAX(0,(D95-E95)-(H95-I95))</f>
        <v>0</v>
      </c>
      <c r="H95" s="15" t="n">
        <f aca="false">ROUND(HYPOTHESES!E$60,0)</f>
        <v>3881250</v>
      </c>
      <c r="I95" s="21" t="n">
        <v>0</v>
      </c>
      <c r="J95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5" s="43" t="n">
        <f aca="false">T_BAL_2026[[#This Row],[Clôture Débit]]-T_BAL_2026[[#This Row],[Clôture Crédit]]</f>
        <v>3881250</v>
      </c>
    </row>
    <row r="96" customFormat="false" ht="15" hidden="false" customHeight="false" outlineLevel="0" collapsed="false">
      <c r="A96" s="42" t="n">
        <v>664103</v>
      </c>
      <c r="B96" s="12" t="s">
        <v>394</v>
      </c>
      <c r="C96" s="13" t="s">
        <v>387</v>
      </c>
      <c r="D96" s="15" t="n">
        <f aca="false">IF(LEFT(A96,1)&gt;="6",0,SUMIFS('BALANCE 2025'!$H:$H,'BALANCE 2025'!$A:$A,A96))</f>
        <v>0</v>
      </c>
      <c r="E96" s="15" t="n">
        <f aca="false">IF(LEFT(A96,1)&gt;="6",0,SUMIFS('BALANCE 2025'!$I:$I,'BALANCE 2025'!$A:$A,A96))</f>
        <v>0</v>
      </c>
      <c r="F96" s="21" t="n">
        <f aca="false">MAX(0,(H96-I96)-(D96-E96))</f>
        <v>3375000</v>
      </c>
      <c r="G96" s="21" t="n">
        <f aca="false">MAX(0,(D96-E96)-(H96-I96))</f>
        <v>0</v>
      </c>
      <c r="H96" s="15" t="n">
        <f aca="false">ROUND(HYPOTHESES!E$61,0)</f>
        <v>3375000</v>
      </c>
      <c r="I96" s="21" t="n">
        <v>0</v>
      </c>
      <c r="J96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6" s="43" t="n">
        <f aca="false">T_BAL_2026[[#This Row],[Clôture Débit]]-T_BAL_2026[[#This Row],[Clôture Crédit]]</f>
        <v>3375000</v>
      </c>
    </row>
    <row r="97" customFormat="false" ht="15" hidden="false" customHeight="false" outlineLevel="0" collapsed="false">
      <c r="A97" s="42" t="n">
        <v>664104</v>
      </c>
      <c r="B97" s="12" t="s">
        <v>395</v>
      </c>
      <c r="C97" s="13" t="s">
        <v>387</v>
      </c>
      <c r="D97" s="15" t="n">
        <f aca="false">IF(LEFT(A97,1)&gt;="6",0,SUMIFS('BALANCE 2025'!$H:$H,'BALANCE 2025'!$A:$A,A97))</f>
        <v>0</v>
      </c>
      <c r="E97" s="15" t="n">
        <f aca="false">IF(LEFT(A97,1)&gt;="6",0,SUMIFS('BALANCE 2025'!$I:$I,'BALANCE 2025'!$A:$A,A97))</f>
        <v>0</v>
      </c>
      <c r="F97" s="21" t="n">
        <f aca="false">MAX(0,(H97-I97)-(D97-E97))</f>
        <v>7973741</v>
      </c>
      <c r="G97" s="21" t="n">
        <f aca="false">MAX(0,(D97-E97)-(H97-I97))</f>
        <v>0</v>
      </c>
      <c r="H97" s="15" t="n">
        <f aca="false">ROUND(HYPOTHESES!E$59,0)</f>
        <v>7973741</v>
      </c>
      <c r="I97" s="21" t="n">
        <v>0</v>
      </c>
      <c r="J97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7" s="43" t="n">
        <f aca="false">T_BAL_2026[[#This Row],[Clôture Débit]]-T_BAL_2026[[#This Row],[Clôture Crédit]]</f>
        <v>7973741</v>
      </c>
    </row>
    <row r="98" customFormat="false" ht="15" hidden="false" customHeight="false" outlineLevel="0" collapsed="false">
      <c r="A98" s="42" t="n">
        <v>671201</v>
      </c>
      <c r="B98" s="12" t="s">
        <v>396</v>
      </c>
      <c r="C98" s="13" t="s">
        <v>397</v>
      </c>
      <c r="D98" s="15" t="n">
        <f aca="false">IF(LEFT(A98,1)&gt;="6",0,SUMIFS('BALANCE 2025'!$H:$H,'BALANCE 2025'!$A:$A,A98))</f>
        <v>0</v>
      </c>
      <c r="E98" s="15" t="n">
        <f aca="false">IF(LEFT(A98,1)&gt;="6",0,SUMIFS('BALANCE 2025'!$I:$I,'BALANCE 2025'!$A:$A,A98))</f>
        <v>0</v>
      </c>
      <c r="F98" s="21" t="n">
        <f aca="false">MAX(0,(H98-I98)-(D98-E98))</f>
        <v>0</v>
      </c>
      <c r="G98" s="21" t="n">
        <f aca="false">MAX(0,(D98-E98)-(H98-I98))</f>
        <v>0</v>
      </c>
      <c r="H98" s="15" t="n">
        <f aca="false">ROUND('INVEST ET FINANCEMENT'!E$65,0)</f>
        <v>0</v>
      </c>
      <c r="I98" s="21" t="n">
        <v>0</v>
      </c>
      <c r="J98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8" s="43" t="n">
        <f aca="false">T_BAL_2026[[#This Row],[Clôture Débit]]-T_BAL_2026[[#This Row],[Clôture Crédit]]</f>
        <v>0</v>
      </c>
    </row>
    <row r="99" customFormat="false" ht="15" hidden="false" customHeight="false" outlineLevel="0" collapsed="false">
      <c r="A99" s="42" t="n">
        <v>672301</v>
      </c>
      <c r="B99" s="12" t="s">
        <v>398</v>
      </c>
      <c r="C99" s="13" t="s">
        <v>397</v>
      </c>
      <c r="D99" s="15" t="n">
        <f aca="false">IF(LEFT(A99,1)&gt;="6",0,SUMIFS('BALANCE 2025'!$H:$H,'BALANCE 2025'!$A:$A,A99))</f>
        <v>0</v>
      </c>
      <c r="E99" s="15" t="n">
        <f aca="false">IF(LEFT(A99,1)&gt;="6",0,SUMIFS('BALANCE 2025'!$I:$I,'BALANCE 2025'!$A:$A,A99))</f>
        <v>0</v>
      </c>
      <c r="F99" s="21" t="n">
        <f aca="false">MAX(0,(H99-I99)-(D99-E99))</f>
        <v>0</v>
      </c>
      <c r="G99" s="21" t="n">
        <f aca="false">MAX(0,(D99-E99)-(H99-I99))</f>
        <v>0</v>
      </c>
      <c r="H99" s="15" t="n">
        <f aca="false">ROUND('INVEST ET FINANCEMENT'!E$66,0)</f>
        <v>0</v>
      </c>
      <c r="I99" s="21" t="n">
        <v>0</v>
      </c>
      <c r="J99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9" s="43" t="n">
        <f aca="false">T_BAL_2026[[#This Row],[Clôture Débit]]-T_BAL_2026[[#This Row],[Clôture Crédit]]</f>
        <v>0</v>
      </c>
    </row>
    <row r="100" customFormat="false" ht="15" hidden="false" customHeight="false" outlineLevel="0" collapsed="false">
      <c r="A100" s="42" t="n">
        <v>681301</v>
      </c>
      <c r="B100" s="12" t="s">
        <v>399</v>
      </c>
      <c r="C100" s="13" t="s">
        <v>400</v>
      </c>
      <c r="D100" s="15" t="n">
        <f aca="false">IF(LEFT(A100,1)&gt;="6",0,SUMIFS('BALANCE 2025'!$H:$H,'BALANCE 2025'!$A:$A,A100))</f>
        <v>0</v>
      </c>
      <c r="E100" s="15" t="n">
        <f aca="false">IF(LEFT(A100,1)&gt;="6",0,SUMIFS('BALANCE 2025'!$I:$I,'BALANCE 2025'!$A:$A,A100))</f>
        <v>0</v>
      </c>
      <c r="F100" s="21" t="n">
        <f aca="false">MAX(0,(H100-I100)-(D100-E100))</f>
        <v>19282845</v>
      </c>
      <c r="G100" s="21" t="n">
        <f aca="false">MAX(0,(D100-E100)-(H100-I100))</f>
        <v>0</v>
      </c>
      <c r="H100" s="15" t="n">
        <f aca="false">ROUND('INVEST ET FINANCEMENT'!E$32,0)</f>
        <v>19282845</v>
      </c>
      <c r="I100" s="21" t="n">
        <v>0</v>
      </c>
      <c r="J100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0" s="43" t="n">
        <f aca="false">T_BAL_2026[[#This Row],[Clôture Débit]]-T_BAL_2026[[#This Row],[Clôture Crédit]]</f>
        <v>19282845</v>
      </c>
    </row>
    <row r="101" customFormat="false" ht="15" hidden="false" customHeight="false" outlineLevel="0" collapsed="false">
      <c r="A101" s="42" t="n">
        <v>681302</v>
      </c>
      <c r="B101" s="12" t="s">
        <v>401</v>
      </c>
      <c r="C101" s="13" t="s">
        <v>400</v>
      </c>
      <c r="D101" s="15" t="n">
        <f aca="false">IF(LEFT(A101,1)&gt;="6",0,SUMIFS('BALANCE 2025'!$H:$H,'BALANCE 2025'!$A:$A,A101))</f>
        <v>0</v>
      </c>
      <c r="E101" s="15" t="n">
        <f aca="false">IF(LEFT(A101,1)&gt;="6",0,SUMIFS('BALANCE 2025'!$I:$I,'BALANCE 2025'!$A:$A,A101))</f>
        <v>0</v>
      </c>
      <c r="F101" s="21" t="n">
        <f aca="false">MAX(0,(H101-I101)-(D101-E101))</f>
        <v>50854932</v>
      </c>
      <c r="G101" s="21" t="n">
        <f aca="false">MAX(0,(D101-E101)-(H101-I101))</f>
        <v>0</v>
      </c>
      <c r="H101" s="15" t="n">
        <f aca="false">ROUND('INVEST ET FINANCEMENT'!E$35,0)</f>
        <v>50854932</v>
      </c>
      <c r="I101" s="21" t="n">
        <v>0</v>
      </c>
      <c r="J101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1" s="43" t="n">
        <f aca="false">T_BAL_2026[[#This Row],[Clôture Débit]]-T_BAL_2026[[#This Row],[Clôture Crédit]]</f>
        <v>50854932</v>
      </c>
    </row>
    <row r="102" customFormat="false" ht="15" hidden="false" customHeight="false" outlineLevel="0" collapsed="false">
      <c r="A102" s="42" t="n">
        <v>681303</v>
      </c>
      <c r="B102" s="12" t="s">
        <v>402</v>
      </c>
      <c r="C102" s="13" t="s">
        <v>400</v>
      </c>
      <c r="D102" s="15" t="n">
        <f aca="false">IF(LEFT(A102,1)&gt;="6",0,SUMIFS('BALANCE 2025'!$H:$H,'BALANCE 2025'!$A:$A,A102))</f>
        <v>0</v>
      </c>
      <c r="E102" s="15" t="n">
        <f aca="false">IF(LEFT(A102,1)&gt;="6",0,SUMIFS('BALANCE 2025'!$I:$I,'BALANCE 2025'!$A:$A,A102))</f>
        <v>0</v>
      </c>
      <c r="F102" s="21" t="n">
        <f aca="false">MAX(0,(H102-I102)-(D102-E102))</f>
        <v>7609173</v>
      </c>
      <c r="G102" s="21" t="n">
        <f aca="false">MAX(0,(D102-E102)-(H102-I102))</f>
        <v>0</v>
      </c>
      <c r="H102" s="15" t="n">
        <f aca="false">ROUND('INVEST ET FINANCEMENT'!E$38,0)</f>
        <v>7609173</v>
      </c>
      <c r="I102" s="21" t="n">
        <v>0</v>
      </c>
      <c r="J102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2" s="43" t="n">
        <f aca="false">T_BAL_2026[[#This Row],[Clôture Débit]]-T_BAL_2026[[#This Row],[Clôture Crédit]]</f>
        <v>7609173</v>
      </c>
    </row>
    <row r="103" customFormat="false" ht="15" hidden="false" customHeight="false" outlineLevel="0" collapsed="false">
      <c r="A103" s="42" t="n">
        <v>681304</v>
      </c>
      <c r="B103" s="12" t="s">
        <v>403</v>
      </c>
      <c r="C103" s="13" t="s">
        <v>400</v>
      </c>
      <c r="D103" s="15" t="n">
        <f aca="false">IF(LEFT(A103,1)&gt;="6",0,SUMIFS('BALANCE 2025'!$H:$H,'BALANCE 2025'!$A:$A,A103))</f>
        <v>0</v>
      </c>
      <c r="E103" s="15" t="n">
        <f aca="false">IF(LEFT(A103,1)&gt;="6",0,SUMIFS('BALANCE 2025'!$I:$I,'BALANCE 2025'!$A:$A,A103))</f>
        <v>0</v>
      </c>
      <c r="F103" s="21" t="n">
        <f aca="false">MAX(0,(H103-I103)-(D103-E103))</f>
        <v>15958378</v>
      </c>
      <c r="G103" s="21" t="n">
        <f aca="false">MAX(0,(D103-E103)-(H103-I103))</f>
        <v>0</v>
      </c>
      <c r="H103" s="15" t="n">
        <f aca="false">ROUND('INVEST ET FINANCEMENT'!E$41,0)</f>
        <v>15958378</v>
      </c>
      <c r="I103" s="21" t="n">
        <v>0</v>
      </c>
      <c r="J103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3" s="43" t="n">
        <f aca="false">T_BAL_2026[[#This Row],[Clôture Débit]]-T_BAL_2026[[#This Row],[Clôture Crédit]]</f>
        <v>15958378</v>
      </c>
    </row>
    <row r="104" customFormat="false" ht="15" hidden="false" customHeight="false" outlineLevel="0" collapsed="false">
      <c r="A104" s="42" t="n">
        <v>691100</v>
      </c>
      <c r="B104" s="12" t="s">
        <v>404</v>
      </c>
      <c r="C104" s="13" t="s">
        <v>400</v>
      </c>
      <c r="D104" s="15" t="n">
        <f aca="false">IF(LEFT(A104,1)&gt;="6",0,SUMIFS('BALANCE 2025'!$H:$H,'BALANCE 2025'!$A:$A,A104))</f>
        <v>0</v>
      </c>
      <c r="E104" s="15" t="n">
        <f aca="false">IF(LEFT(A104,1)&gt;="6",0,SUMIFS('BALANCE 2025'!$I:$I,'BALANCE 2025'!$A:$A,A104))</f>
        <v>0</v>
      </c>
      <c r="F104" s="21" t="n">
        <f aca="false">MAX(0,(H104-I104)-(D104-E104))</f>
        <v>6810848</v>
      </c>
      <c r="G104" s="21" t="n">
        <f aca="false">MAX(0,(D104-E104)-(H104-I104))</f>
        <v>0</v>
      </c>
      <c r="H104" s="15" t="n">
        <f aca="false">ROUND(HYPOTHESES!E$65,0)</f>
        <v>6810848</v>
      </c>
      <c r="I104" s="21" t="n">
        <v>0</v>
      </c>
      <c r="J104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4" s="43" t="n">
        <f aca="false">T_BAL_2026[[#This Row],[Clôture Débit]]-T_BAL_2026[[#This Row],[Clôture Crédit]]</f>
        <v>6810848</v>
      </c>
    </row>
    <row r="105" customFormat="false" ht="15" hidden="false" customHeight="false" outlineLevel="0" collapsed="false">
      <c r="A105" s="35" t="n">
        <v>705100</v>
      </c>
      <c r="B105" s="36" t="s">
        <v>405</v>
      </c>
      <c r="C105" s="37" t="s">
        <v>406</v>
      </c>
      <c r="D105" s="44" t="n">
        <f aca="false">IF(LEFT(A105,1)&gt;="6",0,SUMIFS('BALANCE 2025'!$H:$H,'BALANCE 2025'!$A:$A,A105))</f>
        <v>0</v>
      </c>
      <c r="E105" s="44" t="n">
        <f aca="false">IF(LEFT(A105,1)&gt;="6",0,SUMIFS('BALANCE 2025'!$I:$I,'BALANCE 2025'!$A:$A,A105))</f>
        <v>0</v>
      </c>
      <c r="F105" s="39" t="n">
        <f aca="false">MAX(0,(H105-I105)-(D105-E105))</f>
        <v>0</v>
      </c>
      <c r="G105" s="39" t="n">
        <f aca="false">MAX(0,(D105-E105)-(H105-I105))</f>
        <v>787603492</v>
      </c>
      <c r="H105" s="39" t="n">
        <v>0</v>
      </c>
      <c r="I105" s="44" t="n">
        <f aca="false">ROUND(HYPOTHESES!E$50,0)</f>
        <v>787603492</v>
      </c>
      <c r="J105" s="39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5" s="40" t="n">
        <f aca="false">T_BAL_2026[[#This Row],[Clôture Débit]]-T_BAL_2026[[#This Row],[Clôture Crédit]]</f>
        <v>-787603492</v>
      </c>
    </row>
    <row r="106" customFormat="false" ht="15" hidden="false" customHeight="false" outlineLevel="0" collapsed="false">
      <c r="A106" s="42" t="n">
        <v>771200</v>
      </c>
      <c r="B106" s="12" t="s">
        <v>407</v>
      </c>
      <c r="C106" s="13" t="s">
        <v>408</v>
      </c>
      <c r="D106" s="15" t="n">
        <f aca="false">IF(LEFT(A106,1)&gt;="6",0,SUMIFS('BALANCE 2025'!$H:$H,'BALANCE 2025'!$A:$A,A106))</f>
        <v>0</v>
      </c>
      <c r="E106" s="15" t="n">
        <f aca="false">IF(LEFT(A106,1)&gt;="6",0,SUMIFS('BALANCE 2025'!$I:$I,'BALANCE 2025'!$A:$A,A106))</f>
        <v>0</v>
      </c>
      <c r="F106" s="21" t="n">
        <f aca="false">MAX(0,(H106-I106)-(D106-E106))</f>
        <v>0</v>
      </c>
      <c r="G106" s="21" t="n">
        <f aca="false">MAX(0,(D106-E106)-(H106-I106))</f>
        <v>848594</v>
      </c>
      <c r="H106" s="21" t="n">
        <v>0</v>
      </c>
      <c r="I106" s="15" t="n">
        <f aca="false">ROUND(HYPOTHESES!E$66,0)</f>
        <v>848594</v>
      </c>
      <c r="J106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6" s="43" t="n">
        <f aca="false">T_BAL_2026[[#This Row],[Clôture Débit]]-T_BAL_2026[[#This Row],[Clôture Crédit]]</f>
        <v>-848594</v>
      </c>
    </row>
    <row r="107" customFormat="false" ht="15" hidden="false" customHeight="false" outlineLevel="0" collapsed="false">
      <c r="A107" s="35" t="n">
        <v>891100</v>
      </c>
      <c r="B107" s="36" t="s">
        <v>409</v>
      </c>
      <c r="C107" s="37" t="s">
        <v>410</v>
      </c>
      <c r="D107" s="44" t="n">
        <f aca="false">IF(LEFT(A107,1)&gt;="6",0,SUMIFS('BALANCE 2025'!$H:$H,'BALANCE 2025'!$A:$A,A107))</f>
        <v>0</v>
      </c>
      <c r="E107" s="44" t="n">
        <f aca="false">IF(LEFT(A107,1)&gt;="6",0,SUMIFS('BALANCE 2025'!$I:$I,'BALANCE 2025'!$A:$A,A107))</f>
        <v>0</v>
      </c>
      <c r="F107" s="39" t="n">
        <f aca="false">MAX(0,(H107-I107)-(D107-E107))</f>
        <v>28782225</v>
      </c>
      <c r="G107" s="39" t="n">
        <f aca="false">MAX(0,(D107-E107)-(H107-I107))</f>
        <v>0</v>
      </c>
      <c r="H107" s="44" t="n">
        <f aca="false">ROUND(IF(HYPOTHESES!E$70&gt;=HYPOTHESES!E$71,HYPOTHESES!E$72,0),0)</f>
        <v>28782225</v>
      </c>
      <c r="I107" s="39" t="n">
        <v>0</v>
      </c>
      <c r="J107" s="39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7" s="40" t="n">
        <f aca="false">T_BAL_2026[[#This Row],[Clôture Débit]]-T_BAL_2026[[#This Row],[Clôture Crédit]]</f>
        <v>28782225</v>
      </c>
    </row>
    <row r="108" customFormat="false" ht="15" hidden="false" customHeight="false" outlineLevel="0" collapsed="false">
      <c r="A108" s="42" t="n">
        <v>895000</v>
      </c>
      <c r="B108" s="12" t="s">
        <v>411</v>
      </c>
      <c r="C108" s="13" t="s">
        <v>410</v>
      </c>
      <c r="D108" s="15" t="n">
        <f aca="false">IF(LEFT(A108,1)&gt;="6",0,SUMIFS('BALANCE 2025'!$H:$H,'BALANCE 2025'!$A:$A,A108))</f>
        <v>0</v>
      </c>
      <c r="E108" s="15" t="n">
        <f aca="false">IF(LEFT(A108,1)&gt;="6",0,SUMIFS('BALANCE 2025'!$I:$I,'BALANCE 2025'!$A:$A,A108))</f>
        <v>0</v>
      </c>
      <c r="F108" s="21" t="n">
        <f aca="false">MAX(0,(H108-I108)-(D108-E108))</f>
        <v>0</v>
      </c>
      <c r="G108" s="21" t="n">
        <f aca="false">MAX(0,(D108-E108)-(H108-I108))</f>
        <v>0</v>
      </c>
      <c r="H108" s="15" t="n">
        <f aca="false">ROUND(IF(HYPOTHESES!E$70&lt;HYPOTHESES!E$71,HYPOTHESES!E$72,0),0)</f>
        <v>0</v>
      </c>
      <c r="I108" s="21" t="n">
        <v>0</v>
      </c>
      <c r="J108" s="21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8" s="43" t="n">
        <f aca="false">T_BAL_2026[[#This Row],[Clôture Débit]]-T_BAL_2026[[#This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413</v>
      </c>
    </row>
    <row r="3" customFormat="false" ht="15" hidden="false" customHeight="false" outlineLevel="0" collapsed="false">
      <c r="A3" s="27"/>
      <c r="B3" s="27"/>
      <c r="C3" s="27"/>
      <c r="D3" s="28" t="s">
        <v>237</v>
      </c>
      <c r="E3" s="28"/>
      <c r="F3" s="28" t="s">
        <v>238</v>
      </c>
      <c r="G3" s="28"/>
      <c r="H3" s="28" t="s">
        <v>239</v>
      </c>
      <c r="I3" s="28"/>
      <c r="J3" s="29" t="s">
        <v>240</v>
      </c>
      <c r="K3" s="29" t="s">
        <v>241</v>
      </c>
      <c r="M3" s="30" t="s">
        <v>242</v>
      </c>
      <c r="N3" s="30"/>
    </row>
    <row r="4" customFormat="false" ht="15" hidden="false" customHeight="false" outlineLevel="0" collapsed="false">
      <c r="A4" s="8" t="s">
        <v>243</v>
      </c>
      <c r="B4" s="8" t="s">
        <v>244</v>
      </c>
      <c r="C4" s="8" t="s">
        <v>245</v>
      </c>
      <c r="D4" s="8" t="s">
        <v>246</v>
      </c>
      <c r="E4" s="8" t="s">
        <v>247</v>
      </c>
      <c r="F4" s="8" t="s">
        <v>246</v>
      </c>
      <c r="G4" s="8" t="s">
        <v>247</v>
      </c>
      <c r="H4" s="8" t="s">
        <v>246</v>
      </c>
      <c r="I4" s="8" t="s">
        <v>247</v>
      </c>
      <c r="J4" s="8" t="s">
        <v>248</v>
      </c>
      <c r="M4" s="31" t="s">
        <v>249</v>
      </c>
    </row>
    <row r="5" customFormat="false" ht="15" hidden="false" customHeight="false" outlineLevel="0" collapsed="false">
      <c r="A5" s="32"/>
      <c r="B5" s="33" t="s">
        <v>250</v>
      </c>
      <c r="C5" s="32"/>
      <c r="D5" s="34" t="n">
        <f aca="false">SUBTOTAL(109,T_BAL_2027[Ouverture Débit])</f>
        <v>2002652038</v>
      </c>
      <c r="E5" s="34" t="n">
        <f aca="false">SUBTOTAL(109,T_BAL_2027[Ouverture Crédit])</f>
        <v>2002652038</v>
      </c>
      <c r="F5" s="34" t="n">
        <f aca="false">SUBTOTAL(109,T_BAL_2027[Mouvements Débit])</f>
        <v>4038682624</v>
      </c>
      <c r="G5" s="34" t="n">
        <f aca="false">SUBTOTAL(109,T_BAL_2027[Mouvements Crédit])</f>
        <v>4038682624</v>
      </c>
      <c r="H5" s="34" t="n">
        <f aca="false">SUBTOTAL(109,T_BAL_2027[Clôture Débit])</f>
        <v>2918022343</v>
      </c>
      <c r="I5" s="34" t="n">
        <f aca="false">SUBTOTAL(109,T_BAL_2027[Clôture Crédit])</f>
        <v>2918022343</v>
      </c>
      <c r="J5" s="34" t="n">
        <f aca="false">SUBTOTAL(109,T_BAL_2027[Contrôle])</f>
        <v>0</v>
      </c>
      <c r="M5" s="31" t="s">
        <v>251</v>
      </c>
    </row>
    <row r="6" customFormat="false" ht="15" hidden="false" customHeight="false" outlineLevel="0" collapsed="false">
      <c r="B6" s="4" t="s">
        <v>252</v>
      </c>
      <c r="D6" s="24" t="n">
        <f aca="false">D5-E5</f>
        <v>0</v>
      </c>
      <c r="F6" s="24" t="n">
        <f aca="false">F5-G5</f>
        <v>0</v>
      </c>
      <c r="H6" s="24" t="n">
        <f aca="false">H5-I5</f>
        <v>0</v>
      </c>
      <c r="M6" s="31" t="s">
        <v>253</v>
      </c>
    </row>
    <row r="7" customFormat="false" ht="15" hidden="false" customHeight="false" outlineLevel="0" collapsed="false">
      <c r="B7" s="7" t="s">
        <v>414</v>
      </c>
      <c r="H7" s="21" t="n">
        <f aca="false">-SUM(T_BAL_2027[Hors trésorerie])</f>
        <v>420816123</v>
      </c>
      <c r="M7" s="31" t="s">
        <v>254</v>
      </c>
    </row>
    <row r="8" customFormat="false" ht="15" hidden="false" customHeight="false" outlineLevel="0" collapsed="false">
      <c r="B8" s="7" t="s">
        <v>415</v>
      </c>
      <c r="H8" s="21" t="n">
        <f aca="false">ROUND((G34+HYPOTHESES!F$66+'INVEST ET FINANCEMENT'!F$48+'INVEST ET FINANCEMENT'!F$52+(D56-E56)+(D57-E57)-H7)/(1-HYPOTHESES!F$37*(1-HYPOTHESES!F$38)),0)</f>
        <v>841865023</v>
      </c>
      <c r="M8" s="31" t="s">
        <v>255</v>
      </c>
    </row>
    <row r="9" customFormat="false" ht="15" hidden="false" customHeight="false" outlineLevel="0" collapsed="false">
      <c r="B9" s="7" t="s">
        <v>416</v>
      </c>
      <c r="H9" s="21" t="n">
        <f aca="false">ROUND(HYPOTHESES!F$37*H8,0)</f>
        <v>168373005</v>
      </c>
      <c r="M9" s="31" t="s">
        <v>256</v>
      </c>
    </row>
    <row r="10" customFormat="false" ht="15" hidden="false" customHeight="false" outlineLevel="0" collapsed="false">
      <c r="M10" s="31" t="s">
        <v>257</v>
      </c>
    </row>
    <row r="11" customFormat="false" ht="15" hidden="false" customHeight="false" outlineLevel="0" collapsed="false">
      <c r="A11" s="27"/>
      <c r="B11" s="29" t="s">
        <v>258</v>
      </c>
      <c r="C11" s="27"/>
      <c r="D11" s="28" t="s">
        <v>237</v>
      </c>
      <c r="E11" s="28"/>
      <c r="F11" s="28" t="s">
        <v>238</v>
      </c>
      <c r="G11" s="28"/>
      <c r="H11" s="28" t="s">
        <v>239</v>
      </c>
      <c r="I11" s="28"/>
      <c r="J11" s="29" t="s">
        <v>240</v>
      </c>
      <c r="K11" s="29" t="s">
        <v>241</v>
      </c>
      <c r="M11" s="31" t="s">
        <v>259</v>
      </c>
    </row>
    <row r="12" customFormat="false" ht="15" hidden="false" customHeight="false" outlineLevel="0" collapsed="false">
      <c r="A12" s="8" t="s">
        <v>243</v>
      </c>
      <c r="B12" s="8" t="s">
        <v>244</v>
      </c>
      <c r="C12" s="8" t="s">
        <v>245</v>
      </c>
      <c r="D12" s="8" t="s">
        <v>260</v>
      </c>
      <c r="E12" s="8" t="s">
        <v>261</v>
      </c>
      <c r="F12" s="8" t="s">
        <v>262</v>
      </c>
      <c r="G12" s="8" t="s">
        <v>263</v>
      </c>
      <c r="H12" s="8" t="s">
        <v>264</v>
      </c>
      <c r="I12" s="8" t="s">
        <v>265</v>
      </c>
      <c r="J12" s="8" t="s">
        <v>240</v>
      </c>
      <c r="K12" s="8" t="s">
        <v>266</v>
      </c>
      <c r="M12" s="29" t="s">
        <v>267</v>
      </c>
      <c r="N12" s="29" t="s">
        <v>268</v>
      </c>
    </row>
    <row r="13" customFormat="false" ht="15" hidden="false" customHeight="false" outlineLevel="0" collapsed="false">
      <c r="A13" s="35" t="n">
        <v>101000</v>
      </c>
      <c r="B13" s="36" t="s">
        <v>269</v>
      </c>
      <c r="C13" s="37" t="s">
        <v>270</v>
      </c>
      <c r="D13" s="44" t="n">
        <f aca="false">IF(LEFT(A13,1)&gt;="6",0,SUMIFS('BALANCE 2026'!$H:$H,'BALANCE 2026'!$A:$A,A13))</f>
        <v>0</v>
      </c>
      <c r="E13" s="44" t="n">
        <f aca="false">IF(LEFT(A13,1)&gt;="6",0,SUMIFS('BALANCE 2026'!$I:$I,'BALANCE 2026'!$A:$A,A13))</f>
        <v>10000000</v>
      </c>
      <c r="F13" s="44" t="n">
        <f aca="false">ROUND('INVEST ET FINANCEMENT'!F$52,0)+(H13-I13)-(D13-E13)</f>
        <v>0</v>
      </c>
      <c r="G13" s="44" t="n">
        <f aca="false">ROUND('INVEST ET FINANCEMENT'!F$52,0)</f>
        <v>0</v>
      </c>
      <c r="H13" s="39" t="n">
        <v>0</v>
      </c>
      <c r="I13" s="44" t="n">
        <f aca="false">ROUND(E13+'INVEST ET FINANCEMENT'!F$52,0)</f>
        <v>10000000</v>
      </c>
      <c r="J13" s="39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3" s="40" t="n">
        <f aca="false">T_BAL_2027[[#This Row],[Clôture Débit]]-T_BAL_2027[[#This Row],[Clôture Crédit]]</f>
        <v>-10000000</v>
      </c>
      <c r="M13" s="41" t="s">
        <v>271</v>
      </c>
      <c r="N13" s="31" t="s">
        <v>272</v>
      </c>
    </row>
    <row r="14" customFormat="false" ht="15" hidden="false" customHeight="false" outlineLevel="0" collapsed="false">
      <c r="A14" s="42" t="n">
        <v>111000</v>
      </c>
      <c r="B14" s="12" t="s">
        <v>273</v>
      </c>
      <c r="C14" s="13" t="s">
        <v>274</v>
      </c>
      <c r="D14" s="15" t="n">
        <f aca="false">IF(LEFT(A14,1)&gt;="6",0,SUMIFS('BALANCE 2026'!$H:$H,'BALANCE 2026'!$A:$A,A14))</f>
        <v>0</v>
      </c>
      <c r="E14" s="15" t="n">
        <f aca="false">IF(LEFT(A14,1)&gt;="6",0,SUMIFS('BALANCE 2026'!$I:$I,'BALANCE 2026'!$A:$A,A14))</f>
        <v>2000000</v>
      </c>
      <c r="F14" s="15" t="n">
        <f aca="false">ROUND(HYPOTHESES!F$74,0)+(H14-I14)-(D14-E14)</f>
        <v>0</v>
      </c>
      <c r="G14" s="15" t="n">
        <f aca="false">ROUND(HYPOTHESES!F$74,0)</f>
        <v>0</v>
      </c>
      <c r="H14" s="21" t="n">
        <v>0</v>
      </c>
      <c r="I14" s="15" t="n">
        <f aca="false">ROUND(E14+HYPOTHESES!F$74,0)</f>
        <v>2000000</v>
      </c>
      <c r="J14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4" s="43" t="n">
        <f aca="false">T_BAL_2027[[#This Row],[Clôture Débit]]-T_BAL_2027[[#This Row],[Clôture Crédit]]</f>
        <v>-2000000</v>
      </c>
      <c r="M14" s="41" t="s">
        <v>275</v>
      </c>
      <c r="N14" s="31" t="s">
        <v>276</v>
      </c>
    </row>
    <row r="15" customFormat="false" ht="15" hidden="false" customHeight="false" outlineLevel="0" collapsed="false">
      <c r="A15" s="42" t="n">
        <v>121000</v>
      </c>
      <c r="B15" s="12" t="s">
        <v>277</v>
      </c>
      <c r="C15" s="13" t="s">
        <v>278</v>
      </c>
      <c r="D15" s="15" t="n">
        <f aca="false">IF(LEFT(A15,1)&gt;="6",0,SUMIFS('BALANCE 2026'!$H:$H,'BALANCE 2026'!$A:$A,A15))</f>
        <v>0</v>
      </c>
      <c r="E15" s="15" t="n">
        <f aca="false">IF(LEFT(A15,1)&gt;="6",0,SUMIFS('BALANCE 2026'!$I:$I,'BALANCE 2026'!$A:$A,A15))</f>
        <v>937013596</v>
      </c>
      <c r="F15" s="21" t="n">
        <f aca="false">MAX(0,(H15-I15)-(D15-E15))</f>
        <v>0</v>
      </c>
      <c r="G15" s="21" t="n">
        <f aca="false">MAX(0,(D15-E15)-(H15-I15))</f>
        <v>79535826</v>
      </c>
      <c r="H15" s="15" t="n">
        <f aca="false">ROUND(MAX(0,-(E15-D15+HYPOTHESES!F$76)),0)</f>
        <v>0</v>
      </c>
      <c r="I15" s="15" t="n">
        <f aca="false">ROUND(MAX(0,(E15-D15+HYPOTHESES!F$76)),0)</f>
        <v>1016549422</v>
      </c>
      <c r="J15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5" s="43" t="n">
        <f aca="false">T_BAL_2027[[#This Row],[Clôture Débit]]-T_BAL_2027[[#This Row],[Clôture Crédit]]</f>
        <v>-1016549422</v>
      </c>
      <c r="M15" s="41" t="s">
        <v>279</v>
      </c>
      <c r="N15" s="31" t="s">
        <v>280</v>
      </c>
    </row>
    <row r="16" customFormat="false" ht="15" hidden="false" customHeight="false" outlineLevel="0" collapsed="false">
      <c r="A16" s="42" t="n">
        <v>130100</v>
      </c>
      <c r="B16" s="12" t="s">
        <v>281</v>
      </c>
      <c r="C16" s="13" t="s">
        <v>282</v>
      </c>
      <c r="D16" s="21" t="n">
        <f aca="false">MAX(0,-SUMPRODUCT((LEFT(T_BAL_2026[Compte],1)&gt;="6")*(T_BAL_2026[Clôture Crédit]-T_BAL_2026[Clôture Débit])))</f>
        <v>0</v>
      </c>
      <c r="E16" s="21" t="n">
        <f aca="false">MAX(0,SUMPRODUCT((LEFT(T_BAL_2026[Compte],1)&gt;="6")*(T_BAL_2026[Clôture Crédit]-T_BAL_2026[Clôture Débit])))</f>
        <v>79535826</v>
      </c>
      <c r="F16" s="21" t="n">
        <f aca="false">MAX(0,(H16-I16)-(D16-E16))</f>
        <v>79535826</v>
      </c>
      <c r="G16" s="21" t="n">
        <f aca="false">MAX(0,(D16-E16)-(H16-I16))</f>
        <v>0</v>
      </c>
      <c r="H16" s="21" t="n">
        <v>0</v>
      </c>
      <c r="I16" s="21" t="n">
        <v>0</v>
      </c>
      <c r="J16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6" s="43" t="n">
        <f aca="false">T_BAL_2027[[#This Row],[Clôture Débit]]-T_BAL_2027[[#This Row],[Clôture Crédit]]</f>
        <v>0</v>
      </c>
      <c r="M16" s="41" t="s">
        <v>283</v>
      </c>
      <c r="N16" s="31" t="s">
        <v>284</v>
      </c>
    </row>
    <row r="17" customFormat="false" ht="15" hidden="false" customHeight="false" outlineLevel="0" collapsed="false">
      <c r="A17" s="42" t="n">
        <v>162002</v>
      </c>
      <c r="B17" s="12" t="s">
        <v>285</v>
      </c>
      <c r="C17" s="13" t="s">
        <v>213</v>
      </c>
      <c r="D17" s="15" t="n">
        <f aca="false">IF(LEFT(A17,1)&gt;="6",0,SUMIFS('BALANCE 2026'!$H:$H,'BALANCE 2026'!$A:$A,A17))</f>
        <v>0</v>
      </c>
      <c r="E17" s="15" t="n">
        <f aca="false">IF(LEFT(A17,1)&gt;="6",0,SUMIFS('BALANCE 2026'!$I:$I,'BALANCE 2026'!$A:$A,A17))</f>
        <v>0</v>
      </c>
      <c r="F17" s="15" t="n">
        <f aca="false">ROUND('INVEST ET FINANCEMENT'!F$48,0)+(H17-I17)-(D17-E17)</f>
        <v>0</v>
      </c>
      <c r="G17" s="15" t="n">
        <f aca="false">ROUND('INVEST ET FINANCEMENT'!F$48,0)</f>
        <v>0</v>
      </c>
      <c r="H17" s="21" t="n">
        <v>0</v>
      </c>
      <c r="I17" s="15" t="n">
        <f aca="false">ROUND(E17+'INVEST ET FINANCEMENT'!F$48-'INVEST ET FINANCEMENT'!F$49,0)</f>
        <v>0</v>
      </c>
      <c r="J17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7" s="43" t="n">
        <f aca="false">T_BAL_2027[[#This Row],[Clôture Débit]]-T_BAL_2027[[#This Row],[Clôture Crédit]]</f>
        <v>0</v>
      </c>
      <c r="M17" s="41" t="s">
        <v>286</v>
      </c>
      <c r="N17" s="31" t="s">
        <v>287</v>
      </c>
    </row>
    <row r="18" customFormat="false" ht="15" hidden="false" customHeight="false" outlineLevel="0" collapsed="false">
      <c r="A18" s="42" t="n">
        <v>173060</v>
      </c>
      <c r="B18" s="12" t="s">
        <v>288</v>
      </c>
      <c r="C18" s="13" t="s">
        <v>216</v>
      </c>
      <c r="D18" s="15" t="n">
        <f aca="false">IF(LEFT(A18,1)&gt;="6",0,SUMIFS('BALANCE 2026'!$H:$H,'BALANCE 2026'!$A:$A,A18))</f>
        <v>0</v>
      </c>
      <c r="E18" s="15" t="n">
        <f aca="false">IF(LEFT(A18,1)&gt;="6",0,SUMIFS('BALANCE 2026'!$I:$I,'BALANCE 2026'!$A:$A,A18))</f>
        <v>0</v>
      </c>
      <c r="F18" s="15" t="n">
        <f aca="false">ROUND('INVEST ET FINANCEMENT'!F$50,0)</f>
        <v>0</v>
      </c>
      <c r="G18" s="15" t="n">
        <f aca="false">ROUND('INVEST ET FINANCEMENT'!F$50,0)+(D18-E18)-(H18-I18)</f>
        <v>0</v>
      </c>
      <c r="H18" s="21" t="n">
        <v>0</v>
      </c>
      <c r="I18" s="15" t="n">
        <f aca="false">ROUND(E18-'INVEST ET FINANCEMENT'!F$50,0)</f>
        <v>0</v>
      </c>
      <c r="J18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8" s="43" t="n">
        <f aca="false">T_BAL_2027[[#This Row],[Clôture Débit]]-T_BAL_2027[[#This Row],[Clôture Crédit]]</f>
        <v>0</v>
      </c>
      <c r="M18" s="41" t="s">
        <v>289</v>
      </c>
      <c r="N18" s="31" t="s">
        <v>290</v>
      </c>
    </row>
    <row r="19" customFormat="false" ht="15" hidden="false" customHeight="false" outlineLevel="0" collapsed="false">
      <c r="A19" s="42" t="n">
        <v>196100</v>
      </c>
      <c r="B19" s="12" t="s">
        <v>291</v>
      </c>
      <c r="C19" s="13" t="s">
        <v>292</v>
      </c>
      <c r="D19" s="15" t="n">
        <f aca="false">IF(LEFT(A19,1)&gt;="6",0,SUMIFS('BALANCE 2026'!$H:$H,'BALANCE 2026'!$A:$A,A19))</f>
        <v>0</v>
      </c>
      <c r="E19" s="15" t="n">
        <f aca="false">IF(LEFT(A19,1)&gt;="6",0,SUMIFS('BALANCE 2026'!$I:$I,'BALANCE 2026'!$A:$A,A19))</f>
        <v>35030327</v>
      </c>
      <c r="F19" s="15" t="n">
        <f aca="false">ROUND(HYPOTHESES!F$28,0)+(H19-I19)-(D19-E19)</f>
        <v>0</v>
      </c>
      <c r="G19" s="15" t="n">
        <f aca="false">ROUND(HYPOTHESES!F$28,0)</f>
        <v>7151391</v>
      </c>
      <c r="H19" s="21" t="n">
        <v>0</v>
      </c>
      <c r="I19" s="15" t="n">
        <f aca="false">ROUND(E19+HYPOTHESES!F$28,0)</f>
        <v>42181718</v>
      </c>
      <c r="J19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9" s="43" t="n">
        <f aca="false">T_BAL_2027[[#This Row],[Clôture Débit]]-T_BAL_2027[[#This Row],[Clôture Crédit]]</f>
        <v>-42181718</v>
      </c>
      <c r="M19" s="41" t="s">
        <v>293</v>
      </c>
      <c r="N19" s="31" t="s">
        <v>294</v>
      </c>
    </row>
    <row r="20" customFormat="false" ht="15" hidden="false" customHeight="false" outlineLevel="0" collapsed="false">
      <c r="A20" s="35" t="n">
        <v>234100</v>
      </c>
      <c r="B20" s="36" t="s">
        <v>295</v>
      </c>
      <c r="C20" s="37" t="s">
        <v>296</v>
      </c>
      <c r="D20" s="44" t="n">
        <f aca="false">IF(LEFT(A20,1)&gt;="6",0,SUMIFS('BALANCE 2026'!$H:$H,'BALANCE 2026'!$A:$A,A20))</f>
        <v>103601492</v>
      </c>
      <c r="E20" s="44" t="n">
        <f aca="false">IF(LEFT(A20,1)&gt;="6",0,SUMIFS('BALANCE 2026'!$I:$I,'BALANCE 2026'!$A:$A,A20))</f>
        <v>0</v>
      </c>
      <c r="F20" s="44" t="n">
        <f aca="false">ROUND('INVEST ET FINANCEMENT'!F$9,0)</f>
        <v>0</v>
      </c>
      <c r="G20" s="44" t="n">
        <f aca="false">ROUND('INVEST ET FINANCEMENT'!F$9,0)+(D20-E20)-(H20-I20)</f>
        <v>0</v>
      </c>
      <c r="H20" s="44" t="n">
        <f aca="false">ROUND(D20+'INVEST ET FINANCEMENT'!F$9,0)</f>
        <v>103601492</v>
      </c>
      <c r="I20" s="39" t="n">
        <v>0</v>
      </c>
      <c r="J20" s="39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0" s="40" t="n">
        <f aca="false">T_BAL_2027[[#This Row],[Clôture Débit]]-T_BAL_2027[[#This Row],[Clôture Crédit]]</f>
        <v>103601492</v>
      </c>
      <c r="M20" s="41" t="s">
        <v>297</v>
      </c>
      <c r="N20" s="31" t="s">
        <v>298</v>
      </c>
    </row>
    <row r="21" customFormat="false" ht="15" hidden="false" customHeight="false" outlineLevel="0" collapsed="false">
      <c r="A21" s="42" t="n">
        <v>241100</v>
      </c>
      <c r="B21" s="12" t="s">
        <v>299</v>
      </c>
      <c r="C21" s="13" t="s">
        <v>300</v>
      </c>
      <c r="D21" s="15" t="n">
        <f aca="false">IF(LEFT(A21,1)&gt;="6",0,SUMIFS('BALANCE 2026'!$H:$H,'BALANCE 2026'!$A:$A,A21))</f>
        <v>343845268</v>
      </c>
      <c r="E21" s="15" t="n">
        <f aca="false">IF(LEFT(A21,1)&gt;="6",0,SUMIFS('BALANCE 2026'!$I:$I,'BALANCE 2026'!$A:$A,A21))</f>
        <v>0</v>
      </c>
      <c r="F21" s="15" t="n">
        <f aca="false">ROUND('INVEST ET FINANCEMENT'!F$10,0)</f>
        <v>30000000</v>
      </c>
      <c r="G21" s="15" t="n">
        <f aca="false">ROUND('INVEST ET FINANCEMENT'!F$10,0)+(D21-E21)-(H21-I21)</f>
        <v>0</v>
      </c>
      <c r="H21" s="15" t="n">
        <f aca="false">ROUND(D21+'INVEST ET FINANCEMENT'!F$10,0)</f>
        <v>373845268</v>
      </c>
      <c r="I21" s="21" t="n">
        <v>0</v>
      </c>
      <c r="J21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1" s="43" t="n">
        <f aca="false">T_BAL_2027[[#This Row],[Clôture Débit]]-T_BAL_2027[[#This Row],[Clôture Crédit]]</f>
        <v>373845268</v>
      </c>
      <c r="M21" s="41" t="s">
        <v>301</v>
      </c>
      <c r="N21" s="31" t="s">
        <v>302</v>
      </c>
    </row>
    <row r="22" customFormat="false" ht="15" hidden="false" customHeight="false" outlineLevel="0" collapsed="false">
      <c r="A22" s="42" t="n">
        <v>244100</v>
      </c>
      <c r="B22" s="12" t="s">
        <v>303</v>
      </c>
      <c r="C22" s="13" t="s">
        <v>300</v>
      </c>
      <c r="D22" s="15" t="n">
        <f aca="false">IF(LEFT(A22,1)&gt;="6",0,SUMIFS('BALANCE 2026'!$H:$H,'BALANCE 2026'!$A:$A,A22))</f>
        <v>9306956</v>
      </c>
      <c r="E22" s="15" t="n">
        <f aca="false">IF(LEFT(A22,1)&gt;="6",0,SUMIFS('BALANCE 2026'!$I:$I,'BALANCE 2026'!$A:$A,A22))</f>
        <v>0</v>
      </c>
      <c r="F22" s="21" t="n">
        <f aca="false">MAX(0,(H22-I22)-(D22-E22))</f>
        <v>0</v>
      </c>
      <c r="G22" s="21" t="n">
        <f aca="false">MAX(0,(D22-E22)-(H22-I22))</f>
        <v>0</v>
      </c>
      <c r="H22" s="21" t="n">
        <f aca="false">ROUND(D22,0)</f>
        <v>9306956</v>
      </c>
      <c r="I22" s="21" t="n">
        <v>0</v>
      </c>
      <c r="J22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2" s="43" t="n">
        <f aca="false">T_BAL_2027[[#This Row],[Clôture Débit]]-T_BAL_2027[[#This Row],[Clôture Crédit]]</f>
        <v>9306956</v>
      </c>
    </row>
    <row r="23" customFormat="false" ht="15" hidden="false" customHeight="false" outlineLevel="0" collapsed="false">
      <c r="A23" s="42" t="n">
        <v>244200</v>
      </c>
      <c r="B23" s="12" t="s">
        <v>304</v>
      </c>
      <c r="C23" s="13" t="s">
        <v>300</v>
      </c>
      <c r="D23" s="15" t="n">
        <f aca="false">IF(LEFT(A23,1)&gt;="6",0,SUMIFS('BALANCE 2026'!$H:$H,'BALANCE 2026'!$A:$A,A23))</f>
        <v>18910459</v>
      </c>
      <c r="E23" s="15" t="n">
        <f aca="false">IF(LEFT(A23,1)&gt;="6",0,SUMIFS('BALANCE 2026'!$I:$I,'BALANCE 2026'!$A:$A,A23))</f>
        <v>0</v>
      </c>
      <c r="F23" s="15" t="n">
        <f aca="false">ROUND('INVEST ET FINANCEMENT'!F$11,0)</f>
        <v>5000000</v>
      </c>
      <c r="G23" s="15" t="n">
        <f aca="false">ROUND('INVEST ET FINANCEMENT'!F$11,0)+(D23-E23)-(H23-I23)</f>
        <v>0</v>
      </c>
      <c r="H23" s="15" t="n">
        <f aca="false">ROUND(D23+'INVEST ET FINANCEMENT'!F$11,0)</f>
        <v>23910459</v>
      </c>
      <c r="I23" s="21" t="n">
        <v>0</v>
      </c>
      <c r="J23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3" s="43" t="n">
        <f aca="false">T_BAL_2027[[#This Row],[Clôture Débit]]-T_BAL_2027[[#This Row],[Clôture Crédit]]</f>
        <v>23910459</v>
      </c>
    </row>
    <row r="24" customFormat="false" ht="15" hidden="false" customHeight="false" outlineLevel="0" collapsed="false">
      <c r="A24" s="42" t="n">
        <v>245100</v>
      </c>
      <c r="B24" s="12" t="s">
        <v>305</v>
      </c>
      <c r="C24" s="13" t="s">
        <v>306</v>
      </c>
      <c r="D24" s="15" t="n">
        <f aca="false">IF(LEFT(A24,1)&gt;="6",0,SUMIFS('BALANCE 2026'!$H:$H,'BALANCE 2026'!$A:$A,A24))</f>
        <v>452257899</v>
      </c>
      <c r="E24" s="15" t="n">
        <f aca="false">IF(LEFT(A24,1)&gt;="6",0,SUMIFS('BALANCE 2026'!$I:$I,'BALANCE 2026'!$A:$A,A24))</f>
        <v>0</v>
      </c>
      <c r="F24" s="15" t="n">
        <f aca="false">ROUND('INVEST ET FINANCEMENT'!F$12+'INVEST ET FINANCEMENT'!F$14,0)</f>
        <v>0</v>
      </c>
      <c r="G24" s="15" t="n">
        <f aca="false">ROUND('INVEST ET FINANCEMENT'!F$12+'INVEST ET FINANCEMENT'!F$14,0)+(D24-E24)-(H24-I24)</f>
        <v>0</v>
      </c>
      <c r="H24" s="15" t="n">
        <f aca="false">ROUND(D24+'INVEST ET FINANCEMENT'!F$12+'INVEST ET FINANCEMENT'!F$14,0)</f>
        <v>452257899</v>
      </c>
      <c r="I24" s="21" t="n">
        <v>0</v>
      </c>
      <c r="J24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4" s="43" t="n">
        <f aca="false">T_BAL_2027[[#This Row],[Clôture Débit]]-T_BAL_2027[[#This Row],[Clôture Crédit]]</f>
        <v>452257899</v>
      </c>
    </row>
    <row r="25" customFormat="false" ht="15" hidden="false" customHeight="false" outlineLevel="0" collapsed="false">
      <c r="A25" s="42" t="n">
        <v>245600</v>
      </c>
      <c r="B25" s="12" t="s">
        <v>307</v>
      </c>
      <c r="C25" s="13" t="s">
        <v>306</v>
      </c>
      <c r="D25" s="15" t="n">
        <f aca="false">IF(LEFT(A25,1)&gt;="6",0,SUMIFS('BALANCE 2026'!$H:$H,'BALANCE 2026'!$A:$A,A25))</f>
        <v>0</v>
      </c>
      <c r="E25" s="15" t="n">
        <f aca="false">IF(LEFT(A25,1)&gt;="6",0,SUMIFS('BALANCE 2026'!$I:$I,'BALANCE 2026'!$A:$A,A25))</f>
        <v>0</v>
      </c>
      <c r="F25" s="15" t="n">
        <f aca="false">ROUND('INVEST ET FINANCEMENT'!F$14,0)+(H25-I25)-(D25-E25)</f>
        <v>0</v>
      </c>
      <c r="G25" s="15" t="n">
        <f aca="false">ROUND('INVEST ET FINANCEMENT'!F$14,0)</f>
        <v>0</v>
      </c>
      <c r="H25" s="15" t="n">
        <f aca="false">ROUND(D25-'INVEST ET FINANCEMENT'!F$14,0)</f>
        <v>0</v>
      </c>
      <c r="I25" s="21" t="n">
        <v>0</v>
      </c>
      <c r="J25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5" s="43" t="n">
        <f aca="false">T_BAL_2027[[#This Row],[Clôture Débit]]-T_BAL_2027[[#This Row],[Clôture Crédit]]</f>
        <v>0</v>
      </c>
    </row>
    <row r="26" customFormat="false" ht="15" hidden="false" customHeight="false" outlineLevel="0" collapsed="false">
      <c r="A26" s="42" t="n">
        <v>271800</v>
      </c>
      <c r="B26" s="12" t="s">
        <v>308</v>
      </c>
      <c r="C26" s="13" t="s">
        <v>309</v>
      </c>
      <c r="D26" s="15" t="n">
        <f aca="false">IF(LEFT(A26,1)&gt;="6",0,SUMIFS('BALANCE 2026'!$H:$H,'BALANCE 2026'!$A:$A,A26))</f>
        <v>25000000</v>
      </c>
      <c r="E26" s="15" t="n">
        <f aca="false">IF(LEFT(A26,1)&gt;="6",0,SUMIFS('BALANCE 2026'!$I:$I,'BALANCE 2026'!$A:$A,A26))</f>
        <v>0</v>
      </c>
      <c r="F26" s="21" t="n">
        <f aca="false">MAX(0,(H26-I26)-(D26-E26))</f>
        <v>0</v>
      </c>
      <c r="G26" s="21" t="n">
        <f aca="false">MAX(0,(D26-E26)-(H26-I26))</f>
        <v>0</v>
      </c>
      <c r="H26" s="21" t="n">
        <f aca="false">ROUND(D26,0)</f>
        <v>25000000</v>
      </c>
      <c r="I26" s="21" t="n">
        <v>0</v>
      </c>
      <c r="J26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6" s="43" t="n">
        <f aca="false">T_BAL_2027[[#This Row],[Clôture Débit]]-T_BAL_2027[[#This Row],[Clôture Crédit]]</f>
        <v>25000000</v>
      </c>
    </row>
    <row r="27" customFormat="false" ht="15" hidden="false" customHeight="false" outlineLevel="0" collapsed="false">
      <c r="A27" s="42" t="n">
        <v>275100</v>
      </c>
      <c r="B27" s="12" t="s">
        <v>310</v>
      </c>
      <c r="C27" s="13" t="s">
        <v>309</v>
      </c>
      <c r="D27" s="15" t="n">
        <f aca="false">IF(LEFT(A27,1)&gt;="6",0,SUMIFS('BALANCE 2026'!$H:$H,'BALANCE 2026'!$A:$A,A27))</f>
        <v>231420138</v>
      </c>
      <c r="E27" s="15" t="n">
        <f aca="false">IF(LEFT(A27,1)&gt;="6",0,SUMIFS('BALANCE 2026'!$I:$I,'BALANCE 2026'!$A:$A,A27))</f>
        <v>0</v>
      </c>
      <c r="F27" s="15" t="n">
        <f aca="false">ROUND('INVEST ET FINANCEMENT'!F$13,0)</f>
        <v>0</v>
      </c>
      <c r="G27" s="15" t="n">
        <f aca="false">ROUND('INVEST ET FINANCEMENT'!F$13,0)+(D27-E27)-(H27-I27)</f>
        <v>0</v>
      </c>
      <c r="H27" s="15" t="n">
        <f aca="false">ROUND(D27+'INVEST ET FINANCEMENT'!F$13,0)</f>
        <v>231420138</v>
      </c>
      <c r="I27" s="21" t="n">
        <v>0</v>
      </c>
      <c r="J27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7" s="43" t="n">
        <f aca="false">T_BAL_2027[[#This Row],[Clôture Débit]]-T_BAL_2027[[#This Row],[Clôture Crédit]]</f>
        <v>231420138</v>
      </c>
    </row>
    <row r="28" customFormat="false" ht="15" hidden="false" customHeight="false" outlineLevel="0" collapsed="false">
      <c r="A28" s="42" t="n">
        <v>283400</v>
      </c>
      <c r="B28" s="12" t="s">
        <v>311</v>
      </c>
      <c r="C28" s="13" t="s">
        <v>296</v>
      </c>
      <c r="D28" s="15" t="n">
        <f aca="false">IF(LEFT(A28,1)&gt;="6",0,SUMIFS('BALANCE 2026'!$H:$H,'BALANCE 2026'!$A:$A,A28))</f>
        <v>0</v>
      </c>
      <c r="E28" s="15" t="n">
        <f aca="false">IF(LEFT(A28,1)&gt;="6",0,SUMIFS('BALANCE 2026'!$I:$I,'BALANCE 2026'!$A:$A,A28))</f>
        <v>80402166</v>
      </c>
      <c r="F28" s="15" t="n">
        <f aca="false">ROUND('INVEST ET FINANCEMENT'!F$32,0)+(H28-I28)-(D28-E28)</f>
        <v>0</v>
      </c>
      <c r="G28" s="15" t="n">
        <f aca="false">ROUND('INVEST ET FINANCEMENT'!F$32,0)</f>
        <v>19282845</v>
      </c>
      <c r="H28" s="21" t="n">
        <v>0</v>
      </c>
      <c r="I28" s="15" t="n">
        <f aca="false">ROUND(E28+'INVEST ET FINANCEMENT'!F$32,0)</f>
        <v>99685011</v>
      </c>
      <c r="J28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8" s="43" t="n">
        <f aca="false">T_BAL_2027[[#This Row],[Clôture Débit]]-T_BAL_2027[[#This Row],[Clôture Crédit]]</f>
        <v>-99685011</v>
      </c>
    </row>
    <row r="29" customFormat="false" ht="15" hidden="false" customHeight="false" outlineLevel="0" collapsed="false">
      <c r="A29" s="42" t="n">
        <v>284100</v>
      </c>
      <c r="B29" s="12" t="s">
        <v>312</v>
      </c>
      <c r="C29" s="13" t="s">
        <v>300</v>
      </c>
      <c r="D29" s="15" t="n">
        <f aca="false">IF(LEFT(A29,1)&gt;="6",0,SUMIFS('BALANCE 2026'!$H:$H,'BALANCE 2026'!$A:$A,A29))</f>
        <v>0</v>
      </c>
      <c r="E29" s="15" t="n">
        <f aca="false">IF(LEFT(A29,1)&gt;="6",0,SUMIFS('BALANCE 2026'!$I:$I,'BALANCE 2026'!$A:$A,A29))</f>
        <v>152376163</v>
      </c>
      <c r="F29" s="15" t="n">
        <f aca="false">ROUND('INVEST ET FINANCEMENT'!F$35,0)+(H29-I29)-(D29-E29)</f>
        <v>0</v>
      </c>
      <c r="G29" s="15" t="n">
        <f aca="false">ROUND('INVEST ET FINANCEMENT'!F$35,0)</f>
        <v>56854932</v>
      </c>
      <c r="H29" s="21" t="n">
        <v>0</v>
      </c>
      <c r="I29" s="15" t="n">
        <f aca="false">ROUND(E29+'INVEST ET FINANCEMENT'!F$35,0)</f>
        <v>209231095</v>
      </c>
      <c r="J29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9" s="43" t="n">
        <f aca="false">T_BAL_2027[[#This Row],[Clôture Débit]]-T_BAL_2027[[#This Row],[Clôture Crédit]]</f>
        <v>-209231095</v>
      </c>
    </row>
    <row r="30" customFormat="false" ht="15" hidden="false" customHeight="false" outlineLevel="0" collapsed="false">
      <c r="A30" s="42" t="n">
        <v>284400</v>
      </c>
      <c r="B30" s="12" t="s">
        <v>313</v>
      </c>
      <c r="C30" s="13" t="s">
        <v>300</v>
      </c>
      <c r="D30" s="15" t="n">
        <f aca="false">IF(LEFT(A30,1)&gt;="6",0,SUMIFS('BALANCE 2026'!$H:$H,'BALANCE 2026'!$A:$A,A30))</f>
        <v>0</v>
      </c>
      <c r="E30" s="15" t="n">
        <f aca="false">IF(LEFT(A30,1)&gt;="6",0,SUMIFS('BALANCE 2026'!$I:$I,'BALANCE 2026'!$A:$A,A30))</f>
        <v>25717415</v>
      </c>
      <c r="F30" s="15" t="n">
        <f aca="false">ROUND('INVEST ET FINANCEMENT'!F$38,0)+(H30-I30)-(D30-E30)</f>
        <v>0</v>
      </c>
      <c r="G30" s="15" t="n">
        <f aca="false">ROUND('INVEST ET FINANCEMENT'!F$38,0)</f>
        <v>5000000</v>
      </c>
      <c r="H30" s="21" t="n">
        <v>0</v>
      </c>
      <c r="I30" s="15" t="n">
        <f aca="false">ROUND(E30+'INVEST ET FINANCEMENT'!F$38,0)</f>
        <v>30717415</v>
      </c>
      <c r="J30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0" s="43" t="n">
        <f aca="false">T_BAL_2027[[#This Row],[Clôture Débit]]-T_BAL_2027[[#This Row],[Clôture Crédit]]</f>
        <v>-30717415</v>
      </c>
    </row>
    <row r="31" customFormat="false" ht="15" hidden="false" customHeight="false" outlineLevel="0" collapsed="false">
      <c r="A31" s="42" t="n">
        <v>284500</v>
      </c>
      <c r="B31" s="12" t="s">
        <v>314</v>
      </c>
      <c r="C31" s="13" t="s">
        <v>306</v>
      </c>
      <c r="D31" s="15" t="n">
        <f aca="false">IF(LEFT(A31,1)&gt;="6",0,SUMIFS('BALANCE 2026'!$H:$H,'BALANCE 2026'!$A:$A,A31))</f>
        <v>0</v>
      </c>
      <c r="E31" s="15" t="n">
        <f aca="false">IF(LEFT(A31,1)&gt;="6",0,SUMIFS('BALANCE 2026'!$I:$I,'BALANCE 2026'!$A:$A,A31))</f>
        <v>394825832</v>
      </c>
      <c r="F31" s="15" t="n">
        <f aca="false">ROUND('INVEST ET FINANCEMENT'!F$41,0)+(H31-I31)-(D31-E31)</f>
        <v>0</v>
      </c>
      <c r="G31" s="15" t="n">
        <f aca="false">ROUND('INVEST ET FINANCEMENT'!F$41,0)</f>
        <v>15958378</v>
      </c>
      <c r="H31" s="21" t="n">
        <v>0</v>
      </c>
      <c r="I31" s="15" t="n">
        <f aca="false">ROUND(E31+'INVEST ET FINANCEMENT'!F$41,0)</f>
        <v>410784210</v>
      </c>
      <c r="J31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1" s="43" t="n">
        <f aca="false">T_BAL_2027[[#This Row],[Clôture Débit]]-T_BAL_2027[[#This Row],[Clôture Crédit]]</f>
        <v>-410784210</v>
      </c>
    </row>
    <row r="32" customFormat="false" ht="15" hidden="false" customHeight="false" outlineLevel="0" collapsed="false">
      <c r="A32" s="35" t="n">
        <v>401100</v>
      </c>
      <c r="B32" s="36" t="s">
        <v>315</v>
      </c>
      <c r="C32" s="37" t="s">
        <v>316</v>
      </c>
      <c r="D32" s="44" t="n">
        <f aca="false">IF(LEFT(A32,1)&gt;="6",0,SUMIFS('BALANCE 2026'!$H:$H,'BALANCE 2026'!$A:$A,A32))</f>
        <v>0</v>
      </c>
      <c r="E32" s="44" t="n">
        <f aca="false">IF(LEFT(A32,1)&gt;="6",0,SUMIFS('BALANCE 2026'!$I:$I,'BALANCE 2026'!$A:$A,A32))</f>
        <v>81170835</v>
      </c>
      <c r="F32" s="44" t="n">
        <f aca="false">ROUND(HYPOTHESES!F$64*(1+HYPOTHESES!F$10),0)+(H32-I32)-(D32-E32)</f>
        <v>534232260</v>
      </c>
      <c r="G32" s="44" t="n">
        <f aca="false">ROUND(HYPOTHESES!F$64*(1+HYPOTHESES!F$10),0)</f>
        <v>538290802</v>
      </c>
      <c r="H32" s="39" t="n">
        <v>0</v>
      </c>
      <c r="I32" s="44" t="n">
        <f aca="false">ROUND(HYPOTHESES!F$64*(1+HYPOTHESES!F$10)*HYPOTHESES!F$31/360,0)</f>
        <v>85229377</v>
      </c>
      <c r="J32" s="39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2" s="40" t="n">
        <f aca="false">T_BAL_2027[[#This Row],[Clôture Débit]]-T_BAL_2027[[#This Row],[Clôture Crédit]]</f>
        <v>-85229377</v>
      </c>
    </row>
    <row r="33" customFormat="false" ht="15" hidden="false" customHeight="false" outlineLevel="0" collapsed="false">
      <c r="A33" s="42" t="n">
        <v>409100</v>
      </c>
      <c r="B33" s="12" t="s">
        <v>317</v>
      </c>
      <c r="C33" s="13" t="s">
        <v>318</v>
      </c>
      <c r="D33" s="15" t="n">
        <f aca="false">IF(LEFT(A33,1)&gt;="6",0,SUMIFS('BALANCE 2026'!$H:$H,'BALANCE 2026'!$A:$A,A33))</f>
        <v>0</v>
      </c>
      <c r="E33" s="15" t="n">
        <f aca="false">IF(LEFT(A33,1)&gt;="6",0,SUMIFS('BALANCE 2026'!$I:$I,'BALANCE 2026'!$A:$A,A33))</f>
        <v>0</v>
      </c>
      <c r="F33" s="21" t="n">
        <f aca="false">MAX(0,(H33-I33)-(D33-E33))</f>
        <v>0</v>
      </c>
      <c r="G33" s="21" t="n">
        <f aca="false">MAX(0,(D33-E33)-(H33-I33))</f>
        <v>0</v>
      </c>
      <c r="H33" s="15" t="n">
        <f aca="false">ROUND(IF(LEFT(A33,1)&gt;="6",IF(C33="RE",IF(HYPOTHESES!$C$51=0,0,HYPOTHESES!F$51*SUMIFS('BALANCE 2024'!$H:$H,'BALANCE 2024'!$A:$A,A33)/HYPOTHESES!$C$51),IF(C33="RG",IF(HYPOTHESES!$C$52=0,0,HYPOTHESES!F$52*SUMIFS('BALANCE 2024'!$H:$H,'BALANCE 2024'!$A:$A,A33)/HYPOTHESES!$C$52),IF(C33="RH",IF(HYPOTHESES!$C$53=0,0,HYPOTHESES!F$53*SUMIFS('BALANCE 2024'!$H:$H,'BALANCE 2024'!$A:$A,A33)/HYPOTHESES!$C$53),IF(C33="RI",IF(HYPOTHESES!$C$54=0,0,HYPOTHESES!F$54*SUMIFS('BALANCE 2024'!$H:$H,'BALANCE 2024'!$A:$A,A33)/HYPOTHESES!$C$54),IF(C33="RJ",IF(HYPOTHESES!$C$55=0,0,HYPOTHESES!F$55*SUMIFS('BALANCE 2024'!$H:$H,'BALANCE 2024'!$A:$A,A33)/HYPOTHESES!$C$55),IF(C33="RK",IF(HYPOTHESES!$C$56=0,0,HYPOTHESES!F$56*SUMIFS('BALANCE 2024'!$H:$H,'BALANCE 2024'!$A:$A,A33)/HYPOTHESES!$C$56),0)))))),MAX(0,D33-E33)),0)</f>
        <v>0</v>
      </c>
      <c r="I33" s="21" t="n">
        <f aca="false">ROUND(IF(LEFT(A33,1)&gt;="6",0,MAX(0,E33-D33)),0)</f>
        <v>0</v>
      </c>
      <c r="J33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3" s="43" t="n">
        <f aca="false">T_BAL_2027[[#This Row],[Clôture Débit]]-T_BAL_2027[[#This Row],[Clôture Crédit]]</f>
        <v>0</v>
      </c>
    </row>
    <row r="34" customFormat="false" ht="15" hidden="false" customHeight="false" outlineLevel="0" collapsed="false">
      <c r="A34" s="42" t="n">
        <v>411100</v>
      </c>
      <c r="B34" s="12" t="s">
        <v>319</v>
      </c>
      <c r="C34" s="13" t="s">
        <v>320</v>
      </c>
      <c r="D34" s="15" t="n">
        <f aca="false">IF(LEFT(A34,1)&gt;="6",0,SUMIFS('BALANCE 2026'!$H:$H,'BALANCE 2026'!$A:$A,A34))</f>
        <v>508573077</v>
      </c>
      <c r="E34" s="15" t="n">
        <f aca="false">IF(LEFT(A34,1)&gt;="6",0,SUMIFS('BALANCE 2026'!$I:$I,'BALANCE 2026'!$A:$A,A34))</f>
        <v>0</v>
      </c>
      <c r="F34" s="15" t="n">
        <f aca="false">ROUND(HYPOTHESES!F$50*(1+HYPOTHESES!F$10),0)</f>
        <v>975840727</v>
      </c>
      <c r="G34" s="15" t="n">
        <f aca="false">ROUND(HYPOTHESES!F$50*(1+HYPOTHESES!F$10),0)+(D34-E34)-(H34-I34)</f>
        <v>950412073</v>
      </c>
      <c r="H34" s="15" t="n">
        <f aca="false">ROUND(HYPOTHESES!F$50*(1+HYPOTHESES!F$10)*HYPOTHESES!F$30/360,0)</f>
        <v>534001731</v>
      </c>
      <c r="I34" s="21" t="n">
        <v>0</v>
      </c>
      <c r="J34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4" s="43" t="n">
        <f aca="false">T_BAL_2027[[#This Row],[Clôture Débit]]-T_BAL_2027[[#This Row],[Clôture Crédit]]</f>
        <v>534001731</v>
      </c>
    </row>
    <row r="35" customFormat="false" ht="15" hidden="false" customHeight="false" outlineLevel="0" collapsed="false">
      <c r="A35" s="42" t="n">
        <v>422000</v>
      </c>
      <c r="B35" s="12" t="s">
        <v>321</v>
      </c>
      <c r="C35" s="13" t="s">
        <v>322</v>
      </c>
      <c r="D35" s="15" t="n">
        <f aca="false">IF(LEFT(A35,1)&gt;="6",0,SUMIFS('BALANCE 2026'!$H:$H,'BALANCE 2026'!$A:$A,A35))</f>
        <v>0</v>
      </c>
      <c r="E35" s="15" t="n">
        <f aca="false">IF(LEFT(A35,1)&gt;="6",0,SUMIFS('BALANCE 2026'!$I:$I,'BALANCE 2026'!$A:$A,A35))</f>
        <v>7611780</v>
      </c>
      <c r="F35" s="15" t="n">
        <f aca="false">ROUND(IF(HYPOTHESES!$C$56=0,0,'BALANCE 2024'!$G$35*HYPOTHESES!F$56/HYPOTHESES!$C$56),0)+(H35-I35)-(D35-E35)</f>
        <v>95527844</v>
      </c>
      <c r="G35" s="15" t="n">
        <f aca="false">ROUND(IF(HYPOTHESES!$C$56=0,0,'BALANCE 2024'!$G$35*HYPOTHESES!F$56/HYPOTHESES!$C$56),0)</f>
        <v>95908433</v>
      </c>
      <c r="H35" s="21" t="n">
        <v>0</v>
      </c>
      <c r="I35" s="15" t="n">
        <f aca="false">ROUND(IF(HYPOTHESES!$C$56=0,0,'BALANCE 2024'!$G$35*HYPOTHESES!F$56/HYPOTHESES!$C$56)*HYPOTHESES!F$26/12,0)</f>
        <v>7992369</v>
      </c>
      <c r="J35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5" s="43" t="n">
        <f aca="false">T_BAL_2027[[#This Row],[Clôture Débit]]-T_BAL_2027[[#This Row],[Clôture Crédit]]</f>
        <v>-7992369</v>
      </c>
    </row>
    <row r="36" customFormat="false" ht="15" hidden="false" customHeight="false" outlineLevel="0" collapsed="false">
      <c r="A36" s="42" t="n">
        <v>431100</v>
      </c>
      <c r="B36" s="12" t="s">
        <v>323</v>
      </c>
      <c r="C36" s="13" t="s">
        <v>322</v>
      </c>
      <c r="D36" s="15" t="n">
        <f aca="false">IF(LEFT(A36,1)&gt;="6",0,SUMIFS('BALANCE 2026'!$H:$H,'BALANCE 2026'!$A:$A,A36))</f>
        <v>0</v>
      </c>
      <c r="E36" s="15" t="n">
        <f aca="false">IF(LEFT(A36,1)&gt;="6",0,SUMIFS('BALANCE 2026'!$I:$I,'BALANCE 2026'!$A:$A,A36))</f>
        <v>323438</v>
      </c>
      <c r="F36" s="15" t="n">
        <f aca="false">ROUND(HYPOTHESES!F$60,0)+(H36-I36)-(D36-E36)</f>
        <v>4355625</v>
      </c>
      <c r="G36" s="15" t="n">
        <f aca="false">ROUND(HYPOTHESES!F$60,0)</f>
        <v>4398750</v>
      </c>
      <c r="H36" s="21" t="n">
        <v>0</v>
      </c>
      <c r="I36" s="15" t="n">
        <f aca="false">ROUND(HYPOTHESES!F$60/12,0)</f>
        <v>366563</v>
      </c>
      <c r="J36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6" s="43" t="n">
        <f aca="false">T_BAL_2027[[#This Row],[Clôture Débit]]-T_BAL_2027[[#This Row],[Clôture Crédit]]</f>
        <v>-366563</v>
      </c>
    </row>
    <row r="37" customFormat="false" ht="15" hidden="false" customHeight="false" outlineLevel="0" collapsed="false">
      <c r="A37" s="42" t="n">
        <v>431200</v>
      </c>
      <c r="B37" s="12" t="s">
        <v>324</v>
      </c>
      <c r="C37" s="13" t="s">
        <v>322</v>
      </c>
      <c r="D37" s="15" t="n">
        <f aca="false">IF(LEFT(A37,1)&gt;="6",0,SUMIFS('BALANCE 2026'!$H:$H,'BALANCE 2026'!$A:$A,A37))</f>
        <v>0</v>
      </c>
      <c r="E37" s="15" t="n">
        <f aca="false">IF(LEFT(A37,1)&gt;="6",0,SUMIFS('BALANCE 2026'!$I:$I,'BALANCE 2026'!$A:$A,A37))</f>
        <v>281250</v>
      </c>
      <c r="F37" s="15" t="n">
        <f aca="false">ROUND(HYPOTHESES!F$61,0)+(H37-I37)-(D37-E37)</f>
        <v>3787500</v>
      </c>
      <c r="G37" s="15" t="n">
        <f aca="false">ROUND(HYPOTHESES!F$61,0)</f>
        <v>3825000</v>
      </c>
      <c r="H37" s="21" t="n">
        <v>0</v>
      </c>
      <c r="I37" s="15" t="n">
        <f aca="false">ROUND(HYPOTHESES!F$61/12,0)</f>
        <v>318750</v>
      </c>
      <c r="J37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7" s="43" t="n">
        <f aca="false">T_BAL_2027[[#This Row],[Clôture Débit]]-T_BAL_2027[[#This Row],[Clôture Crédit]]</f>
        <v>-318750</v>
      </c>
    </row>
    <row r="38" customFormat="false" ht="15" hidden="false" customHeight="false" outlineLevel="0" collapsed="false">
      <c r="A38" s="42" t="n">
        <v>431301</v>
      </c>
      <c r="B38" s="12" t="s">
        <v>325</v>
      </c>
      <c r="C38" s="13" t="s">
        <v>322</v>
      </c>
      <c r="D38" s="15" t="n">
        <f aca="false">IF(LEFT(A38,1)&gt;="6",0,SUMIFS('BALANCE 2026'!$H:$H,'BALANCE 2026'!$A:$A,A38))</f>
        <v>0</v>
      </c>
      <c r="E38" s="15" t="n">
        <f aca="false">IF(LEFT(A38,1)&gt;="6",0,SUMIFS('BALANCE 2026'!$I:$I,'BALANCE 2026'!$A:$A,A38))</f>
        <v>5531178</v>
      </c>
      <c r="F38" s="15" t="n">
        <f aca="false">ROUND(IF(HYPOTHESES!$C$59=0,0,'BALANCE 2024'!$G$38*HYPOTHESES!F$59/HYPOTHESES!$C$59),0)+(H38-I38)-(D38-E38)</f>
        <v>8095869</v>
      </c>
      <c r="G38" s="15" t="n">
        <f aca="false">ROUND(IF(HYPOTHESES!$C$59=0,0,'BALANCE 2024'!$G$38*HYPOTHESES!F$59/HYPOTHESES!$C$59),0)</f>
        <v>8372428</v>
      </c>
      <c r="H38" s="21" t="n">
        <v>0</v>
      </c>
      <c r="I38" s="15" t="n">
        <f aca="false">ROUND(IF(HYPOTHESES!$C$59=0,0,'BALANCE 2024'!$I$38*HYPOTHESES!F$59/HYPOTHESES!$C$59),0)</f>
        <v>5807737</v>
      </c>
      <c r="J38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8" s="43" t="n">
        <f aca="false">T_BAL_2027[[#This Row],[Clôture Débit]]-T_BAL_2027[[#This Row],[Clôture Crédit]]</f>
        <v>-5807737</v>
      </c>
    </row>
    <row r="39" customFormat="false" ht="15" hidden="false" customHeight="false" outlineLevel="0" collapsed="false">
      <c r="A39" s="42" t="n">
        <v>431302</v>
      </c>
      <c r="B39" s="12" t="s">
        <v>326</v>
      </c>
      <c r="C39" s="13" t="s">
        <v>322</v>
      </c>
      <c r="D39" s="15" t="n">
        <f aca="false">IF(LEFT(A39,1)&gt;="6",0,SUMIFS('BALANCE 2026'!$H:$H,'BALANCE 2026'!$A:$A,A39))</f>
        <v>0</v>
      </c>
      <c r="E39" s="15" t="n">
        <f aca="false">IF(LEFT(A39,1)&gt;="6",0,SUMIFS('BALANCE 2026'!$I:$I,'BALANCE 2026'!$A:$A,A39))</f>
        <v>1351377</v>
      </c>
      <c r="F39" s="15" t="n">
        <f aca="false">ROUND(IF(HYPOTHESES!$C$56=0,0,'BALANCE 2024'!$G$39*HYPOTHESES!F$56/HYPOTHESES!$C$56),0)+(H39-I39)-(D39-E39)</f>
        <v>13455542</v>
      </c>
      <c r="G39" s="15" t="n">
        <f aca="false">ROUND(IF(HYPOTHESES!$C$56=0,0,'BALANCE 2024'!$G$39*HYPOTHESES!F$56/HYPOTHESES!$C$56),0)</f>
        <v>13523111</v>
      </c>
      <c r="H39" s="21" t="n">
        <v>0</v>
      </c>
      <c r="I39" s="15" t="n">
        <f aca="false">ROUND(IF(HYPOTHESES!$C$56=0,0,'BALANCE 2024'!$I$39*HYPOTHESES!F$56/HYPOTHESES!$C$56),0)</f>
        <v>1418946</v>
      </c>
      <c r="J39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9" s="43" t="n">
        <f aca="false">T_BAL_2027[[#This Row],[Clôture Débit]]-T_BAL_2027[[#This Row],[Clôture Crédit]]</f>
        <v>-1418946</v>
      </c>
    </row>
    <row r="40" customFormat="false" ht="15" hidden="false" customHeight="false" outlineLevel="0" collapsed="false">
      <c r="A40" s="42" t="n">
        <v>431802</v>
      </c>
      <c r="B40" s="12" t="s">
        <v>327</v>
      </c>
      <c r="C40" s="13" t="s">
        <v>322</v>
      </c>
      <c r="D40" s="15" t="n">
        <f aca="false">IF(LEFT(A40,1)&gt;="6",0,SUMIFS('BALANCE 2026'!$H:$H,'BALANCE 2026'!$A:$A,A40))</f>
        <v>0</v>
      </c>
      <c r="E40" s="15" t="n">
        <f aca="false">IF(LEFT(A40,1)&gt;="6",0,SUMIFS('BALANCE 2026'!$I:$I,'BALANCE 2026'!$A:$A,A40))</f>
        <v>182001</v>
      </c>
      <c r="F40" s="15" t="n">
        <f aca="false">ROUND(IF(HYPOTHESES!$C$56=0,0,'BALANCE 2024'!$G$40*HYPOTHESES!F$56/HYPOTHESES!$C$56),0)+(H40-I40)-(D40-E40)</f>
        <v>448326</v>
      </c>
      <c r="G40" s="15" t="n">
        <f aca="false">ROUND(IF(HYPOTHESES!$C$56=0,0,'BALANCE 2024'!$G$40*HYPOTHESES!F$56/HYPOTHESES!$C$56),0)</f>
        <v>457426</v>
      </c>
      <c r="H40" s="21" t="n">
        <v>0</v>
      </c>
      <c r="I40" s="15" t="n">
        <f aca="false">ROUND(IF(HYPOTHESES!$C$56=0,0,'BALANCE 2024'!$I$40*HYPOTHESES!F$56/HYPOTHESES!$C$56),0)</f>
        <v>191101</v>
      </c>
      <c r="J40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0" s="43" t="n">
        <f aca="false">T_BAL_2027[[#This Row],[Clôture Débit]]-T_BAL_2027[[#This Row],[Clôture Crédit]]</f>
        <v>-191101</v>
      </c>
    </row>
    <row r="41" customFormat="false" ht="15" hidden="false" customHeight="false" outlineLevel="0" collapsed="false">
      <c r="A41" s="42" t="n">
        <v>431803</v>
      </c>
      <c r="B41" s="12" t="s">
        <v>328</v>
      </c>
      <c r="C41" s="13" t="s">
        <v>322</v>
      </c>
      <c r="D41" s="15" t="n">
        <f aca="false">IF(LEFT(A41,1)&gt;="6",0,SUMIFS('BALANCE 2026'!$H:$H,'BALANCE 2026'!$A:$A,A41))</f>
        <v>0</v>
      </c>
      <c r="E41" s="15" t="n">
        <f aca="false">IF(LEFT(A41,1)&gt;="6",0,SUMIFS('BALANCE 2026'!$I:$I,'BALANCE 2026'!$A:$A,A41))</f>
        <v>37500</v>
      </c>
      <c r="F41" s="15" t="n">
        <f aca="false">ROUND(HYPOTHESES!F$62,0)+(H41-I41)-(D41-E41)</f>
        <v>505000</v>
      </c>
      <c r="G41" s="15" t="n">
        <f aca="false">ROUND(HYPOTHESES!F$62,0)</f>
        <v>510000</v>
      </c>
      <c r="H41" s="21" t="n">
        <v>0</v>
      </c>
      <c r="I41" s="15" t="n">
        <f aca="false">ROUND(HYPOTHESES!F$62/12,0)</f>
        <v>42500</v>
      </c>
      <c r="J41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1" s="43" t="n">
        <f aca="false">T_BAL_2027[[#This Row],[Clôture Débit]]-T_BAL_2027[[#This Row],[Clôture Crédit]]</f>
        <v>-42500</v>
      </c>
    </row>
    <row r="42" customFormat="false" ht="15" hidden="false" customHeight="false" outlineLevel="0" collapsed="false">
      <c r="A42" s="42" t="n">
        <v>433300</v>
      </c>
      <c r="B42" s="12" t="s">
        <v>329</v>
      </c>
      <c r="C42" s="13" t="s">
        <v>322</v>
      </c>
      <c r="D42" s="15" t="n">
        <f aca="false">IF(LEFT(A42,1)&gt;="6",0,SUMIFS('BALANCE 2026'!$H:$H,'BALANCE 2026'!$A:$A,A42))</f>
        <v>0</v>
      </c>
      <c r="E42" s="15" t="n">
        <f aca="false">IF(LEFT(A42,1)&gt;="6",0,SUMIFS('BALANCE 2026'!$I:$I,'BALANCE 2026'!$A:$A,A42))</f>
        <v>0</v>
      </c>
      <c r="F42" s="15" t="n">
        <f aca="false">ROUND(IF(HYPOTHESES!$C$56=0,0,'BALANCE 2024'!$G$42*HYPOTHESES!F$56/HYPOTHESES!$C$56),0)+(H42-I42)-(D42-E42)</f>
        <v>0</v>
      </c>
      <c r="G42" s="15" t="n">
        <f aca="false">ROUND(IF(HYPOTHESES!$C$56=0,0,'BALANCE 2024'!$G$42*HYPOTHESES!F$56/HYPOTHESES!$C$56),0)</f>
        <v>0</v>
      </c>
      <c r="H42" s="21" t="n">
        <v>0</v>
      </c>
      <c r="I42" s="15" t="n">
        <f aca="false">ROUND(IF(HYPOTHESES!$C$56=0,0,'BALANCE 2024'!$I$42*HYPOTHESES!F$56/HYPOTHESES!$C$56),0)</f>
        <v>0</v>
      </c>
      <c r="J42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2" s="43" t="n">
        <f aca="false">T_BAL_2027[[#This Row],[Clôture Débit]]-T_BAL_2027[[#This Row],[Clôture Crédit]]</f>
        <v>0</v>
      </c>
    </row>
    <row r="43" customFormat="false" ht="15" hidden="false" customHeight="false" outlineLevel="0" collapsed="false">
      <c r="A43" s="42" t="n">
        <v>441000</v>
      </c>
      <c r="B43" s="12" t="s">
        <v>330</v>
      </c>
      <c r="C43" s="13" t="s">
        <v>322</v>
      </c>
      <c r="D43" s="15" t="n">
        <f aca="false">IF(LEFT(A43,1)&gt;="6",0,SUMIFS('BALANCE 2026'!$H:$H,'BALANCE 2026'!$A:$A,A43))</f>
        <v>0</v>
      </c>
      <c r="E43" s="15" t="n">
        <f aca="false">IF(LEFT(A43,1)&gt;="6",0,SUMIFS('BALANCE 2026'!$I:$I,'BALANCE 2026'!$A:$A,A43))</f>
        <v>28782225</v>
      </c>
      <c r="F43" s="15" t="n">
        <f aca="false">ROUND(HYPOTHESES!F$72,0)+(H43-I43)-(D43-E43)</f>
        <v>28782225</v>
      </c>
      <c r="G43" s="15" t="n">
        <f aca="false">ROUND(HYPOTHESES!F$72,0)</f>
        <v>30373792</v>
      </c>
      <c r="H43" s="21" t="n">
        <v>0</v>
      </c>
      <c r="I43" s="15" t="n">
        <f aca="false">ROUND(HYPOTHESES!F$72,0)</f>
        <v>30373792</v>
      </c>
      <c r="J43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3" s="43" t="n">
        <f aca="false">T_BAL_2027[[#This Row],[Clôture Débit]]-T_BAL_2027[[#This Row],[Clôture Crédit]]</f>
        <v>-30373792</v>
      </c>
    </row>
    <row r="44" customFormat="false" ht="15" hidden="false" customHeight="false" outlineLevel="0" collapsed="false">
      <c r="A44" s="42" t="n">
        <v>442800</v>
      </c>
      <c r="B44" s="12" t="s">
        <v>331</v>
      </c>
      <c r="C44" s="13" t="s">
        <v>322</v>
      </c>
      <c r="D44" s="15" t="n">
        <f aca="false">IF(LEFT(A44,1)&gt;="6",0,SUMIFS('BALANCE 2026'!$H:$H,'BALANCE 2026'!$A:$A,A44))</f>
        <v>0</v>
      </c>
      <c r="E44" s="15" t="n">
        <f aca="false">IF(LEFT(A44,1)&gt;="6",0,SUMIFS('BALANCE 2026'!$I:$I,'BALANCE 2026'!$A:$A,A44))</f>
        <v>814843</v>
      </c>
      <c r="F44" s="15" t="n">
        <f aca="false">ROUND(IF(HYPOTHESES!$C$54=0,0,'BALANCE 2024'!$G$44*HYPOTHESES!F$54/HYPOTHESES!$C$54),0)+(H44-I44)-(D44-E44)</f>
        <v>814843</v>
      </c>
      <c r="G44" s="15" t="n">
        <f aca="false">ROUND(IF(HYPOTHESES!$C$54=0,0,'BALANCE 2024'!$G$44*HYPOTHESES!F$54/HYPOTHESES!$C$54),0)</f>
        <v>855586</v>
      </c>
      <c r="H44" s="21" t="n">
        <v>0</v>
      </c>
      <c r="I44" s="15" t="n">
        <f aca="false">ROUND(IF(HYPOTHESES!$C$54=0,0,'BALANCE 2024'!$I$44*HYPOTHESES!F$54/HYPOTHESES!$C$54),0)</f>
        <v>855586</v>
      </c>
      <c r="J44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4" s="43" t="n">
        <f aca="false">T_BAL_2027[[#This Row],[Clôture Débit]]-T_BAL_2027[[#This Row],[Clôture Crédit]]</f>
        <v>-855586</v>
      </c>
    </row>
    <row r="45" customFormat="false" ht="15" hidden="false" customHeight="false" outlineLevel="0" collapsed="false">
      <c r="A45" s="42" t="n">
        <v>442801</v>
      </c>
      <c r="B45" s="12" t="s">
        <v>332</v>
      </c>
      <c r="C45" s="13" t="s">
        <v>322</v>
      </c>
      <c r="D45" s="15" t="n">
        <f aca="false">IF(LEFT(A45,1)&gt;="6",0,SUMIFS('BALANCE 2026'!$H:$H,'BALANCE 2026'!$A:$A,A45))</f>
        <v>0</v>
      </c>
      <c r="E45" s="15" t="n">
        <f aca="false">IF(LEFT(A45,1)&gt;="6",0,SUMIFS('BALANCE 2026'!$I:$I,'BALANCE 2026'!$A:$A,A45))</f>
        <v>116856</v>
      </c>
      <c r="F45" s="15" t="n">
        <f aca="false">ROUND(IF(HYPOTHESES!$C$54=0,0,'BALANCE 2024'!$G$45*HYPOTHESES!F$54/HYPOTHESES!$C$54),0)+(H45-I45)-(D45-E45)</f>
        <v>116856</v>
      </c>
      <c r="G45" s="15" t="n">
        <f aca="false">ROUND(IF(HYPOTHESES!$C$54=0,0,'BALANCE 2024'!$G$45*HYPOTHESES!F$54/HYPOTHESES!$C$54),0)</f>
        <v>122699</v>
      </c>
      <c r="H45" s="21" t="n">
        <v>0</v>
      </c>
      <c r="I45" s="15" t="n">
        <f aca="false">ROUND(IF(HYPOTHESES!$C$54=0,0,'BALANCE 2024'!$I$45*HYPOTHESES!F$54/HYPOTHESES!$C$54),0)</f>
        <v>122699</v>
      </c>
      <c r="J45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5" s="43" t="n">
        <f aca="false">T_BAL_2027[[#This Row],[Clôture Débit]]-T_BAL_2027[[#This Row],[Clôture Crédit]]</f>
        <v>-122699</v>
      </c>
    </row>
    <row r="46" customFormat="false" ht="15" hidden="false" customHeight="false" outlineLevel="0" collapsed="false">
      <c r="A46" s="42" t="n">
        <v>442802</v>
      </c>
      <c r="B46" s="12" t="s">
        <v>333</v>
      </c>
      <c r="C46" s="13" t="s">
        <v>322</v>
      </c>
      <c r="D46" s="15" t="n">
        <f aca="false">IF(LEFT(A46,1)&gt;="6",0,SUMIFS('BALANCE 2026'!$H:$H,'BALANCE 2026'!$A:$A,A46))</f>
        <v>0</v>
      </c>
      <c r="E46" s="15" t="n">
        <f aca="false">IF(LEFT(A46,1)&gt;="6",0,SUMIFS('BALANCE 2026'!$I:$I,'BALANCE 2026'!$A:$A,A46))</f>
        <v>175292</v>
      </c>
      <c r="F46" s="15" t="n">
        <f aca="false">ROUND(IF(HYPOTHESES!$C$54=0,0,'BALANCE 2024'!$G$46*HYPOTHESES!F$54/HYPOTHESES!$C$54),0)+(H46-I46)-(D46-E46)</f>
        <v>175292</v>
      </c>
      <c r="G46" s="15" t="n">
        <f aca="false">ROUND(IF(HYPOTHESES!$C$54=0,0,'BALANCE 2024'!$G$46*HYPOTHESES!F$54/HYPOTHESES!$C$54),0)</f>
        <v>184056</v>
      </c>
      <c r="H46" s="21" t="n">
        <v>0</v>
      </c>
      <c r="I46" s="15" t="n">
        <f aca="false">ROUND(IF(HYPOTHESES!$C$54=0,0,'BALANCE 2024'!$I$46*HYPOTHESES!F$54/HYPOTHESES!$C$54),0)</f>
        <v>184056</v>
      </c>
      <c r="J46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6" s="43" t="n">
        <f aca="false">T_BAL_2027[[#This Row],[Clôture Débit]]-T_BAL_2027[[#This Row],[Clôture Crédit]]</f>
        <v>-184056</v>
      </c>
    </row>
    <row r="47" customFormat="false" ht="15" hidden="false" customHeight="false" outlineLevel="0" collapsed="false">
      <c r="A47" s="42" t="n">
        <v>442803</v>
      </c>
      <c r="B47" s="12" t="s">
        <v>334</v>
      </c>
      <c r="C47" s="13" t="s">
        <v>322</v>
      </c>
      <c r="D47" s="15" t="n">
        <f aca="false">IF(LEFT(A47,1)&gt;="6",0,SUMIFS('BALANCE 2026'!$H:$H,'BALANCE 2026'!$A:$A,A47))</f>
        <v>0</v>
      </c>
      <c r="E47" s="15" t="n">
        <f aca="false">IF(LEFT(A47,1)&gt;="6",0,SUMIFS('BALANCE 2026'!$I:$I,'BALANCE 2026'!$A:$A,A47))</f>
        <v>175291</v>
      </c>
      <c r="F47" s="15" t="n">
        <f aca="false">ROUND(IF(HYPOTHESES!$C$54=0,0,'BALANCE 2024'!$G$47*HYPOTHESES!F$54/HYPOTHESES!$C$54),0)+(H47-I47)-(D47-E47)</f>
        <v>175291</v>
      </c>
      <c r="G47" s="15" t="n">
        <f aca="false">ROUND(IF(HYPOTHESES!$C$54=0,0,'BALANCE 2024'!$G$47*HYPOTHESES!F$54/HYPOTHESES!$C$54),0)</f>
        <v>184055</v>
      </c>
      <c r="H47" s="21" t="n">
        <v>0</v>
      </c>
      <c r="I47" s="15" t="n">
        <f aca="false">ROUND(IF(HYPOTHESES!$C$54=0,0,'BALANCE 2024'!$I$47*HYPOTHESES!F$54/HYPOTHESES!$C$54),0)</f>
        <v>184055</v>
      </c>
      <c r="J47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7" s="43" t="n">
        <f aca="false">T_BAL_2027[[#This Row],[Clôture Débit]]-T_BAL_2027[[#This Row],[Clôture Crédit]]</f>
        <v>-184055</v>
      </c>
    </row>
    <row r="48" customFormat="false" ht="15" hidden="false" customHeight="false" outlineLevel="0" collapsed="false">
      <c r="A48" s="42" t="n">
        <v>442820</v>
      </c>
      <c r="B48" s="12" t="s">
        <v>335</v>
      </c>
      <c r="C48" s="13" t="s">
        <v>322</v>
      </c>
      <c r="D48" s="15" t="n">
        <f aca="false">IF(LEFT(A48,1)&gt;="6",0,SUMIFS('BALANCE 2026'!$H:$H,'BALANCE 2026'!$A:$A,A48))</f>
        <v>0</v>
      </c>
      <c r="E48" s="15" t="n">
        <f aca="false">IF(LEFT(A48,1)&gt;="6",0,SUMIFS('BALANCE 2026'!$I:$I,'BALANCE 2026'!$A:$A,A48))</f>
        <v>412790</v>
      </c>
      <c r="F48" s="15" t="n">
        <f aca="false">ROUND(IF(HYPOTHESES!$C$54=0,0,'BALANCE 2024'!$G$48*HYPOTHESES!F$54/HYPOTHESES!$C$54),0)+(H48-I48)-(D48-E48)</f>
        <v>953932</v>
      </c>
      <c r="G48" s="15" t="n">
        <f aca="false">ROUND(IF(HYPOTHESES!$C$54=0,0,'BALANCE 2024'!$G$48*HYPOTHESES!F$54/HYPOTHESES!$C$54),0)</f>
        <v>974572</v>
      </c>
      <c r="H48" s="21" t="n">
        <v>0</v>
      </c>
      <c r="I48" s="15" t="n">
        <f aca="false">ROUND(IF(HYPOTHESES!$C$54=0,0,'BALANCE 2024'!$I$48*HYPOTHESES!F$54/HYPOTHESES!$C$54),0)</f>
        <v>433430</v>
      </c>
      <c r="J48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8" s="43" t="n">
        <f aca="false">T_BAL_2027[[#This Row],[Clôture Débit]]-T_BAL_2027[[#This Row],[Clôture Crédit]]</f>
        <v>-433430</v>
      </c>
    </row>
    <row r="49" customFormat="false" ht="15" hidden="false" customHeight="false" outlineLevel="0" collapsed="false">
      <c r="A49" s="42" t="n">
        <v>442840</v>
      </c>
      <c r="B49" s="12" t="s">
        <v>336</v>
      </c>
      <c r="C49" s="13" t="s">
        <v>322</v>
      </c>
      <c r="D49" s="15" t="n">
        <f aca="false">IF(LEFT(A49,1)&gt;="6",0,SUMIFS('BALANCE 2026'!$H:$H,'BALANCE 2026'!$A:$A,A49))</f>
        <v>0</v>
      </c>
      <c r="E49" s="15" t="n">
        <f aca="false">IF(LEFT(A49,1)&gt;="6",0,SUMIFS('BALANCE 2026'!$I:$I,'BALANCE 2026'!$A:$A,A49))</f>
        <v>5614514</v>
      </c>
      <c r="F49" s="15" t="n">
        <f aca="false">ROUND(IF(HYPOTHESES!$C$54=0,0,'BALANCE 2024'!$G$49*HYPOTHESES!F$54/HYPOTHESES!$C$54),0)+(H49-I49)-(D49-E49)</f>
        <v>10395710</v>
      </c>
      <c r="G49" s="15" t="n">
        <f aca="false">ROUND(IF(HYPOTHESES!$C$54=0,0,'BALANCE 2024'!$G$49*HYPOTHESES!F$54/HYPOTHESES!$C$54),0)</f>
        <v>10676436</v>
      </c>
      <c r="H49" s="21" t="n">
        <v>0</v>
      </c>
      <c r="I49" s="15" t="n">
        <f aca="false">ROUND(IF(HYPOTHESES!$C$54=0,0,'BALANCE 2024'!$I$49*HYPOTHESES!F$54/HYPOTHESES!$C$54),0)</f>
        <v>5895240</v>
      </c>
      <c r="J49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9" s="43" t="n">
        <f aca="false">T_BAL_2027[[#This Row],[Clôture Débit]]-T_BAL_2027[[#This Row],[Clôture Crédit]]</f>
        <v>-5895240</v>
      </c>
    </row>
    <row r="50" customFormat="false" ht="15" hidden="false" customHeight="false" outlineLevel="0" collapsed="false">
      <c r="A50" s="42" t="n">
        <v>443300</v>
      </c>
      <c r="B50" s="12" t="s">
        <v>337</v>
      </c>
      <c r="C50" s="13" t="s">
        <v>322</v>
      </c>
      <c r="D50" s="15" t="n">
        <f aca="false">IF(LEFT(A50,1)&gt;="6",0,SUMIFS('BALANCE 2026'!$H:$H,'BALANCE 2026'!$A:$A,A50))</f>
        <v>0</v>
      </c>
      <c r="E50" s="15" t="n">
        <f aca="false">IF(LEFT(A50,1)&gt;="6",0,SUMIFS('BALANCE 2026'!$I:$I,'BALANCE 2026'!$A:$A,A50))</f>
        <v>58637133</v>
      </c>
      <c r="F50" s="15" t="n">
        <f aca="false">ROUND(HYPOTHESES!F$50*HYPOTHESES!F$10,0)+(H50-I50)-(D50-E50)</f>
        <v>145925203</v>
      </c>
      <c r="G50" s="15" t="n">
        <f aca="false">ROUND(HYPOTHESES!F$50*HYPOTHESES!F$10,0)</f>
        <v>148857060</v>
      </c>
      <c r="H50" s="21" t="n">
        <v>0</v>
      </c>
      <c r="I50" s="15" t="n">
        <f aca="false">ROUND(IF('BALANCE 2024'!$H$34=0,0,'BALANCE 2024'!$I$50*H34/'BALANCE 2024'!$H$34),0)</f>
        <v>61568990</v>
      </c>
      <c r="J50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0" s="43" t="n">
        <f aca="false">T_BAL_2027[[#This Row],[Clôture Débit]]-T_BAL_2027[[#This Row],[Clôture Crédit]]</f>
        <v>-61568990</v>
      </c>
    </row>
    <row r="51" customFormat="false" ht="15" hidden="false" customHeight="false" outlineLevel="0" collapsed="false">
      <c r="A51" s="42" t="n">
        <v>446000</v>
      </c>
      <c r="B51" s="12" t="s">
        <v>338</v>
      </c>
      <c r="C51" s="13" t="s">
        <v>322</v>
      </c>
      <c r="D51" s="15" t="n">
        <f aca="false">IF(LEFT(A51,1)&gt;="6",0,SUMIFS('BALANCE 2026'!$H:$H,'BALANCE 2026'!$A:$A,A51))</f>
        <v>0</v>
      </c>
      <c r="E51" s="15" t="n">
        <f aca="false">IF(LEFT(A51,1)&gt;="6",0,SUMIFS('BALANCE 2026'!$I:$I,'BALANCE 2026'!$A:$A,A51))</f>
        <v>224581</v>
      </c>
      <c r="F51" s="15" t="n">
        <f aca="false">ROUND(IF(HYPOTHESES!$C$54=0,0,'BALANCE 2024'!$G$51*HYPOTHESES!F$54/HYPOTHESES!$C$54),0)+(H51-I51)-(D51-E51)</f>
        <v>238358</v>
      </c>
      <c r="G51" s="15" t="n">
        <f aca="false">ROUND(IF(HYPOTHESES!$C$54=0,0,'BALANCE 2024'!$G$51*HYPOTHESES!F$54/HYPOTHESES!$C$54),0)</f>
        <v>249587</v>
      </c>
      <c r="H51" s="21" t="n">
        <v>0</v>
      </c>
      <c r="I51" s="15" t="n">
        <f aca="false">ROUND(IF(HYPOTHESES!$C$54=0,0,'BALANCE 2024'!$I$51*HYPOTHESES!F$54/HYPOTHESES!$C$54),0)</f>
        <v>235810</v>
      </c>
      <c r="J51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1" s="43" t="n">
        <f aca="false">T_BAL_2027[[#This Row],[Clôture Débit]]-T_BAL_2027[[#This Row],[Clôture Crédit]]</f>
        <v>-235810</v>
      </c>
    </row>
    <row r="52" customFormat="false" ht="15" hidden="false" customHeight="false" outlineLevel="0" collapsed="false">
      <c r="A52" s="42" t="n">
        <v>447201</v>
      </c>
      <c r="B52" s="12" t="s">
        <v>339</v>
      </c>
      <c r="C52" s="13" t="s">
        <v>322</v>
      </c>
      <c r="D52" s="15" t="n">
        <f aca="false">IF(LEFT(A52,1)&gt;="6",0,SUMIFS('BALANCE 2026'!$H:$H,'BALANCE 2026'!$A:$A,A52))</f>
        <v>0</v>
      </c>
      <c r="E52" s="15" t="n">
        <f aca="false">IF(LEFT(A52,1)&gt;="6",0,SUMIFS('BALANCE 2026'!$I:$I,'BALANCE 2026'!$A:$A,A52))</f>
        <v>1833790</v>
      </c>
      <c r="F52" s="15" t="n">
        <f aca="false">ROUND(IF(HYPOTHESES!$C$56=0,0,'BALANCE 2024'!$G$52*HYPOTHESES!F$56/HYPOTHESES!$C$56),0)+(H52-I52)-(D52-E52)</f>
        <v>6872132</v>
      </c>
      <c r="G52" s="15" t="n">
        <f aca="false">ROUND(IF(HYPOTHESES!$C$56=0,0,'BALANCE 2024'!$G$52*HYPOTHESES!F$56/HYPOTHESES!$C$56),0)</f>
        <v>6963822</v>
      </c>
      <c r="H52" s="21" t="n">
        <v>0</v>
      </c>
      <c r="I52" s="15" t="n">
        <f aca="false">ROUND(IF(HYPOTHESES!$C$56=0,0,'BALANCE 2024'!$I$52*HYPOTHESES!F$56/HYPOTHESES!$C$56),0)</f>
        <v>1925480</v>
      </c>
      <c r="J52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2" s="43" t="n">
        <f aca="false">T_BAL_2027[[#This Row],[Clôture Débit]]-T_BAL_2027[[#This Row],[Clôture Crédit]]</f>
        <v>-1925480</v>
      </c>
    </row>
    <row r="53" customFormat="false" ht="15" hidden="false" customHeight="false" outlineLevel="0" collapsed="false">
      <c r="A53" s="42" t="n">
        <v>462100</v>
      </c>
      <c r="B53" s="12" t="s">
        <v>340</v>
      </c>
      <c r="C53" s="13" t="s">
        <v>341</v>
      </c>
      <c r="D53" s="15" t="n">
        <f aca="false">IF(LEFT(A53,1)&gt;="6",0,SUMIFS('BALANCE 2026'!$H:$H,'BALANCE 2026'!$A:$A,A53))</f>
        <v>0</v>
      </c>
      <c r="E53" s="15" t="n">
        <f aca="false">IF(LEFT(A53,1)&gt;="6",0,SUMIFS('BALANCE 2026'!$I:$I,'BALANCE 2026'!$A:$A,A53))</f>
        <v>0</v>
      </c>
      <c r="F53" s="15" t="n">
        <f aca="false">ROUND('INVEST ET FINANCEMENT'!F$54,0)+(H53-I53)-(D53-E53)</f>
        <v>0</v>
      </c>
      <c r="G53" s="15" t="n">
        <f aca="false">ROUND('INVEST ET FINANCEMENT'!F$54,0)</f>
        <v>0</v>
      </c>
      <c r="H53" s="21" t="n">
        <v>0</v>
      </c>
      <c r="I53" s="15" t="n">
        <f aca="false">ROUND('INVEST ET FINANCEMENT'!F$55,0)</f>
        <v>0</v>
      </c>
      <c r="J53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3" s="43" t="n">
        <f aca="false">T_BAL_2027[[#This Row],[Clôture Débit]]-T_BAL_2027[[#This Row],[Clôture Crédit]]</f>
        <v>0</v>
      </c>
    </row>
    <row r="54" customFormat="false" ht="15" hidden="false" customHeight="false" outlineLevel="0" collapsed="false">
      <c r="A54" s="42" t="n">
        <v>471200</v>
      </c>
      <c r="B54" s="12" t="s">
        <v>342</v>
      </c>
      <c r="C54" s="13" t="s">
        <v>343</v>
      </c>
      <c r="D54" s="15" t="n">
        <f aca="false">IF(LEFT(A54,1)&gt;="6",0,SUMIFS('BALANCE 2026'!$H:$H,'BALANCE 2026'!$A:$A,A54))</f>
        <v>0</v>
      </c>
      <c r="E54" s="15" t="n">
        <f aca="false">IF(LEFT(A54,1)&gt;="6",0,SUMIFS('BALANCE 2026'!$I:$I,'BALANCE 2026'!$A:$A,A54))</f>
        <v>0</v>
      </c>
      <c r="F54" s="21" t="n">
        <f aca="false">MAX(0,(H54-I54)-(D54-E54))</f>
        <v>-0</v>
      </c>
      <c r="G54" s="21" t="n">
        <f aca="false">MAX(0,(D54-E54)-(H54-I54))</f>
        <v>0</v>
      </c>
      <c r="H54" s="15" t="n">
        <f aca="false">ROUND(MAX(0,-(E54-D54+HYPOTHESES!F$39)),0)</f>
        <v>-0</v>
      </c>
      <c r="I54" s="15" t="n">
        <f aca="false">ROUND(MAX(0,(E54-D54+HYPOTHESES!F$39)),0)</f>
        <v>0</v>
      </c>
      <c r="J54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4" s="43" t="n">
        <f aca="false">T_BAL_2027[[#This Row],[Clôture Débit]]-T_BAL_2027[[#This Row],[Clôture Crédit]]</f>
        <v>-0</v>
      </c>
    </row>
    <row r="55" customFormat="false" ht="15" hidden="false" customHeight="false" outlineLevel="0" collapsed="false">
      <c r="A55" s="42" t="n">
        <v>481200</v>
      </c>
      <c r="B55" s="12" t="s">
        <v>344</v>
      </c>
      <c r="C55" s="13" t="s">
        <v>345</v>
      </c>
      <c r="D55" s="15" t="n">
        <f aca="false">IF(LEFT(A55,1)&gt;="6",0,SUMIFS('BALANCE 2026'!$H:$H,'BALANCE 2026'!$A:$A,A55))</f>
        <v>0</v>
      </c>
      <c r="E55" s="15" t="n">
        <f aca="false">IF(LEFT(A55,1)&gt;="6",0,SUMIFS('BALANCE 2026'!$I:$I,'BALANCE 2026'!$A:$A,A55))</f>
        <v>92474039</v>
      </c>
      <c r="F55" s="15" t="n">
        <f aca="false">ROUND('INVEST ET FINANCEMENT'!F$42,0)+(H55-I55)-(D55-E55)</f>
        <v>61579309</v>
      </c>
      <c r="G55" s="15" t="n">
        <f aca="false">ROUND('INVEST ET FINANCEMENT'!F$42,0)</f>
        <v>35000000</v>
      </c>
      <c r="H55" s="21" t="n">
        <v>0</v>
      </c>
      <c r="I55" s="15" t="n">
        <f aca="false">ROUND(HYPOTHESES!F$36,0)</f>
        <v>65894730</v>
      </c>
      <c r="J55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5" s="43" t="n">
        <f aca="false">T_BAL_2027[[#This Row],[Clôture Débit]]-T_BAL_2027[[#This Row],[Clôture Crédit]]</f>
        <v>-65894730</v>
      </c>
    </row>
    <row r="56" customFormat="false" ht="15" hidden="false" customHeight="false" outlineLevel="0" collapsed="false">
      <c r="A56" s="35" t="n">
        <v>521101</v>
      </c>
      <c r="B56" s="36" t="s">
        <v>346</v>
      </c>
      <c r="C56" s="37" t="s">
        <v>347</v>
      </c>
      <c r="D56" s="44" t="n">
        <f aca="false">IF(LEFT(A56,1)&gt;="6",0,SUMIFS('BALANCE 2026'!$H:$H,'BALANCE 2026'!$A:$A,A56))</f>
        <v>300919159</v>
      </c>
      <c r="E56" s="44" t="n">
        <f aca="false">IF(LEFT(A56,1)&gt;="6",0,SUMIFS('BALANCE 2026'!$I:$I,'BALANCE 2026'!$A:$A,A56))</f>
        <v>0</v>
      </c>
      <c r="F56" s="44" t="n">
        <f aca="false">ROUND(G34+HYPOTHESES!F$66+'INVEST ET FINANCEMENT'!F$48+'INVEST ET FINANCEMENT'!F$52,0)</f>
        <v>951260667</v>
      </c>
      <c r="G56" s="44" t="n">
        <f aca="false">ROUND(G34+HYPOTHESES!F$66+'INVEST ET FINANCEMENT'!F$48+'INVEST ET FINANCEMENT'!F$52,0)+(D56-E56)-(H56-I56)</f>
        <v>841865023</v>
      </c>
      <c r="H56" s="39" t="n">
        <f aca="false">ROUND(MAX(0,(H7-(H57-I57))),0)</f>
        <v>410314803</v>
      </c>
      <c r="I56" s="39" t="n">
        <f aca="false">ROUND(MAX(0,-(H7-(H57-I57))),0)</f>
        <v>0</v>
      </c>
      <c r="J56" s="39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6" s="40" t="n">
        <v>0</v>
      </c>
    </row>
    <row r="57" customFormat="false" ht="15" hidden="false" customHeight="false" outlineLevel="0" collapsed="false">
      <c r="A57" s="42" t="n">
        <v>571101</v>
      </c>
      <c r="B57" s="12" t="s">
        <v>348</v>
      </c>
      <c r="C57" s="13" t="s">
        <v>349</v>
      </c>
      <c r="D57" s="15" t="n">
        <f aca="false">IF(LEFT(A57,1)&gt;="6",0,SUMIFS('BALANCE 2026'!$H:$H,'BALANCE 2026'!$A:$A,A57))</f>
        <v>8817590</v>
      </c>
      <c r="E57" s="15" t="n">
        <f aca="false">IF(LEFT(A57,1)&gt;="6",0,SUMIFS('BALANCE 2026'!$I:$I,'BALANCE 2026'!$A:$A,A57))</f>
        <v>0</v>
      </c>
      <c r="F57" s="21" t="n">
        <f aca="false">ROUND(H9,0)</f>
        <v>168373005</v>
      </c>
      <c r="G57" s="21" t="n">
        <f aca="false">ROUND(H9,0)+(D57-E57)-(H57-I57)</f>
        <v>166689275</v>
      </c>
      <c r="H57" s="15" t="n">
        <f aca="false">ROUND(MAX(0,((D57-E57)+H9*(1-HYPOTHESES!F$38))),0)</f>
        <v>10501320</v>
      </c>
      <c r="I57" s="15" t="n">
        <f aca="false">ROUND(MAX(0,-((D57-E57)+H9*(1-HYPOTHESES!F$38))),0)</f>
        <v>0</v>
      </c>
      <c r="J57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7" s="43" t="n">
        <v>0</v>
      </c>
    </row>
    <row r="58" customFormat="false" ht="15" hidden="false" customHeight="false" outlineLevel="0" collapsed="false">
      <c r="A58" s="42" t="n">
        <v>585000</v>
      </c>
      <c r="B58" s="12" t="s">
        <v>350</v>
      </c>
      <c r="C58" s="13" t="s">
        <v>349</v>
      </c>
      <c r="D58" s="15" t="n">
        <f aca="false">IF(LEFT(A58,1)&gt;="6",0,SUMIFS('BALANCE 2026'!$H:$H,'BALANCE 2026'!$A:$A,A58))</f>
        <v>0</v>
      </c>
      <c r="E58" s="15" t="n">
        <f aca="false">IF(LEFT(A58,1)&gt;="6",0,SUMIFS('BALANCE 2026'!$I:$I,'BALANCE 2026'!$A:$A,A58))</f>
        <v>0</v>
      </c>
      <c r="F58" s="21" t="n">
        <f aca="false">ROUND(H9,0)</f>
        <v>168373005</v>
      </c>
      <c r="G58" s="21" t="n">
        <f aca="false">ROUND(H9,0)+(D58-E58)-(H58-I58)</f>
        <v>168373005</v>
      </c>
      <c r="H58" s="15" t="n">
        <f aca="false">ROUND(IF(LEFT(A58,1)&gt;="6",IF(C58="RE",IF(HYPOTHESES!$C$51=0,0,HYPOTHESES!F$51*SUMIFS('BALANCE 2024'!$H:$H,'BALANCE 2024'!$A:$A,A58)/HYPOTHESES!$C$51),IF(C58="RG",IF(HYPOTHESES!$C$52=0,0,HYPOTHESES!F$52*SUMIFS('BALANCE 2024'!$H:$H,'BALANCE 2024'!$A:$A,A58)/HYPOTHESES!$C$52),IF(C58="RH",IF(HYPOTHESES!$C$53=0,0,HYPOTHESES!F$53*SUMIFS('BALANCE 2024'!$H:$H,'BALANCE 2024'!$A:$A,A58)/HYPOTHESES!$C$53),IF(C58="RI",IF(HYPOTHESES!$C$54=0,0,HYPOTHESES!F$54*SUMIFS('BALANCE 2024'!$H:$H,'BALANCE 2024'!$A:$A,A58)/HYPOTHESES!$C$54),IF(C58="RJ",IF(HYPOTHESES!$C$55=0,0,HYPOTHESES!F$55*SUMIFS('BALANCE 2024'!$H:$H,'BALANCE 2024'!$A:$A,A58)/HYPOTHESES!$C$55),IF(C58="RK",IF(HYPOTHESES!$C$56=0,0,HYPOTHESES!F$56*SUMIFS('BALANCE 2024'!$H:$H,'BALANCE 2024'!$A:$A,A58)/HYPOTHESES!$C$56),0)))))),MAX(0,D58-E58)),0)</f>
        <v>0</v>
      </c>
      <c r="I58" s="21" t="n">
        <f aca="false">ROUND(IF(LEFT(A58,1)&gt;="6",0,MAX(0,E58-D58)),0)</f>
        <v>0</v>
      </c>
      <c r="J58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8" s="43" t="n">
        <f aca="false">T_BAL_2027[[#This Row],[Clôture Débit]]-T_BAL_2027[[#This Row],[Clôture Crédit]]</f>
        <v>0</v>
      </c>
    </row>
    <row r="59" customFormat="false" ht="15" hidden="false" customHeight="false" outlineLevel="0" collapsed="false">
      <c r="A59" s="35" t="n">
        <v>604300</v>
      </c>
      <c r="B59" s="36" t="s">
        <v>351</v>
      </c>
      <c r="C59" s="37" t="s">
        <v>352</v>
      </c>
      <c r="D59" s="44" t="n">
        <f aca="false">IF(LEFT(A59,1)&gt;="6",0,SUMIFS('BALANCE 2026'!$H:$H,'BALANCE 2026'!$A:$A,A59))</f>
        <v>0</v>
      </c>
      <c r="E59" s="44" t="n">
        <f aca="false">IF(LEFT(A59,1)&gt;="6",0,SUMIFS('BALANCE 2026'!$I:$I,'BALANCE 2026'!$A:$A,A59))</f>
        <v>0</v>
      </c>
      <c r="F59" s="39" t="n">
        <f aca="false">MAX(0,(H59-I59)-(D59-E59))</f>
        <v>1464484</v>
      </c>
      <c r="G59" s="39" t="n">
        <f aca="false">MAX(0,(D59-E59)-(H59-I59))</f>
        <v>0</v>
      </c>
      <c r="H59" s="44" t="n">
        <f aca="false">ROUND(IF(LEFT(A59,1)&gt;="6",IF(C59="RE",IF(HYPOTHESES!$C$51=0,0,HYPOTHESES!F$51*SUMIFS('BALANCE 2024'!$H:$H,'BALANCE 2024'!$A:$A,A59)/HYPOTHESES!$C$51),IF(C59="RG",IF(HYPOTHESES!$C$52=0,0,HYPOTHESES!F$52*SUMIFS('BALANCE 2024'!$H:$H,'BALANCE 2024'!$A:$A,A59)/HYPOTHESES!$C$52),IF(C59="RH",IF(HYPOTHESES!$C$53=0,0,HYPOTHESES!F$53*SUMIFS('BALANCE 2024'!$H:$H,'BALANCE 2024'!$A:$A,A59)/HYPOTHESES!$C$53),IF(C59="RI",IF(HYPOTHESES!$C$54=0,0,HYPOTHESES!F$54*SUMIFS('BALANCE 2024'!$H:$H,'BALANCE 2024'!$A:$A,A59)/HYPOTHESES!$C$54),IF(C59="RJ",IF(HYPOTHESES!$C$55=0,0,HYPOTHESES!F$55*SUMIFS('BALANCE 2024'!$H:$H,'BALANCE 2024'!$A:$A,A59)/HYPOTHESES!$C$55),IF(C59="RK",IF(HYPOTHESES!$C$56=0,0,HYPOTHESES!F$56*SUMIFS('BALANCE 2024'!$H:$H,'BALANCE 2024'!$A:$A,A59)/HYPOTHESES!$C$56),0)))))),MAX(0,D59-E59)),0)</f>
        <v>1464484</v>
      </c>
      <c r="I59" s="39" t="n">
        <v>0</v>
      </c>
      <c r="J59" s="39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9" s="40" t="n">
        <f aca="false">T_BAL_2027[[#This Row],[Clôture Débit]]-T_BAL_2027[[#This Row],[Clôture Crédit]]</f>
        <v>1464484</v>
      </c>
    </row>
    <row r="60" customFormat="false" ht="15" hidden="false" customHeight="false" outlineLevel="0" collapsed="false">
      <c r="A60" s="42" t="n">
        <v>605100</v>
      </c>
      <c r="B60" s="12" t="s">
        <v>353</v>
      </c>
      <c r="C60" s="13" t="s">
        <v>352</v>
      </c>
      <c r="D60" s="15" t="n">
        <f aca="false">IF(LEFT(A60,1)&gt;="6",0,SUMIFS('BALANCE 2026'!$H:$H,'BALANCE 2026'!$A:$A,A60))</f>
        <v>0</v>
      </c>
      <c r="E60" s="15" t="n">
        <f aca="false">IF(LEFT(A60,1)&gt;="6",0,SUMIFS('BALANCE 2026'!$I:$I,'BALANCE 2026'!$A:$A,A60))</f>
        <v>0</v>
      </c>
      <c r="F60" s="21" t="n">
        <f aca="false">MAX(0,(H60-I60)-(D60-E60))</f>
        <v>145905</v>
      </c>
      <c r="G60" s="21" t="n">
        <f aca="false">MAX(0,(D60-E60)-(H60-I60))</f>
        <v>0</v>
      </c>
      <c r="H60" s="15" t="n">
        <f aca="false">ROUND(IF(LEFT(A60,1)&gt;="6",IF(C60="RE",IF(HYPOTHESES!$C$51=0,0,HYPOTHESES!F$51*SUMIFS('BALANCE 2024'!$H:$H,'BALANCE 2024'!$A:$A,A60)/HYPOTHESES!$C$51),IF(C60="RG",IF(HYPOTHESES!$C$52=0,0,HYPOTHESES!F$52*SUMIFS('BALANCE 2024'!$H:$H,'BALANCE 2024'!$A:$A,A60)/HYPOTHESES!$C$52),IF(C60="RH",IF(HYPOTHESES!$C$53=0,0,HYPOTHESES!F$53*SUMIFS('BALANCE 2024'!$H:$H,'BALANCE 2024'!$A:$A,A60)/HYPOTHESES!$C$53),IF(C60="RI",IF(HYPOTHESES!$C$54=0,0,HYPOTHESES!F$54*SUMIFS('BALANCE 2024'!$H:$H,'BALANCE 2024'!$A:$A,A60)/HYPOTHESES!$C$54),IF(C60="RJ",IF(HYPOTHESES!$C$55=0,0,HYPOTHESES!F$55*SUMIFS('BALANCE 2024'!$H:$H,'BALANCE 2024'!$A:$A,A60)/HYPOTHESES!$C$55),IF(C60="RK",IF(HYPOTHESES!$C$56=0,0,HYPOTHESES!F$56*SUMIFS('BALANCE 2024'!$H:$H,'BALANCE 2024'!$A:$A,A60)/HYPOTHESES!$C$56),0)))))),MAX(0,D60-E60)),0)</f>
        <v>145905</v>
      </c>
      <c r="I60" s="21" t="n">
        <v>0</v>
      </c>
      <c r="J60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0" s="43" t="n">
        <f aca="false">T_BAL_2027[[#This Row],[Clôture Débit]]-T_BAL_2027[[#This Row],[Clôture Crédit]]</f>
        <v>145905</v>
      </c>
    </row>
    <row r="61" customFormat="false" ht="15" hidden="false" customHeight="false" outlineLevel="0" collapsed="false">
      <c r="A61" s="42" t="n">
        <v>605200</v>
      </c>
      <c r="B61" s="12" t="s">
        <v>354</v>
      </c>
      <c r="C61" s="13" t="s">
        <v>352</v>
      </c>
      <c r="D61" s="15" t="n">
        <f aca="false">IF(LEFT(A61,1)&gt;="6",0,SUMIFS('BALANCE 2026'!$H:$H,'BALANCE 2026'!$A:$A,A61))</f>
        <v>0</v>
      </c>
      <c r="E61" s="15" t="n">
        <f aca="false">IF(LEFT(A61,1)&gt;="6",0,SUMIFS('BALANCE 2026'!$I:$I,'BALANCE 2026'!$A:$A,A61))</f>
        <v>0</v>
      </c>
      <c r="F61" s="21" t="n">
        <f aca="false">MAX(0,(H61-I61)-(D61-E61))</f>
        <v>46803359</v>
      </c>
      <c r="G61" s="21" t="n">
        <f aca="false">MAX(0,(D61-E61)-(H61-I61))</f>
        <v>0</v>
      </c>
      <c r="H61" s="15" t="n">
        <f aca="false">ROUND(IF(LEFT(A61,1)&gt;="6",IF(C61="RE",IF(HYPOTHESES!$C$51=0,0,HYPOTHESES!F$51*SUMIFS('BALANCE 2024'!$H:$H,'BALANCE 2024'!$A:$A,A61)/HYPOTHESES!$C$51),IF(C61="RG",IF(HYPOTHESES!$C$52=0,0,HYPOTHESES!F$52*SUMIFS('BALANCE 2024'!$H:$H,'BALANCE 2024'!$A:$A,A61)/HYPOTHESES!$C$52),IF(C61="RH",IF(HYPOTHESES!$C$53=0,0,HYPOTHESES!F$53*SUMIFS('BALANCE 2024'!$H:$H,'BALANCE 2024'!$A:$A,A61)/HYPOTHESES!$C$53),IF(C61="RI",IF(HYPOTHESES!$C$54=0,0,HYPOTHESES!F$54*SUMIFS('BALANCE 2024'!$H:$H,'BALANCE 2024'!$A:$A,A61)/HYPOTHESES!$C$54),IF(C61="RJ",IF(HYPOTHESES!$C$55=0,0,HYPOTHESES!F$55*SUMIFS('BALANCE 2024'!$H:$H,'BALANCE 2024'!$A:$A,A61)/HYPOTHESES!$C$55),IF(C61="RK",IF(HYPOTHESES!$C$56=0,0,HYPOTHESES!F$56*SUMIFS('BALANCE 2024'!$H:$H,'BALANCE 2024'!$A:$A,A61)/HYPOTHESES!$C$56),0)))))),MAX(0,D61-E61)),0)</f>
        <v>46803359</v>
      </c>
      <c r="I61" s="21" t="n">
        <v>0</v>
      </c>
      <c r="J61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1" s="43" t="n">
        <f aca="false">T_BAL_2027[[#This Row],[Clôture Débit]]-T_BAL_2027[[#This Row],[Clôture Crédit]]</f>
        <v>46803359</v>
      </c>
    </row>
    <row r="62" customFormat="false" ht="15" hidden="false" customHeight="false" outlineLevel="0" collapsed="false">
      <c r="A62" s="42" t="n">
        <v>605300</v>
      </c>
      <c r="B62" s="12" t="s">
        <v>355</v>
      </c>
      <c r="C62" s="13" t="s">
        <v>352</v>
      </c>
      <c r="D62" s="15" t="n">
        <f aca="false">IF(LEFT(A62,1)&gt;="6",0,SUMIFS('BALANCE 2026'!$H:$H,'BALANCE 2026'!$A:$A,A62))</f>
        <v>0</v>
      </c>
      <c r="E62" s="15" t="n">
        <f aca="false">IF(LEFT(A62,1)&gt;="6",0,SUMIFS('BALANCE 2026'!$I:$I,'BALANCE 2026'!$A:$A,A62))</f>
        <v>0</v>
      </c>
      <c r="F62" s="21" t="n">
        <f aca="false">MAX(0,(H62-I62)-(D62-E62))</f>
        <v>23235788</v>
      </c>
      <c r="G62" s="21" t="n">
        <f aca="false">MAX(0,(D62-E62)-(H62-I62))</f>
        <v>0</v>
      </c>
      <c r="H62" s="15" t="n">
        <f aca="false">ROUND(IF(LEFT(A62,1)&gt;="6",IF(C62="RE",IF(HYPOTHESES!$C$51=0,0,HYPOTHESES!F$51*SUMIFS('BALANCE 2024'!$H:$H,'BALANCE 2024'!$A:$A,A62)/HYPOTHESES!$C$51),IF(C62="RG",IF(HYPOTHESES!$C$52=0,0,HYPOTHESES!F$52*SUMIFS('BALANCE 2024'!$H:$H,'BALANCE 2024'!$A:$A,A62)/HYPOTHESES!$C$52),IF(C62="RH",IF(HYPOTHESES!$C$53=0,0,HYPOTHESES!F$53*SUMIFS('BALANCE 2024'!$H:$H,'BALANCE 2024'!$A:$A,A62)/HYPOTHESES!$C$53),IF(C62="RI",IF(HYPOTHESES!$C$54=0,0,HYPOTHESES!F$54*SUMIFS('BALANCE 2024'!$H:$H,'BALANCE 2024'!$A:$A,A62)/HYPOTHESES!$C$54),IF(C62="RJ",IF(HYPOTHESES!$C$55=0,0,HYPOTHESES!F$55*SUMIFS('BALANCE 2024'!$H:$H,'BALANCE 2024'!$A:$A,A62)/HYPOTHESES!$C$55),IF(C62="RK",IF(HYPOTHESES!$C$56=0,0,HYPOTHESES!F$56*SUMIFS('BALANCE 2024'!$H:$H,'BALANCE 2024'!$A:$A,A62)/HYPOTHESES!$C$56),0)))))),MAX(0,D62-E62)),0)</f>
        <v>23235788</v>
      </c>
      <c r="I62" s="21" t="n">
        <v>0</v>
      </c>
      <c r="J62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2" s="43" t="n">
        <f aca="false">T_BAL_2027[[#This Row],[Clôture Débit]]-T_BAL_2027[[#This Row],[Clôture Crédit]]</f>
        <v>23235788</v>
      </c>
    </row>
    <row r="63" customFormat="false" ht="15" hidden="false" customHeight="false" outlineLevel="0" collapsed="false">
      <c r="A63" s="42" t="n">
        <v>605500</v>
      </c>
      <c r="B63" s="12" t="s">
        <v>356</v>
      </c>
      <c r="C63" s="13" t="s">
        <v>352</v>
      </c>
      <c r="D63" s="15" t="n">
        <f aca="false">IF(LEFT(A63,1)&gt;="6",0,SUMIFS('BALANCE 2026'!$H:$H,'BALANCE 2026'!$A:$A,A63))</f>
        <v>0</v>
      </c>
      <c r="E63" s="15" t="n">
        <f aca="false">IF(LEFT(A63,1)&gt;="6",0,SUMIFS('BALANCE 2026'!$I:$I,'BALANCE 2026'!$A:$A,A63))</f>
        <v>0</v>
      </c>
      <c r="F63" s="21" t="n">
        <f aca="false">MAX(0,(H63-I63)-(D63-E63))</f>
        <v>15077761</v>
      </c>
      <c r="G63" s="21" t="n">
        <f aca="false">MAX(0,(D63-E63)-(H63-I63))</f>
        <v>0</v>
      </c>
      <c r="H63" s="15" t="n">
        <f aca="false">ROUND(IF(LEFT(A63,1)&gt;="6",IF(C63="RE",IF(HYPOTHESES!$C$51=0,0,HYPOTHESES!F$51*SUMIFS('BALANCE 2024'!$H:$H,'BALANCE 2024'!$A:$A,A63)/HYPOTHESES!$C$51),IF(C63="RG",IF(HYPOTHESES!$C$52=0,0,HYPOTHESES!F$52*SUMIFS('BALANCE 2024'!$H:$H,'BALANCE 2024'!$A:$A,A63)/HYPOTHESES!$C$52),IF(C63="RH",IF(HYPOTHESES!$C$53=0,0,HYPOTHESES!F$53*SUMIFS('BALANCE 2024'!$H:$H,'BALANCE 2024'!$A:$A,A63)/HYPOTHESES!$C$53),IF(C63="RI",IF(HYPOTHESES!$C$54=0,0,HYPOTHESES!F$54*SUMIFS('BALANCE 2024'!$H:$H,'BALANCE 2024'!$A:$A,A63)/HYPOTHESES!$C$54),IF(C63="RJ",IF(HYPOTHESES!$C$55=0,0,HYPOTHESES!F$55*SUMIFS('BALANCE 2024'!$H:$H,'BALANCE 2024'!$A:$A,A63)/HYPOTHESES!$C$55),IF(C63="RK",IF(HYPOTHESES!$C$56=0,0,HYPOTHESES!F$56*SUMIFS('BALANCE 2024'!$H:$H,'BALANCE 2024'!$A:$A,A63)/HYPOTHESES!$C$56),0)))))),MAX(0,D63-E63)),0)</f>
        <v>15077761</v>
      </c>
      <c r="I63" s="21" t="n">
        <v>0</v>
      </c>
      <c r="J63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3" s="43" t="n">
        <f aca="false">T_BAL_2027[[#This Row],[Clôture Débit]]-T_BAL_2027[[#This Row],[Clôture Crédit]]</f>
        <v>15077761</v>
      </c>
    </row>
    <row r="64" customFormat="false" ht="15" hidden="false" customHeight="false" outlineLevel="0" collapsed="false">
      <c r="A64" s="42" t="n">
        <v>605600</v>
      </c>
      <c r="B64" s="12" t="s">
        <v>357</v>
      </c>
      <c r="C64" s="13" t="s">
        <v>352</v>
      </c>
      <c r="D64" s="15" t="n">
        <f aca="false">IF(LEFT(A64,1)&gt;="6",0,SUMIFS('BALANCE 2026'!$H:$H,'BALANCE 2026'!$A:$A,A64))</f>
        <v>0</v>
      </c>
      <c r="E64" s="15" t="n">
        <f aca="false">IF(LEFT(A64,1)&gt;="6",0,SUMIFS('BALANCE 2026'!$I:$I,'BALANCE 2026'!$A:$A,A64))</f>
        <v>0</v>
      </c>
      <c r="F64" s="21" t="n">
        <f aca="false">MAX(0,(H64-I64)-(D64-E64))</f>
        <v>4323685</v>
      </c>
      <c r="G64" s="21" t="n">
        <f aca="false">MAX(0,(D64-E64)-(H64-I64))</f>
        <v>0</v>
      </c>
      <c r="H64" s="15" t="n">
        <f aca="false">ROUND(IF(LEFT(A64,1)&gt;="6",IF(C64="RE",IF(HYPOTHESES!$C$51=0,0,HYPOTHESES!F$51*SUMIFS('BALANCE 2024'!$H:$H,'BALANCE 2024'!$A:$A,A64)/HYPOTHESES!$C$51),IF(C64="RG",IF(HYPOTHESES!$C$52=0,0,HYPOTHESES!F$52*SUMIFS('BALANCE 2024'!$H:$H,'BALANCE 2024'!$A:$A,A64)/HYPOTHESES!$C$52),IF(C64="RH",IF(HYPOTHESES!$C$53=0,0,HYPOTHESES!F$53*SUMIFS('BALANCE 2024'!$H:$H,'BALANCE 2024'!$A:$A,A64)/HYPOTHESES!$C$53),IF(C64="RI",IF(HYPOTHESES!$C$54=0,0,HYPOTHESES!F$54*SUMIFS('BALANCE 2024'!$H:$H,'BALANCE 2024'!$A:$A,A64)/HYPOTHESES!$C$54),IF(C64="RJ",IF(HYPOTHESES!$C$55=0,0,HYPOTHESES!F$55*SUMIFS('BALANCE 2024'!$H:$H,'BALANCE 2024'!$A:$A,A64)/HYPOTHESES!$C$55),IF(C64="RK",IF(HYPOTHESES!$C$56=0,0,HYPOTHESES!F$56*SUMIFS('BALANCE 2024'!$H:$H,'BALANCE 2024'!$A:$A,A64)/HYPOTHESES!$C$56),0)))))),MAX(0,D64-E64)),0)</f>
        <v>4323685</v>
      </c>
      <c r="I64" s="21" t="n">
        <v>0</v>
      </c>
      <c r="J64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4" s="43" t="n">
        <f aca="false">T_BAL_2027[[#This Row],[Clôture Débit]]-T_BAL_2027[[#This Row],[Clôture Crédit]]</f>
        <v>4323685</v>
      </c>
    </row>
    <row r="65" customFormat="false" ht="15" hidden="false" customHeight="false" outlineLevel="0" collapsed="false">
      <c r="A65" s="42" t="n">
        <v>605700</v>
      </c>
      <c r="B65" s="12" t="s">
        <v>358</v>
      </c>
      <c r="C65" s="13" t="s">
        <v>352</v>
      </c>
      <c r="D65" s="15" t="n">
        <f aca="false">IF(LEFT(A65,1)&gt;="6",0,SUMIFS('BALANCE 2026'!$H:$H,'BALANCE 2026'!$A:$A,A65))</f>
        <v>0</v>
      </c>
      <c r="E65" s="15" t="n">
        <f aca="false">IF(LEFT(A65,1)&gt;="6",0,SUMIFS('BALANCE 2026'!$I:$I,'BALANCE 2026'!$A:$A,A65))</f>
        <v>0</v>
      </c>
      <c r="F65" s="21" t="n">
        <f aca="false">MAX(0,(H65-I65)-(D65-E65))</f>
        <v>93884936</v>
      </c>
      <c r="G65" s="21" t="n">
        <f aca="false">MAX(0,(D65-E65)-(H65-I65))</f>
        <v>0</v>
      </c>
      <c r="H65" s="15" t="n">
        <f aca="false">ROUND(IF(LEFT(A65,1)&gt;="6",IF(C65="RE",IF(HYPOTHESES!$C$51=0,0,HYPOTHESES!F$51*SUMIFS('BALANCE 2024'!$H:$H,'BALANCE 2024'!$A:$A,A65)/HYPOTHESES!$C$51),IF(C65="RG",IF(HYPOTHESES!$C$52=0,0,HYPOTHESES!F$52*SUMIFS('BALANCE 2024'!$H:$H,'BALANCE 2024'!$A:$A,A65)/HYPOTHESES!$C$52),IF(C65="RH",IF(HYPOTHESES!$C$53=0,0,HYPOTHESES!F$53*SUMIFS('BALANCE 2024'!$H:$H,'BALANCE 2024'!$A:$A,A65)/HYPOTHESES!$C$53),IF(C65="RI",IF(HYPOTHESES!$C$54=0,0,HYPOTHESES!F$54*SUMIFS('BALANCE 2024'!$H:$H,'BALANCE 2024'!$A:$A,A65)/HYPOTHESES!$C$54),IF(C65="RJ",IF(HYPOTHESES!$C$55=0,0,HYPOTHESES!F$55*SUMIFS('BALANCE 2024'!$H:$H,'BALANCE 2024'!$A:$A,A65)/HYPOTHESES!$C$55),IF(C65="RK",IF(HYPOTHESES!$C$56=0,0,HYPOTHESES!F$56*SUMIFS('BALANCE 2024'!$H:$H,'BALANCE 2024'!$A:$A,A65)/HYPOTHESES!$C$56),0)))))),MAX(0,D65-E65)),0)</f>
        <v>93884936</v>
      </c>
      <c r="I65" s="21" t="n">
        <v>0</v>
      </c>
      <c r="J65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5" s="43" t="n">
        <f aca="false">T_BAL_2027[[#This Row],[Clôture Débit]]-T_BAL_2027[[#This Row],[Clôture Crédit]]</f>
        <v>93884936</v>
      </c>
    </row>
    <row r="66" customFormat="false" ht="15" hidden="false" customHeight="false" outlineLevel="0" collapsed="false">
      <c r="A66" s="42" t="n">
        <v>605800</v>
      </c>
      <c r="B66" s="12" t="s">
        <v>359</v>
      </c>
      <c r="C66" s="13" t="s">
        <v>352</v>
      </c>
      <c r="D66" s="15" t="n">
        <f aca="false">IF(LEFT(A66,1)&gt;="6",0,SUMIFS('BALANCE 2026'!$H:$H,'BALANCE 2026'!$A:$A,A66))</f>
        <v>0</v>
      </c>
      <c r="E66" s="15" t="n">
        <f aca="false">IF(LEFT(A66,1)&gt;="6",0,SUMIFS('BALANCE 2026'!$I:$I,'BALANCE 2026'!$A:$A,A66))</f>
        <v>0</v>
      </c>
      <c r="F66" s="21" t="n">
        <f aca="false">MAX(0,(H66-I66)-(D66-E66))</f>
        <v>140827404</v>
      </c>
      <c r="G66" s="21" t="n">
        <f aca="false">MAX(0,(D66-E66)-(H66-I66))</f>
        <v>0</v>
      </c>
      <c r="H66" s="15" t="n">
        <f aca="false">ROUND(IF(HYPOTHESES!$C$51=0,0,HYPOTHESES!F$51-SUMPRODUCT((T_BAL_2027[Poste]="RE")*(T_BAL_2027[Compte]&lt;&gt;605800)*ROUND(HYPOTHESES!F$51*SUMIFS('BALANCE 2024'!$H:$H,'BALANCE 2024'!$A:$A,T_BAL_2027[Compte])/HYPOTHESES!$C$51,0))),0)</f>
        <v>140827404</v>
      </c>
      <c r="I66" s="21" t="n">
        <v>0</v>
      </c>
      <c r="J66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6" s="43" t="n">
        <f aca="false">T_BAL_2027[[#This Row],[Clôture Débit]]-T_BAL_2027[[#This Row],[Clôture Crédit]]</f>
        <v>140827404</v>
      </c>
    </row>
    <row r="67" customFormat="false" ht="15" hidden="false" customHeight="false" outlineLevel="0" collapsed="false">
      <c r="A67" s="42" t="n">
        <v>616000</v>
      </c>
      <c r="B67" s="12" t="s">
        <v>360</v>
      </c>
      <c r="C67" s="13" t="s">
        <v>361</v>
      </c>
      <c r="D67" s="15" t="n">
        <f aca="false">IF(LEFT(A67,1)&gt;="6",0,SUMIFS('BALANCE 2026'!$H:$H,'BALANCE 2026'!$A:$A,A67))</f>
        <v>0</v>
      </c>
      <c r="E67" s="15" t="n">
        <f aca="false">IF(LEFT(A67,1)&gt;="6",0,SUMIFS('BALANCE 2026'!$I:$I,'BALANCE 2026'!$A:$A,A67))</f>
        <v>0</v>
      </c>
      <c r="F67" s="21" t="n">
        <f aca="false">MAX(0,(H67-I67)-(D67-E67))</f>
        <v>109775</v>
      </c>
      <c r="G67" s="21" t="n">
        <f aca="false">MAX(0,(D67-E67)-(H67-I67))</f>
        <v>0</v>
      </c>
      <c r="H67" s="15" t="n">
        <f aca="false">ROUND(IF(LEFT(A67,1)&gt;="6",IF(C67="RE",IF(HYPOTHESES!$C$51=0,0,HYPOTHESES!F$51*SUMIFS('BALANCE 2024'!$H:$H,'BALANCE 2024'!$A:$A,A67)/HYPOTHESES!$C$51),IF(C67="RG",IF(HYPOTHESES!$C$52=0,0,HYPOTHESES!F$52*SUMIFS('BALANCE 2024'!$H:$H,'BALANCE 2024'!$A:$A,A67)/HYPOTHESES!$C$52),IF(C67="RH",IF(HYPOTHESES!$C$53=0,0,HYPOTHESES!F$53*SUMIFS('BALANCE 2024'!$H:$H,'BALANCE 2024'!$A:$A,A67)/HYPOTHESES!$C$53),IF(C67="RI",IF(HYPOTHESES!$C$54=0,0,HYPOTHESES!F$54*SUMIFS('BALANCE 2024'!$H:$H,'BALANCE 2024'!$A:$A,A67)/HYPOTHESES!$C$54),IF(C67="RJ",IF(HYPOTHESES!$C$55=0,0,HYPOTHESES!F$55*SUMIFS('BALANCE 2024'!$H:$H,'BALANCE 2024'!$A:$A,A67)/HYPOTHESES!$C$55),IF(C67="RK",IF(HYPOTHESES!$C$56=0,0,HYPOTHESES!F$56*SUMIFS('BALANCE 2024'!$H:$H,'BALANCE 2024'!$A:$A,A67)/HYPOTHESES!$C$56),0)))))),MAX(0,D67-E67)),0)</f>
        <v>109775</v>
      </c>
      <c r="I67" s="21" t="n">
        <v>0</v>
      </c>
      <c r="J67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7" s="43" t="n">
        <f aca="false">T_BAL_2027[[#This Row],[Clôture Débit]]-T_BAL_2027[[#This Row],[Clôture Crédit]]</f>
        <v>109775</v>
      </c>
    </row>
    <row r="68" customFormat="false" ht="15" hidden="false" customHeight="false" outlineLevel="0" collapsed="false">
      <c r="A68" s="42" t="n">
        <v>618200</v>
      </c>
      <c r="B68" s="12" t="s">
        <v>362</v>
      </c>
      <c r="C68" s="13" t="s">
        <v>361</v>
      </c>
      <c r="D68" s="15" t="n">
        <f aca="false">IF(LEFT(A68,1)&gt;="6",0,SUMIFS('BALANCE 2026'!$H:$H,'BALANCE 2026'!$A:$A,A68))</f>
        <v>0</v>
      </c>
      <c r="E68" s="15" t="n">
        <f aca="false">IF(LEFT(A68,1)&gt;="6",0,SUMIFS('BALANCE 2026'!$I:$I,'BALANCE 2026'!$A:$A,A68))</f>
        <v>0</v>
      </c>
      <c r="F68" s="21" t="n">
        <f aca="false">MAX(0,(H68-I68)-(D68-E68))</f>
        <v>1831765</v>
      </c>
      <c r="G68" s="21" t="n">
        <f aca="false">MAX(0,(D68-E68)-(H68-I68))</f>
        <v>0</v>
      </c>
      <c r="H68" s="15" t="n">
        <f aca="false">ROUND(IF(LEFT(A68,1)&gt;="6",IF(C68="RE",IF(HYPOTHESES!$C$51=0,0,HYPOTHESES!F$51*SUMIFS('BALANCE 2024'!$H:$H,'BALANCE 2024'!$A:$A,A68)/HYPOTHESES!$C$51),IF(C68="RG",IF(HYPOTHESES!$C$52=0,0,HYPOTHESES!F$52*SUMIFS('BALANCE 2024'!$H:$H,'BALANCE 2024'!$A:$A,A68)/HYPOTHESES!$C$52),IF(C68="RH",IF(HYPOTHESES!$C$53=0,0,HYPOTHESES!F$53*SUMIFS('BALANCE 2024'!$H:$H,'BALANCE 2024'!$A:$A,A68)/HYPOTHESES!$C$53),IF(C68="RI",IF(HYPOTHESES!$C$54=0,0,HYPOTHESES!F$54*SUMIFS('BALANCE 2024'!$H:$H,'BALANCE 2024'!$A:$A,A68)/HYPOTHESES!$C$54),IF(C68="RJ",IF(HYPOTHESES!$C$55=0,0,HYPOTHESES!F$55*SUMIFS('BALANCE 2024'!$H:$H,'BALANCE 2024'!$A:$A,A68)/HYPOTHESES!$C$55),IF(C68="RK",IF(HYPOTHESES!$C$56=0,0,HYPOTHESES!F$56*SUMIFS('BALANCE 2024'!$H:$H,'BALANCE 2024'!$A:$A,A68)/HYPOTHESES!$C$56),0)))))),MAX(0,D68-E68)),0)</f>
        <v>1831765</v>
      </c>
      <c r="I68" s="21" t="n">
        <v>0</v>
      </c>
      <c r="J68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8" s="43" t="n">
        <f aca="false">T_BAL_2027[[#This Row],[Clôture Débit]]-T_BAL_2027[[#This Row],[Clôture Crédit]]</f>
        <v>1831765</v>
      </c>
    </row>
    <row r="69" customFormat="false" ht="15" hidden="false" customHeight="false" outlineLevel="0" collapsed="false">
      <c r="A69" s="42" t="n">
        <v>618300</v>
      </c>
      <c r="B69" s="12" t="s">
        <v>363</v>
      </c>
      <c r="C69" s="13" t="s">
        <v>361</v>
      </c>
      <c r="D69" s="15" t="n">
        <f aca="false">IF(LEFT(A69,1)&gt;="6",0,SUMIFS('BALANCE 2026'!$H:$H,'BALANCE 2026'!$A:$A,A69))</f>
        <v>0</v>
      </c>
      <c r="E69" s="15" t="n">
        <f aca="false">IF(LEFT(A69,1)&gt;="6",0,SUMIFS('BALANCE 2026'!$I:$I,'BALANCE 2026'!$A:$A,A69))</f>
        <v>0</v>
      </c>
      <c r="F69" s="21" t="n">
        <f aca="false">MAX(0,(H69-I69)-(D69-E69))</f>
        <v>2524172</v>
      </c>
      <c r="G69" s="21" t="n">
        <f aca="false">MAX(0,(D69-E69)-(H69-I69))</f>
        <v>0</v>
      </c>
      <c r="H69" s="15" t="n">
        <f aca="false">ROUND(IF(HYPOTHESES!$C$52=0,0,HYPOTHESES!F$52-SUMPRODUCT((T_BAL_2027[Poste]="RG")*(T_BAL_2027[Compte]&lt;&gt;618300)*ROUND(HYPOTHESES!F$52*SUMIFS('BALANCE 2024'!$H:$H,'BALANCE 2024'!$A:$A,T_BAL_2027[Compte])/HYPOTHESES!$C$52,0))),0)</f>
        <v>2524172</v>
      </c>
      <c r="I69" s="21" t="n">
        <v>0</v>
      </c>
      <c r="J69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9" s="43" t="n">
        <f aca="false">T_BAL_2027[[#This Row],[Clôture Débit]]-T_BAL_2027[[#This Row],[Clôture Crédit]]</f>
        <v>2524172</v>
      </c>
    </row>
    <row r="70" customFormat="false" ht="15" hidden="false" customHeight="false" outlineLevel="0" collapsed="false">
      <c r="A70" s="42" t="n">
        <v>622200</v>
      </c>
      <c r="B70" s="12" t="s">
        <v>364</v>
      </c>
      <c r="C70" s="13" t="s">
        <v>365</v>
      </c>
      <c r="D70" s="15" t="n">
        <f aca="false">IF(LEFT(A70,1)&gt;="6",0,SUMIFS('BALANCE 2026'!$H:$H,'BALANCE 2026'!$A:$A,A70))</f>
        <v>0</v>
      </c>
      <c r="E70" s="15" t="n">
        <f aca="false">IF(LEFT(A70,1)&gt;="6",0,SUMIFS('BALANCE 2026'!$I:$I,'BALANCE 2026'!$A:$A,A70))</f>
        <v>0</v>
      </c>
      <c r="F70" s="21" t="n">
        <f aca="false">MAX(0,(H70-I70)-(D70-E70))</f>
        <v>19623501</v>
      </c>
      <c r="G70" s="21" t="n">
        <f aca="false">MAX(0,(D70-E70)-(H70-I70))</f>
        <v>0</v>
      </c>
      <c r="H70" s="15" t="n">
        <f aca="false">ROUND(IF(LEFT(A70,1)&gt;="6",IF(C70="RE",IF(HYPOTHESES!$C$51=0,0,HYPOTHESES!F$51*SUMIFS('BALANCE 2024'!$H:$H,'BALANCE 2024'!$A:$A,A70)/HYPOTHESES!$C$51),IF(C70="RG",IF(HYPOTHESES!$C$52=0,0,HYPOTHESES!F$52*SUMIFS('BALANCE 2024'!$H:$H,'BALANCE 2024'!$A:$A,A70)/HYPOTHESES!$C$52),IF(C70="RH",IF(HYPOTHESES!$C$53=0,0,HYPOTHESES!F$53*SUMIFS('BALANCE 2024'!$H:$H,'BALANCE 2024'!$A:$A,A70)/HYPOTHESES!$C$53),IF(C70="RI",IF(HYPOTHESES!$C$54=0,0,HYPOTHESES!F$54*SUMIFS('BALANCE 2024'!$H:$H,'BALANCE 2024'!$A:$A,A70)/HYPOTHESES!$C$54),IF(C70="RJ",IF(HYPOTHESES!$C$55=0,0,HYPOTHESES!F$55*SUMIFS('BALANCE 2024'!$H:$H,'BALANCE 2024'!$A:$A,A70)/HYPOTHESES!$C$55),IF(C70="RK",IF(HYPOTHESES!$C$56=0,0,HYPOTHESES!F$56*SUMIFS('BALANCE 2024'!$H:$H,'BALANCE 2024'!$A:$A,A70)/HYPOTHESES!$C$56),0)))))),MAX(0,D70-E70)),0)</f>
        <v>19623501</v>
      </c>
      <c r="I70" s="21" t="n">
        <v>0</v>
      </c>
      <c r="J70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0" s="43" t="n">
        <f aca="false">T_BAL_2027[[#This Row],[Clôture Débit]]-T_BAL_2027[[#This Row],[Clôture Crédit]]</f>
        <v>19623501</v>
      </c>
    </row>
    <row r="71" customFormat="false" ht="15" hidden="false" customHeight="false" outlineLevel="0" collapsed="false">
      <c r="A71" s="42" t="n">
        <v>624200</v>
      </c>
      <c r="B71" s="12" t="s">
        <v>366</v>
      </c>
      <c r="C71" s="13" t="s">
        <v>365</v>
      </c>
      <c r="D71" s="15" t="n">
        <f aca="false">IF(LEFT(A71,1)&gt;="6",0,SUMIFS('BALANCE 2026'!$H:$H,'BALANCE 2026'!$A:$A,A71))</f>
        <v>0</v>
      </c>
      <c r="E71" s="15" t="n">
        <f aca="false">IF(LEFT(A71,1)&gt;="6",0,SUMIFS('BALANCE 2026'!$I:$I,'BALANCE 2026'!$A:$A,A71))</f>
        <v>0</v>
      </c>
      <c r="F71" s="21" t="n">
        <f aca="false">MAX(0,(H71-I71)-(D71-E71))</f>
        <v>40347964</v>
      </c>
      <c r="G71" s="21" t="n">
        <f aca="false">MAX(0,(D71-E71)-(H71-I71))</f>
        <v>0</v>
      </c>
      <c r="H71" s="15" t="n">
        <f aca="false">ROUND(IF(HYPOTHESES!$C$53=0,0,HYPOTHESES!F$53-SUMPRODUCT((T_BAL_2027[Poste]="RH")*(T_BAL_2027[Compte]&lt;&gt;624200)*ROUND(HYPOTHESES!F$53*SUMIFS('BALANCE 2024'!$H:$H,'BALANCE 2024'!$A:$A,T_BAL_2027[Compte])/HYPOTHESES!$C$53,0))),0)</f>
        <v>40347964</v>
      </c>
      <c r="I71" s="21" t="n">
        <v>0</v>
      </c>
      <c r="J71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1" s="43" t="n">
        <f aca="false">T_BAL_2027[[#This Row],[Clôture Débit]]-T_BAL_2027[[#This Row],[Clôture Crédit]]</f>
        <v>40347964</v>
      </c>
    </row>
    <row r="72" customFormat="false" ht="15" hidden="false" customHeight="false" outlineLevel="0" collapsed="false">
      <c r="A72" s="42" t="n">
        <v>625800</v>
      </c>
      <c r="B72" s="12" t="s">
        <v>367</v>
      </c>
      <c r="C72" s="13" t="s">
        <v>365</v>
      </c>
      <c r="D72" s="15" t="n">
        <f aca="false">IF(LEFT(A72,1)&gt;="6",0,SUMIFS('BALANCE 2026'!$H:$H,'BALANCE 2026'!$A:$A,A72))</f>
        <v>0</v>
      </c>
      <c r="E72" s="15" t="n">
        <f aca="false">IF(LEFT(A72,1)&gt;="6",0,SUMIFS('BALANCE 2026'!$I:$I,'BALANCE 2026'!$A:$A,A72))</f>
        <v>0</v>
      </c>
      <c r="F72" s="21" t="n">
        <f aca="false">MAX(0,(H72-I72)-(D72-E72))</f>
        <v>5414160</v>
      </c>
      <c r="G72" s="21" t="n">
        <f aca="false">MAX(0,(D72-E72)-(H72-I72))</f>
        <v>0</v>
      </c>
      <c r="H72" s="15" t="n">
        <f aca="false">ROUND(IF(LEFT(A72,1)&gt;="6",IF(C72="RE",IF(HYPOTHESES!$C$51=0,0,HYPOTHESES!F$51*SUMIFS('BALANCE 2024'!$H:$H,'BALANCE 2024'!$A:$A,A72)/HYPOTHESES!$C$51),IF(C72="RG",IF(HYPOTHESES!$C$52=0,0,HYPOTHESES!F$52*SUMIFS('BALANCE 2024'!$H:$H,'BALANCE 2024'!$A:$A,A72)/HYPOTHESES!$C$52),IF(C72="RH",IF(HYPOTHESES!$C$53=0,0,HYPOTHESES!F$53*SUMIFS('BALANCE 2024'!$H:$H,'BALANCE 2024'!$A:$A,A72)/HYPOTHESES!$C$53),IF(C72="RI",IF(HYPOTHESES!$C$54=0,0,HYPOTHESES!F$54*SUMIFS('BALANCE 2024'!$H:$H,'BALANCE 2024'!$A:$A,A72)/HYPOTHESES!$C$54),IF(C72="RJ",IF(HYPOTHESES!$C$55=0,0,HYPOTHESES!F$55*SUMIFS('BALANCE 2024'!$H:$H,'BALANCE 2024'!$A:$A,A72)/HYPOTHESES!$C$55),IF(C72="RK",IF(HYPOTHESES!$C$56=0,0,HYPOTHESES!F$56*SUMIFS('BALANCE 2024'!$H:$H,'BALANCE 2024'!$A:$A,A72)/HYPOTHESES!$C$56),0)))))),MAX(0,D72-E72)),0)</f>
        <v>5414160</v>
      </c>
      <c r="I72" s="21" t="n">
        <v>0</v>
      </c>
      <c r="J72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2" s="43" t="n">
        <f aca="false">T_BAL_2027[[#This Row],[Clôture Débit]]-T_BAL_2027[[#This Row],[Clôture Crédit]]</f>
        <v>5414160</v>
      </c>
    </row>
    <row r="73" customFormat="false" ht="15" hidden="false" customHeight="false" outlineLevel="0" collapsed="false">
      <c r="A73" s="42" t="n">
        <v>626600</v>
      </c>
      <c r="B73" s="12" t="s">
        <v>368</v>
      </c>
      <c r="C73" s="13" t="s">
        <v>365</v>
      </c>
      <c r="D73" s="15" t="n">
        <f aca="false">IF(LEFT(A73,1)&gt;="6",0,SUMIFS('BALANCE 2026'!$H:$H,'BALANCE 2026'!$A:$A,A73))</f>
        <v>0</v>
      </c>
      <c r="E73" s="15" t="n">
        <f aca="false">IF(LEFT(A73,1)&gt;="6",0,SUMIFS('BALANCE 2026'!$I:$I,'BALANCE 2026'!$A:$A,A73))</f>
        <v>0</v>
      </c>
      <c r="F73" s="21" t="n">
        <f aca="false">MAX(0,(H73-I73)-(D73-E73))</f>
        <v>37749</v>
      </c>
      <c r="G73" s="21" t="n">
        <f aca="false">MAX(0,(D73-E73)-(H73-I73))</f>
        <v>0</v>
      </c>
      <c r="H73" s="15" t="n">
        <f aca="false">ROUND(IF(LEFT(A73,1)&gt;="6",IF(C73="RE",IF(HYPOTHESES!$C$51=0,0,HYPOTHESES!F$51*SUMIFS('BALANCE 2024'!$H:$H,'BALANCE 2024'!$A:$A,A73)/HYPOTHESES!$C$51),IF(C73="RG",IF(HYPOTHESES!$C$52=0,0,HYPOTHESES!F$52*SUMIFS('BALANCE 2024'!$H:$H,'BALANCE 2024'!$A:$A,A73)/HYPOTHESES!$C$52),IF(C73="RH",IF(HYPOTHESES!$C$53=0,0,HYPOTHESES!F$53*SUMIFS('BALANCE 2024'!$H:$H,'BALANCE 2024'!$A:$A,A73)/HYPOTHESES!$C$53),IF(C73="RI",IF(HYPOTHESES!$C$54=0,0,HYPOTHESES!F$54*SUMIFS('BALANCE 2024'!$H:$H,'BALANCE 2024'!$A:$A,A73)/HYPOTHESES!$C$54),IF(C73="RJ",IF(HYPOTHESES!$C$55=0,0,HYPOTHESES!F$55*SUMIFS('BALANCE 2024'!$H:$H,'BALANCE 2024'!$A:$A,A73)/HYPOTHESES!$C$55),IF(C73="RK",IF(HYPOTHESES!$C$56=0,0,HYPOTHESES!F$56*SUMIFS('BALANCE 2024'!$H:$H,'BALANCE 2024'!$A:$A,A73)/HYPOTHESES!$C$56),0)))))),MAX(0,D73-E73)),0)</f>
        <v>37749</v>
      </c>
      <c r="I73" s="21" t="n">
        <v>0</v>
      </c>
      <c r="J73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3" s="43" t="n">
        <f aca="false">T_BAL_2027[[#This Row],[Clôture Débit]]-T_BAL_2027[[#This Row],[Clôture Crédit]]</f>
        <v>37749</v>
      </c>
    </row>
    <row r="74" customFormat="false" ht="15" hidden="false" customHeight="false" outlineLevel="0" collapsed="false">
      <c r="A74" s="42" t="n">
        <v>627700</v>
      </c>
      <c r="B74" s="12" t="s">
        <v>369</v>
      </c>
      <c r="C74" s="13" t="s">
        <v>365</v>
      </c>
      <c r="D74" s="15" t="n">
        <f aca="false">IF(LEFT(A74,1)&gt;="6",0,SUMIFS('BALANCE 2026'!$H:$H,'BALANCE 2026'!$A:$A,A74))</f>
        <v>0</v>
      </c>
      <c r="E74" s="15" t="n">
        <f aca="false">IF(LEFT(A74,1)&gt;="6",0,SUMIFS('BALANCE 2026'!$I:$I,'BALANCE 2026'!$A:$A,A74))</f>
        <v>0</v>
      </c>
      <c r="F74" s="21" t="n">
        <f aca="false">MAX(0,(H74-I74)-(D74-E74))</f>
        <v>69009</v>
      </c>
      <c r="G74" s="21" t="n">
        <f aca="false">MAX(0,(D74-E74)-(H74-I74))</f>
        <v>0</v>
      </c>
      <c r="H74" s="15" t="n">
        <f aca="false">ROUND(IF(LEFT(A74,1)&gt;="6",IF(C74="RE",IF(HYPOTHESES!$C$51=0,0,HYPOTHESES!F$51*SUMIFS('BALANCE 2024'!$H:$H,'BALANCE 2024'!$A:$A,A74)/HYPOTHESES!$C$51),IF(C74="RG",IF(HYPOTHESES!$C$52=0,0,HYPOTHESES!F$52*SUMIFS('BALANCE 2024'!$H:$H,'BALANCE 2024'!$A:$A,A74)/HYPOTHESES!$C$52),IF(C74="RH",IF(HYPOTHESES!$C$53=0,0,HYPOTHESES!F$53*SUMIFS('BALANCE 2024'!$H:$H,'BALANCE 2024'!$A:$A,A74)/HYPOTHESES!$C$53),IF(C74="RI",IF(HYPOTHESES!$C$54=0,0,HYPOTHESES!F$54*SUMIFS('BALANCE 2024'!$H:$H,'BALANCE 2024'!$A:$A,A74)/HYPOTHESES!$C$54),IF(C74="RJ",IF(HYPOTHESES!$C$55=0,0,HYPOTHESES!F$55*SUMIFS('BALANCE 2024'!$H:$H,'BALANCE 2024'!$A:$A,A74)/HYPOTHESES!$C$55),IF(C74="RK",IF(HYPOTHESES!$C$56=0,0,HYPOTHESES!F$56*SUMIFS('BALANCE 2024'!$H:$H,'BALANCE 2024'!$A:$A,A74)/HYPOTHESES!$C$56),0)))))),MAX(0,D74-E74)),0)</f>
        <v>69009</v>
      </c>
      <c r="I74" s="21" t="n">
        <v>0</v>
      </c>
      <c r="J74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4" s="43" t="n">
        <f aca="false">T_BAL_2027[[#This Row],[Clôture Débit]]-T_BAL_2027[[#This Row],[Clôture Crédit]]</f>
        <v>69009</v>
      </c>
    </row>
    <row r="75" customFormat="false" ht="15" hidden="false" customHeight="false" outlineLevel="0" collapsed="false">
      <c r="A75" s="42" t="n">
        <v>628800</v>
      </c>
      <c r="B75" s="12" t="s">
        <v>370</v>
      </c>
      <c r="C75" s="13" t="s">
        <v>365</v>
      </c>
      <c r="D75" s="15" t="n">
        <f aca="false">IF(LEFT(A75,1)&gt;="6",0,SUMIFS('BALANCE 2026'!$H:$H,'BALANCE 2026'!$A:$A,A75))</f>
        <v>0</v>
      </c>
      <c r="E75" s="15" t="n">
        <f aca="false">IF(LEFT(A75,1)&gt;="6",0,SUMIFS('BALANCE 2026'!$I:$I,'BALANCE 2026'!$A:$A,A75))</f>
        <v>0</v>
      </c>
      <c r="F75" s="21" t="n">
        <f aca="false">MAX(0,(H75-I75)-(D75-E75))</f>
        <v>936690</v>
      </c>
      <c r="G75" s="21" t="n">
        <f aca="false">MAX(0,(D75-E75)-(H75-I75))</f>
        <v>0</v>
      </c>
      <c r="H75" s="15" t="n">
        <f aca="false">ROUND(IF(LEFT(A75,1)&gt;="6",IF(C75="RE",IF(HYPOTHESES!$C$51=0,0,HYPOTHESES!F$51*SUMIFS('BALANCE 2024'!$H:$H,'BALANCE 2024'!$A:$A,A75)/HYPOTHESES!$C$51),IF(C75="RG",IF(HYPOTHESES!$C$52=0,0,HYPOTHESES!F$52*SUMIFS('BALANCE 2024'!$H:$H,'BALANCE 2024'!$A:$A,A75)/HYPOTHESES!$C$52),IF(C75="RH",IF(HYPOTHESES!$C$53=0,0,HYPOTHESES!F$53*SUMIFS('BALANCE 2024'!$H:$H,'BALANCE 2024'!$A:$A,A75)/HYPOTHESES!$C$53),IF(C75="RI",IF(HYPOTHESES!$C$54=0,0,HYPOTHESES!F$54*SUMIFS('BALANCE 2024'!$H:$H,'BALANCE 2024'!$A:$A,A75)/HYPOTHESES!$C$54),IF(C75="RJ",IF(HYPOTHESES!$C$55=0,0,HYPOTHESES!F$55*SUMIFS('BALANCE 2024'!$H:$H,'BALANCE 2024'!$A:$A,A75)/HYPOTHESES!$C$55),IF(C75="RK",IF(HYPOTHESES!$C$56=0,0,HYPOTHESES!F$56*SUMIFS('BALANCE 2024'!$H:$H,'BALANCE 2024'!$A:$A,A75)/HYPOTHESES!$C$56),0)))))),MAX(0,D75-E75)),0)</f>
        <v>936690</v>
      </c>
      <c r="I75" s="21" t="n">
        <v>0</v>
      </c>
      <c r="J75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5" s="43" t="n">
        <f aca="false">T_BAL_2027[[#This Row],[Clôture Débit]]-T_BAL_2027[[#This Row],[Clôture Crédit]]</f>
        <v>936690</v>
      </c>
    </row>
    <row r="76" customFormat="false" ht="15" hidden="false" customHeight="false" outlineLevel="0" collapsed="false">
      <c r="A76" s="42" t="n">
        <v>631800</v>
      </c>
      <c r="B76" s="12" t="s">
        <v>371</v>
      </c>
      <c r="C76" s="13" t="s">
        <v>365</v>
      </c>
      <c r="D76" s="15" t="n">
        <f aca="false">IF(LEFT(A76,1)&gt;="6",0,SUMIFS('BALANCE 2026'!$H:$H,'BALANCE 2026'!$A:$A,A76))</f>
        <v>0</v>
      </c>
      <c r="E76" s="15" t="n">
        <f aca="false">IF(LEFT(A76,1)&gt;="6",0,SUMIFS('BALANCE 2026'!$I:$I,'BALANCE 2026'!$A:$A,A76))</f>
        <v>0</v>
      </c>
      <c r="F76" s="21" t="n">
        <f aca="false">MAX(0,(H76-I76)-(D76-E76))</f>
        <v>26648373</v>
      </c>
      <c r="G76" s="21" t="n">
        <f aca="false">MAX(0,(D76-E76)-(H76-I76))</f>
        <v>0</v>
      </c>
      <c r="H76" s="15" t="n">
        <f aca="false">ROUND(IF(LEFT(A76,1)&gt;="6",IF(C76="RE",IF(HYPOTHESES!$C$51=0,0,HYPOTHESES!F$51*SUMIFS('BALANCE 2024'!$H:$H,'BALANCE 2024'!$A:$A,A76)/HYPOTHESES!$C$51),IF(C76="RG",IF(HYPOTHESES!$C$52=0,0,HYPOTHESES!F$52*SUMIFS('BALANCE 2024'!$H:$H,'BALANCE 2024'!$A:$A,A76)/HYPOTHESES!$C$52),IF(C76="RH",IF(HYPOTHESES!$C$53=0,0,HYPOTHESES!F$53*SUMIFS('BALANCE 2024'!$H:$H,'BALANCE 2024'!$A:$A,A76)/HYPOTHESES!$C$53),IF(C76="RI",IF(HYPOTHESES!$C$54=0,0,HYPOTHESES!F$54*SUMIFS('BALANCE 2024'!$H:$H,'BALANCE 2024'!$A:$A,A76)/HYPOTHESES!$C$54),IF(C76="RJ",IF(HYPOTHESES!$C$55=0,0,HYPOTHESES!F$55*SUMIFS('BALANCE 2024'!$H:$H,'BALANCE 2024'!$A:$A,A76)/HYPOTHESES!$C$55),IF(C76="RK",IF(HYPOTHESES!$C$56=0,0,HYPOTHESES!F$56*SUMIFS('BALANCE 2024'!$H:$H,'BALANCE 2024'!$A:$A,A76)/HYPOTHESES!$C$56),0)))))),MAX(0,D76-E76)),0)</f>
        <v>26648373</v>
      </c>
      <c r="I76" s="21" t="n">
        <v>0</v>
      </c>
      <c r="J76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6" s="43" t="n">
        <f aca="false">T_BAL_2027[[#This Row],[Clôture Débit]]-T_BAL_2027[[#This Row],[Clôture Crédit]]</f>
        <v>26648373</v>
      </c>
    </row>
    <row r="77" customFormat="false" ht="15" hidden="false" customHeight="false" outlineLevel="0" collapsed="false">
      <c r="A77" s="42" t="n">
        <v>632800</v>
      </c>
      <c r="B77" s="12" t="s">
        <v>372</v>
      </c>
      <c r="C77" s="13" t="s">
        <v>365</v>
      </c>
      <c r="D77" s="15" t="n">
        <f aca="false">IF(LEFT(A77,1)&gt;="6",0,SUMIFS('BALANCE 2026'!$H:$H,'BALANCE 2026'!$A:$A,A77))</f>
        <v>0</v>
      </c>
      <c r="E77" s="15" t="n">
        <f aca="false">IF(LEFT(A77,1)&gt;="6",0,SUMIFS('BALANCE 2026'!$I:$I,'BALANCE 2026'!$A:$A,A77))</f>
        <v>0</v>
      </c>
      <c r="F77" s="21" t="n">
        <f aca="false">MAX(0,(H77-I77)-(D77-E77))</f>
        <v>5606900</v>
      </c>
      <c r="G77" s="21" t="n">
        <f aca="false">MAX(0,(D77-E77)-(H77-I77))</f>
        <v>0</v>
      </c>
      <c r="H77" s="15" t="n">
        <f aca="false">ROUND(IF(LEFT(A77,1)&gt;="6",IF(C77="RE",IF(HYPOTHESES!$C$51=0,0,HYPOTHESES!F$51*SUMIFS('BALANCE 2024'!$H:$H,'BALANCE 2024'!$A:$A,A77)/HYPOTHESES!$C$51),IF(C77="RG",IF(HYPOTHESES!$C$52=0,0,HYPOTHESES!F$52*SUMIFS('BALANCE 2024'!$H:$H,'BALANCE 2024'!$A:$A,A77)/HYPOTHESES!$C$52),IF(C77="RH",IF(HYPOTHESES!$C$53=0,0,HYPOTHESES!F$53*SUMIFS('BALANCE 2024'!$H:$H,'BALANCE 2024'!$A:$A,A77)/HYPOTHESES!$C$53),IF(C77="RI",IF(HYPOTHESES!$C$54=0,0,HYPOTHESES!F$54*SUMIFS('BALANCE 2024'!$H:$H,'BALANCE 2024'!$A:$A,A77)/HYPOTHESES!$C$54),IF(C77="RJ",IF(HYPOTHESES!$C$55=0,0,HYPOTHESES!F$55*SUMIFS('BALANCE 2024'!$H:$H,'BALANCE 2024'!$A:$A,A77)/HYPOTHESES!$C$55),IF(C77="RK",IF(HYPOTHESES!$C$56=0,0,HYPOTHESES!F$56*SUMIFS('BALANCE 2024'!$H:$H,'BALANCE 2024'!$A:$A,A77)/HYPOTHESES!$C$56),0)))))),MAX(0,D77-E77)),0)</f>
        <v>5606900</v>
      </c>
      <c r="I77" s="21" t="n">
        <v>0</v>
      </c>
      <c r="J77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7" s="43" t="n">
        <f aca="false">T_BAL_2027[[#This Row],[Clôture Débit]]-T_BAL_2027[[#This Row],[Clôture Crédit]]</f>
        <v>5606900</v>
      </c>
    </row>
    <row r="78" customFormat="false" ht="15" hidden="false" customHeight="false" outlineLevel="0" collapsed="false">
      <c r="A78" s="42" t="n">
        <v>638800</v>
      </c>
      <c r="B78" s="12" t="s">
        <v>373</v>
      </c>
      <c r="C78" s="13" t="s">
        <v>365</v>
      </c>
      <c r="D78" s="15" t="n">
        <f aca="false">IF(LEFT(A78,1)&gt;="6",0,SUMIFS('BALANCE 2026'!$H:$H,'BALANCE 2026'!$A:$A,A78))</f>
        <v>0</v>
      </c>
      <c r="E78" s="15" t="n">
        <f aca="false">IF(LEFT(A78,1)&gt;="6",0,SUMIFS('BALANCE 2026'!$I:$I,'BALANCE 2026'!$A:$A,A78))</f>
        <v>0</v>
      </c>
      <c r="F78" s="21" t="n">
        <f aca="false">MAX(0,(H78-I78)-(D78-E78))</f>
        <v>27265266</v>
      </c>
      <c r="G78" s="21" t="n">
        <f aca="false">MAX(0,(D78-E78)-(H78-I78))</f>
        <v>0</v>
      </c>
      <c r="H78" s="15" t="n">
        <f aca="false">ROUND(IF(LEFT(A78,1)&gt;="6",IF(C78="RE",IF(HYPOTHESES!$C$51=0,0,HYPOTHESES!F$51*SUMIFS('BALANCE 2024'!$H:$H,'BALANCE 2024'!$A:$A,A78)/HYPOTHESES!$C$51),IF(C78="RG",IF(HYPOTHESES!$C$52=0,0,HYPOTHESES!F$52*SUMIFS('BALANCE 2024'!$H:$H,'BALANCE 2024'!$A:$A,A78)/HYPOTHESES!$C$52),IF(C78="RH",IF(HYPOTHESES!$C$53=0,0,HYPOTHESES!F$53*SUMIFS('BALANCE 2024'!$H:$H,'BALANCE 2024'!$A:$A,A78)/HYPOTHESES!$C$53),IF(C78="RI",IF(HYPOTHESES!$C$54=0,0,HYPOTHESES!F$54*SUMIFS('BALANCE 2024'!$H:$H,'BALANCE 2024'!$A:$A,A78)/HYPOTHESES!$C$54),IF(C78="RJ",IF(HYPOTHESES!$C$55=0,0,HYPOTHESES!F$55*SUMIFS('BALANCE 2024'!$H:$H,'BALANCE 2024'!$A:$A,A78)/HYPOTHESES!$C$55),IF(C78="RK",IF(HYPOTHESES!$C$56=0,0,HYPOTHESES!F$56*SUMIFS('BALANCE 2024'!$H:$H,'BALANCE 2024'!$A:$A,A78)/HYPOTHESES!$C$56),0)))))),MAX(0,D78-E78)),0)</f>
        <v>27265266</v>
      </c>
      <c r="I78" s="21" t="n">
        <v>0</v>
      </c>
      <c r="J78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8" s="43" t="n">
        <f aca="false">T_BAL_2027[[#This Row],[Clôture Débit]]-T_BAL_2027[[#This Row],[Clôture Crédit]]</f>
        <v>27265266</v>
      </c>
    </row>
    <row r="79" customFormat="false" ht="15" hidden="false" customHeight="false" outlineLevel="0" collapsed="false">
      <c r="A79" s="42" t="n">
        <v>641100</v>
      </c>
      <c r="B79" s="12" t="s">
        <v>374</v>
      </c>
      <c r="C79" s="13" t="s">
        <v>375</v>
      </c>
      <c r="D79" s="15" t="n">
        <f aca="false">IF(LEFT(A79,1)&gt;="6",0,SUMIFS('BALANCE 2026'!$H:$H,'BALANCE 2026'!$A:$A,A79))</f>
        <v>0</v>
      </c>
      <c r="E79" s="15" t="n">
        <f aca="false">IF(LEFT(A79,1)&gt;="6",0,SUMIFS('BALANCE 2026'!$I:$I,'BALANCE 2026'!$A:$A,A79))</f>
        <v>0</v>
      </c>
      <c r="F79" s="21" t="n">
        <f aca="false">MAX(0,(H79-I79)-(D79-E79))</f>
        <v>424457</v>
      </c>
      <c r="G79" s="21" t="n">
        <f aca="false">MAX(0,(D79-E79)-(H79-I79))</f>
        <v>0</v>
      </c>
      <c r="H79" s="15" t="n">
        <f aca="false">ROUND(IF(LEFT(A79,1)&gt;="6",IF(C79="RE",IF(HYPOTHESES!$C$51=0,0,HYPOTHESES!F$51*SUMIFS('BALANCE 2024'!$H:$H,'BALANCE 2024'!$A:$A,A79)/HYPOTHESES!$C$51),IF(C79="RG",IF(HYPOTHESES!$C$52=0,0,HYPOTHESES!F$52*SUMIFS('BALANCE 2024'!$H:$H,'BALANCE 2024'!$A:$A,A79)/HYPOTHESES!$C$52),IF(C79="RH",IF(HYPOTHESES!$C$53=0,0,HYPOTHESES!F$53*SUMIFS('BALANCE 2024'!$H:$H,'BALANCE 2024'!$A:$A,A79)/HYPOTHESES!$C$53),IF(C79="RI",IF(HYPOTHESES!$C$54=0,0,HYPOTHESES!F$54*SUMIFS('BALANCE 2024'!$H:$H,'BALANCE 2024'!$A:$A,A79)/HYPOTHESES!$C$54),IF(C79="RJ",IF(HYPOTHESES!$C$55=0,0,HYPOTHESES!F$55*SUMIFS('BALANCE 2024'!$H:$H,'BALANCE 2024'!$A:$A,A79)/HYPOTHESES!$C$55),IF(C79="RK",IF(HYPOTHESES!$C$56=0,0,HYPOTHESES!F$56*SUMIFS('BALANCE 2024'!$H:$H,'BALANCE 2024'!$A:$A,A79)/HYPOTHESES!$C$56),0)))))),MAX(0,D79-E79)),0)</f>
        <v>424457</v>
      </c>
      <c r="I79" s="21" t="n">
        <v>0</v>
      </c>
      <c r="J79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9" s="43" t="n">
        <f aca="false">T_BAL_2027[[#This Row],[Clôture Débit]]-T_BAL_2027[[#This Row],[Clôture Crédit]]</f>
        <v>424457</v>
      </c>
    </row>
    <row r="80" customFormat="false" ht="15" hidden="false" customHeight="false" outlineLevel="0" collapsed="false">
      <c r="A80" s="42" t="n">
        <v>641201</v>
      </c>
      <c r="B80" s="12" t="s">
        <v>376</v>
      </c>
      <c r="C80" s="13" t="s">
        <v>375</v>
      </c>
      <c r="D80" s="15" t="n">
        <f aca="false">IF(LEFT(A80,1)&gt;="6",0,SUMIFS('BALANCE 2026'!$H:$H,'BALANCE 2026'!$A:$A,A80))</f>
        <v>0</v>
      </c>
      <c r="E80" s="15" t="n">
        <f aca="false">IF(LEFT(A80,1)&gt;="6",0,SUMIFS('BALANCE 2026'!$I:$I,'BALANCE 2026'!$A:$A,A80))</f>
        <v>0</v>
      </c>
      <c r="F80" s="21" t="n">
        <f aca="false">MAX(0,(H80-I80)-(D80-E80))</f>
        <v>10676434</v>
      </c>
      <c r="G80" s="21" t="n">
        <f aca="false">MAX(0,(D80-E80)-(H80-I80))</f>
        <v>0</v>
      </c>
      <c r="H80" s="15" t="n">
        <f aca="false">ROUND(IF(HYPOTHESES!$C$54=0,0,HYPOTHESES!F$54-SUMPRODUCT((T_BAL_2027[Poste]="RI")*(T_BAL_2027[Compte]&lt;&gt;641201)*ROUND(HYPOTHESES!F$54*SUMIFS('BALANCE 2024'!$H:$H,'BALANCE 2024'!$A:$A,T_BAL_2027[Compte])/HYPOTHESES!$C$54,0))),0)</f>
        <v>10676434</v>
      </c>
      <c r="I80" s="21" t="n">
        <v>0</v>
      </c>
      <c r="J80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0" s="43" t="n">
        <f aca="false">T_BAL_2027[[#This Row],[Clôture Débit]]-T_BAL_2027[[#This Row],[Clôture Crédit]]</f>
        <v>10676434</v>
      </c>
    </row>
    <row r="81" customFormat="false" ht="15" hidden="false" customHeight="false" outlineLevel="0" collapsed="false">
      <c r="A81" s="42" t="n">
        <v>641202</v>
      </c>
      <c r="B81" s="12" t="s">
        <v>377</v>
      </c>
      <c r="C81" s="13" t="s">
        <v>375</v>
      </c>
      <c r="D81" s="15" t="n">
        <f aca="false">IF(LEFT(A81,1)&gt;="6",0,SUMIFS('BALANCE 2026'!$H:$H,'BALANCE 2026'!$A:$A,A81))</f>
        <v>0</v>
      </c>
      <c r="E81" s="15" t="n">
        <f aca="false">IF(LEFT(A81,1)&gt;="6",0,SUMIFS('BALANCE 2026'!$I:$I,'BALANCE 2026'!$A:$A,A81))</f>
        <v>0</v>
      </c>
      <c r="F81" s="21" t="n">
        <f aca="false">MAX(0,(H81-I81)-(D81-E81))</f>
        <v>1825986</v>
      </c>
      <c r="G81" s="21" t="n">
        <f aca="false">MAX(0,(D81-E81)-(H81-I81))</f>
        <v>0</v>
      </c>
      <c r="H81" s="15" t="n">
        <f aca="false">ROUND(IF(LEFT(A81,1)&gt;="6",IF(C81="RE",IF(HYPOTHESES!$C$51=0,0,HYPOTHESES!F$51*SUMIFS('BALANCE 2024'!$H:$H,'BALANCE 2024'!$A:$A,A81)/HYPOTHESES!$C$51),IF(C81="RG",IF(HYPOTHESES!$C$52=0,0,HYPOTHESES!F$52*SUMIFS('BALANCE 2024'!$H:$H,'BALANCE 2024'!$A:$A,A81)/HYPOTHESES!$C$52),IF(C81="RH",IF(HYPOTHESES!$C$53=0,0,HYPOTHESES!F$53*SUMIFS('BALANCE 2024'!$H:$H,'BALANCE 2024'!$A:$A,A81)/HYPOTHESES!$C$53),IF(C81="RI",IF(HYPOTHESES!$C$54=0,0,HYPOTHESES!F$54*SUMIFS('BALANCE 2024'!$H:$H,'BALANCE 2024'!$A:$A,A81)/HYPOTHESES!$C$54),IF(C81="RJ",IF(HYPOTHESES!$C$55=0,0,HYPOTHESES!F$55*SUMIFS('BALANCE 2024'!$H:$H,'BALANCE 2024'!$A:$A,A81)/HYPOTHESES!$C$55),IF(C81="RK",IF(HYPOTHESES!$C$56=0,0,HYPOTHESES!F$56*SUMIFS('BALANCE 2024'!$H:$H,'BALANCE 2024'!$A:$A,A81)/HYPOTHESES!$C$56),0)))))),MAX(0,D81-E81)),0)</f>
        <v>1825986</v>
      </c>
      <c r="I81" s="21" t="n">
        <v>0</v>
      </c>
      <c r="J81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1" s="43" t="n">
        <f aca="false">T_BAL_2027[[#This Row],[Clôture Débit]]-T_BAL_2027[[#This Row],[Clôture Crédit]]</f>
        <v>1825986</v>
      </c>
    </row>
    <row r="82" customFormat="false" ht="15" hidden="false" customHeight="false" outlineLevel="0" collapsed="false">
      <c r="A82" s="42" t="n">
        <v>641300</v>
      </c>
      <c r="B82" s="12" t="s">
        <v>378</v>
      </c>
      <c r="C82" s="13" t="s">
        <v>375</v>
      </c>
      <c r="D82" s="15" t="n">
        <f aca="false">IF(LEFT(A82,1)&gt;="6",0,SUMIFS('BALANCE 2026'!$H:$H,'BALANCE 2026'!$A:$A,A82))</f>
        <v>0</v>
      </c>
      <c r="E82" s="15" t="n">
        <f aca="false">IF(LEFT(A82,1)&gt;="6",0,SUMIFS('BALANCE 2026'!$I:$I,'BALANCE 2026'!$A:$A,A82))</f>
        <v>0</v>
      </c>
      <c r="F82" s="21" t="n">
        <f aca="false">MAX(0,(H82-I82)-(D82-E82))</f>
        <v>974572</v>
      </c>
      <c r="G82" s="21" t="n">
        <f aca="false">MAX(0,(D82-E82)-(H82-I82))</f>
        <v>0</v>
      </c>
      <c r="H82" s="15" t="n">
        <f aca="false">ROUND(IF(LEFT(A82,1)&gt;="6",IF(C82="RE",IF(HYPOTHESES!$C$51=0,0,HYPOTHESES!F$51*SUMIFS('BALANCE 2024'!$H:$H,'BALANCE 2024'!$A:$A,A82)/HYPOTHESES!$C$51),IF(C82="RG",IF(HYPOTHESES!$C$52=0,0,HYPOTHESES!F$52*SUMIFS('BALANCE 2024'!$H:$H,'BALANCE 2024'!$A:$A,A82)/HYPOTHESES!$C$52),IF(C82="RH",IF(HYPOTHESES!$C$53=0,0,HYPOTHESES!F$53*SUMIFS('BALANCE 2024'!$H:$H,'BALANCE 2024'!$A:$A,A82)/HYPOTHESES!$C$53),IF(C82="RI",IF(HYPOTHESES!$C$54=0,0,HYPOTHESES!F$54*SUMIFS('BALANCE 2024'!$H:$H,'BALANCE 2024'!$A:$A,A82)/HYPOTHESES!$C$54),IF(C82="RJ",IF(HYPOTHESES!$C$55=0,0,HYPOTHESES!F$55*SUMIFS('BALANCE 2024'!$H:$H,'BALANCE 2024'!$A:$A,A82)/HYPOTHESES!$C$55),IF(C82="RK",IF(HYPOTHESES!$C$56=0,0,HYPOTHESES!F$56*SUMIFS('BALANCE 2024'!$H:$H,'BALANCE 2024'!$A:$A,A82)/HYPOTHESES!$C$56),0)))))),MAX(0,D82-E82)),0)</f>
        <v>974572</v>
      </c>
      <c r="I82" s="21" t="n">
        <v>0</v>
      </c>
      <c r="J82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2" s="43" t="n">
        <f aca="false">T_BAL_2027[[#This Row],[Clôture Débit]]-T_BAL_2027[[#This Row],[Clôture Crédit]]</f>
        <v>974572</v>
      </c>
    </row>
    <row r="83" customFormat="false" ht="15" hidden="false" customHeight="false" outlineLevel="0" collapsed="false">
      <c r="A83" s="42" t="n">
        <v>641400</v>
      </c>
      <c r="B83" s="12" t="s">
        <v>379</v>
      </c>
      <c r="C83" s="13" t="s">
        <v>375</v>
      </c>
      <c r="D83" s="15" t="n">
        <f aca="false">IF(LEFT(A83,1)&gt;="6",0,SUMIFS('BALANCE 2026'!$H:$H,'BALANCE 2026'!$A:$A,A83))</f>
        <v>0</v>
      </c>
      <c r="E83" s="15" t="n">
        <f aca="false">IF(LEFT(A83,1)&gt;="6",0,SUMIFS('BALANCE 2026'!$I:$I,'BALANCE 2026'!$A:$A,A83))</f>
        <v>0</v>
      </c>
      <c r="F83" s="21" t="n">
        <f aca="false">MAX(0,(H83-I83)-(D83-E83))</f>
        <v>122699</v>
      </c>
      <c r="G83" s="21" t="n">
        <f aca="false">MAX(0,(D83-E83)-(H83-I83))</f>
        <v>0</v>
      </c>
      <c r="H83" s="15" t="n">
        <f aca="false">ROUND(IF(LEFT(A83,1)&gt;="6",IF(C83="RE",IF(HYPOTHESES!$C$51=0,0,HYPOTHESES!F$51*SUMIFS('BALANCE 2024'!$H:$H,'BALANCE 2024'!$A:$A,A83)/HYPOTHESES!$C$51),IF(C83="RG",IF(HYPOTHESES!$C$52=0,0,HYPOTHESES!F$52*SUMIFS('BALANCE 2024'!$H:$H,'BALANCE 2024'!$A:$A,A83)/HYPOTHESES!$C$52),IF(C83="RH",IF(HYPOTHESES!$C$53=0,0,HYPOTHESES!F$53*SUMIFS('BALANCE 2024'!$H:$H,'BALANCE 2024'!$A:$A,A83)/HYPOTHESES!$C$53),IF(C83="RI",IF(HYPOTHESES!$C$54=0,0,HYPOTHESES!F$54*SUMIFS('BALANCE 2024'!$H:$H,'BALANCE 2024'!$A:$A,A83)/HYPOTHESES!$C$54),IF(C83="RJ",IF(HYPOTHESES!$C$55=0,0,HYPOTHESES!F$55*SUMIFS('BALANCE 2024'!$H:$H,'BALANCE 2024'!$A:$A,A83)/HYPOTHESES!$C$55),IF(C83="RK",IF(HYPOTHESES!$C$56=0,0,HYPOTHESES!F$56*SUMIFS('BALANCE 2024'!$H:$H,'BALANCE 2024'!$A:$A,A83)/HYPOTHESES!$C$56),0)))))),MAX(0,D83-E83)),0)</f>
        <v>122699</v>
      </c>
      <c r="I83" s="21" t="n">
        <v>0</v>
      </c>
      <c r="J83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3" s="43" t="n">
        <f aca="false">T_BAL_2027[[#This Row],[Clôture Débit]]-T_BAL_2027[[#This Row],[Clôture Crédit]]</f>
        <v>122699</v>
      </c>
    </row>
    <row r="84" customFormat="false" ht="15" hidden="false" customHeight="false" outlineLevel="0" collapsed="false">
      <c r="A84" s="42" t="n">
        <v>641500</v>
      </c>
      <c r="B84" s="12" t="s">
        <v>380</v>
      </c>
      <c r="C84" s="13" t="s">
        <v>375</v>
      </c>
      <c r="D84" s="15" t="n">
        <f aca="false">IF(LEFT(A84,1)&gt;="6",0,SUMIFS('BALANCE 2026'!$H:$H,'BALANCE 2026'!$A:$A,A84))</f>
        <v>0</v>
      </c>
      <c r="E84" s="15" t="n">
        <f aca="false">IF(LEFT(A84,1)&gt;="6",0,SUMIFS('BALANCE 2026'!$I:$I,'BALANCE 2026'!$A:$A,A84))</f>
        <v>0</v>
      </c>
      <c r="F84" s="21" t="n">
        <f aca="false">MAX(0,(H84-I84)-(D84-E84))</f>
        <v>368112</v>
      </c>
      <c r="G84" s="21" t="n">
        <f aca="false">MAX(0,(D84-E84)-(H84-I84))</f>
        <v>0</v>
      </c>
      <c r="H84" s="15" t="n">
        <f aca="false">ROUND(IF(LEFT(A84,1)&gt;="6",IF(C84="RE",IF(HYPOTHESES!$C$51=0,0,HYPOTHESES!F$51*SUMIFS('BALANCE 2024'!$H:$H,'BALANCE 2024'!$A:$A,A84)/HYPOTHESES!$C$51),IF(C84="RG",IF(HYPOTHESES!$C$52=0,0,HYPOTHESES!F$52*SUMIFS('BALANCE 2024'!$H:$H,'BALANCE 2024'!$A:$A,A84)/HYPOTHESES!$C$52),IF(C84="RH",IF(HYPOTHESES!$C$53=0,0,HYPOTHESES!F$53*SUMIFS('BALANCE 2024'!$H:$H,'BALANCE 2024'!$A:$A,A84)/HYPOTHESES!$C$53),IF(C84="RI",IF(HYPOTHESES!$C$54=0,0,HYPOTHESES!F$54*SUMIFS('BALANCE 2024'!$H:$H,'BALANCE 2024'!$A:$A,A84)/HYPOTHESES!$C$54),IF(C84="RJ",IF(HYPOTHESES!$C$55=0,0,HYPOTHESES!F$55*SUMIFS('BALANCE 2024'!$H:$H,'BALANCE 2024'!$A:$A,A84)/HYPOTHESES!$C$55),IF(C84="RK",IF(HYPOTHESES!$C$56=0,0,HYPOTHESES!F$56*SUMIFS('BALANCE 2024'!$H:$H,'BALANCE 2024'!$A:$A,A84)/HYPOTHESES!$C$56),0)))))),MAX(0,D84-E84)),0)</f>
        <v>368112</v>
      </c>
      <c r="I84" s="21" t="n">
        <v>0</v>
      </c>
      <c r="J84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4" s="43" t="n">
        <f aca="false">T_BAL_2027[[#This Row],[Clôture Débit]]-T_BAL_2027[[#This Row],[Clôture Crédit]]</f>
        <v>368112</v>
      </c>
    </row>
    <row r="85" customFormat="false" ht="15" hidden="false" customHeight="false" outlineLevel="0" collapsed="false">
      <c r="A85" s="42" t="n">
        <v>641830</v>
      </c>
      <c r="B85" s="12" t="s">
        <v>381</v>
      </c>
      <c r="C85" s="13" t="s">
        <v>375</v>
      </c>
      <c r="D85" s="15" t="n">
        <f aca="false">IF(LEFT(A85,1)&gt;="6",0,SUMIFS('BALANCE 2026'!$H:$H,'BALANCE 2026'!$A:$A,A85))</f>
        <v>0</v>
      </c>
      <c r="E85" s="15" t="n">
        <f aca="false">IF(LEFT(A85,1)&gt;="6",0,SUMIFS('BALANCE 2026'!$I:$I,'BALANCE 2026'!$A:$A,A85))</f>
        <v>0</v>
      </c>
      <c r="F85" s="21" t="n">
        <f aca="false">MAX(0,(H85-I85)-(D85-E85))</f>
        <v>249587</v>
      </c>
      <c r="G85" s="21" t="n">
        <f aca="false">MAX(0,(D85-E85)-(H85-I85))</f>
        <v>0</v>
      </c>
      <c r="H85" s="15" t="n">
        <f aca="false">ROUND(IF(LEFT(A85,1)&gt;="6",IF(C85="RE",IF(HYPOTHESES!$C$51=0,0,HYPOTHESES!F$51*SUMIFS('BALANCE 2024'!$H:$H,'BALANCE 2024'!$A:$A,A85)/HYPOTHESES!$C$51),IF(C85="RG",IF(HYPOTHESES!$C$52=0,0,HYPOTHESES!F$52*SUMIFS('BALANCE 2024'!$H:$H,'BALANCE 2024'!$A:$A,A85)/HYPOTHESES!$C$52),IF(C85="RH",IF(HYPOTHESES!$C$53=0,0,HYPOTHESES!F$53*SUMIFS('BALANCE 2024'!$H:$H,'BALANCE 2024'!$A:$A,A85)/HYPOTHESES!$C$53),IF(C85="RI",IF(HYPOTHESES!$C$54=0,0,HYPOTHESES!F$54*SUMIFS('BALANCE 2024'!$H:$H,'BALANCE 2024'!$A:$A,A85)/HYPOTHESES!$C$54),IF(C85="RJ",IF(HYPOTHESES!$C$55=0,0,HYPOTHESES!F$55*SUMIFS('BALANCE 2024'!$H:$H,'BALANCE 2024'!$A:$A,A85)/HYPOTHESES!$C$55),IF(C85="RK",IF(HYPOTHESES!$C$56=0,0,HYPOTHESES!F$56*SUMIFS('BALANCE 2024'!$H:$H,'BALANCE 2024'!$A:$A,A85)/HYPOTHESES!$C$56),0)))))),MAX(0,D85-E85)),0)</f>
        <v>249587</v>
      </c>
      <c r="I85" s="21" t="n">
        <v>0</v>
      </c>
      <c r="J85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5" s="43" t="n">
        <f aca="false">T_BAL_2027[[#This Row],[Clôture Débit]]-T_BAL_2027[[#This Row],[Clôture Crédit]]</f>
        <v>249587</v>
      </c>
    </row>
    <row r="86" customFormat="false" ht="15" hidden="false" customHeight="false" outlineLevel="0" collapsed="false">
      <c r="A86" s="42" t="n">
        <v>646200</v>
      </c>
      <c r="B86" s="12" t="s">
        <v>382</v>
      </c>
      <c r="C86" s="13" t="s">
        <v>375</v>
      </c>
      <c r="D86" s="15" t="n">
        <f aca="false">IF(LEFT(A86,1)&gt;="6",0,SUMIFS('BALANCE 2026'!$H:$H,'BALANCE 2026'!$A:$A,A86))</f>
        <v>0</v>
      </c>
      <c r="E86" s="15" t="n">
        <f aca="false">IF(LEFT(A86,1)&gt;="6",0,SUMIFS('BALANCE 2026'!$I:$I,'BALANCE 2026'!$A:$A,A86))</f>
        <v>0</v>
      </c>
      <c r="F86" s="21" t="n">
        <f aca="false">MAX(0,(H86-I86)-(D86-E86))</f>
        <v>2034621</v>
      </c>
      <c r="G86" s="21" t="n">
        <f aca="false">MAX(0,(D86-E86)-(H86-I86))</f>
        <v>0</v>
      </c>
      <c r="H86" s="15" t="n">
        <f aca="false">ROUND(IF(LEFT(A86,1)&gt;="6",IF(C86="RE",IF(HYPOTHESES!$C$51=0,0,HYPOTHESES!F$51*SUMIFS('BALANCE 2024'!$H:$H,'BALANCE 2024'!$A:$A,A86)/HYPOTHESES!$C$51),IF(C86="RG",IF(HYPOTHESES!$C$52=0,0,HYPOTHESES!F$52*SUMIFS('BALANCE 2024'!$H:$H,'BALANCE 2024'!$A:$A,A86)/HYPOTHESES!$C$52),IF(C86="RH",IF(HYPOTHESES!$C$53=0,0,HYPOTHESES!F$53*SUMIFS('BALANCE 2024'!$H:$H,'BALANCE 2024'!$A:$A,A86)/HYPOTHESES!$C$53),IF(C86="RI",IF(HYPOTHESES!$C$54=0,0,HYPOTHESES!F$54*SUMIFS('BALANCE 2024'!$H:$H,'BALANCE 2024'!$A:$A,A86)/HYPOTHESES!$C$54),IF(C86="RJ",IF(HYPOTHESES!$C$55=0,0,HYPOTHESES!F$55*SUMIFS('BALANCE 2024'!$H:$H,'BALANCE 2024'!$A:$A,A86)/HYPOTHESES!$C$55),IF(C86="RK",IF(HYPOTHESES!$C$56=0,0,HYPOTHESES!F$56*SUMIFS('BALANCE 2024'!$H:$H,'BALANCE 2024'!$A:$A,A86)/HYPOTHESES!$C$56),0)))))),MAX(0,D86-E86)),0)</f>
        <v>2034621</v>
      </c>
      <c r="I86" s="21" t="n">
        <v>0</v>
      </c>
      <c r="J86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6" s="43" t="n">
        <f aca="false">T_BAL_2027[[#This Row],[Clôture Débit]]-T_BAL_2027[[#This Row],[Clôture Crédit]]</f>
        <v>2034621</v>
      </c>
    </row>
    <row r="87" customFormat="false" ht="15" hidden="false" customHeight="false" outlineLevel="0" collapsed="false">
      <c r="A87" s="42" t="n">
        <v>648000</v>
      </c>
      <c r="B87" s="12" t="s">
        <v>383</v>
      </c>
      <c r="C87" s="13" t="s">
        <v>375</v>
      </c>
      <c r="D87" s="15" t="n">
        <f aca="false">IF(LEFT(A87,1)&gt;="6",0,SUMIFS('BALANCE 2026'!$H:$H,'BALANCE 2026'!$A:$A,A87))</f>
        <v>0</v>
      </c>
      <c r="E87" s="15" t="n">
        <f aca="false">IF(LEFT(A87,1)&gt;="6",0,SUMIFS('BALANCE 2026'!$I:$I,'BALANCE 2026'!$A:$A,A87))</f>
        <v>0</v>
      </c>
      <c r="F87" s="21" t="n">
        <f aca="false">MAX(0,(H87-I87)-(D87-E87))</f>
        <v>855586</v>
      </c>
      <c r="G87" s="21" t="n">
        <f aca="false">MAX(0,(D87-E87)-(H87-I87))</f>
        <v>0</v>
      </c>
      <c r="H87" s="15" t="n">
        <f aca="false">ROUND(IF(LEFT(A87,1)&gt;="6",IF(C87="RE",IF(HYPOTHESES!$C$51=0,0,HYPOTHESES!F$51*SUMIFS('BALANCE 2024'!$H:$H,'BALANCE 2024'!$A:$A,A87)/HYPOTHESES!$C$51),IF(C87="RG",IF(HYPOTHESES!$C$52=0,0,HYPOTHESES!F$52*SUMIFS('BALANCE 2024'!$H:$H,'BALANCE 2024'!$A:$A,A87)/HYPOTHESES!$C$52),IF(C87="RH",IF(HYPOTHESES!$C$53=0,0,HYPOTHESES!F$53*SUMIFS('BALANCE 2024'!$H:$H,'BALANCE 2024'!$A:$A,A87)/HYPOTHESES!$C$53),IF(C87="RI",IF(HYPOTHESES!$C$54=0,0,HYPOTHESES!F$54*SUMIFS('BALANCE 2024'!$H:$H,'BALANCE 2024'!$A:$A,A87)/HYPOTHESES!$C$54),IF(C87="RJ",IF(HYPOTHESES!$C$55=0,0,HYPOTHESES!F$55*SUMIFS('BALANCE 2024'!$H:$H,'BALANCE 2024'!$A:$A,A87)/HYPOTHESES!$C$55),IF(C87="RK",IF(HYPOTHESES!$C$56=0,0,HYPOTHESES!F$56*SUMIFS('BALANCE 2024'!$H:$H,'BALANCE 2024'!$A:$A,A87)/HYPOTHESES!$C$56),0)))))),MAX(0,D87-E87)),0)</f>
        <v>855586</v>
      </c>
      <c r="I87" s="21" t="n">
        <v>0</v>
      </c>
      <c r="J87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7" s="43" t="n">
        <f aca="false">T_BAL_2027[[#This Row],[Clôture Débit]]-T_BAL_2027[[#This Row],[Clôture Crédit]]</f>
        <v>855586</v>
      </c>
    </row>
    <row r="88" customFormat="false" ht="15" hidden="false" customHeight="false" outlineLevel="0" collapsed="false">
      <c r="A88" s="42" t="n">
        <v>658800</v>
      </c>
      <c r="B88" s="12" t="s">
        <v>384</v>
      </c>
      <c r="C88" s="13" t="s">
        <v>385</v>
      </c>
      <c r="D88" s="15" t="n">
        <f aca="false">IF(LEFT(A88,1)&gt;="6",0,SUMIFS('BALANCE 2026'!$H:$H,'BALANCE 2026'!$A:$A,A88))</f>
        <v>0</v>
      </c>
      <c r="E88" s="15" t="n">
        <f aca="false">IF(LEFT(A88,1)&gt;="6",0,SUMIFS('BALANCE 2026'!$I:$I,'BALANCE 2026'!$A:$A,A88))</f>
        <v>0</v>
      </c>
      <c r="F88" s="21" t="n">
        <f aca="false">MAX(0,(H88-I88)-(D88-E88))</f>
        <v>1571269</v>
      </c>
      <c r="G88" s="21" t="n">
        <f aca="false">MAX(0,(D88-E88)-(H88-I88))</f>
        <v>0</v>
      </c>
      <c r="H88" s="15" t="n">
        <f aca="false">ROUND(IF(HYPOTHESES!$C$55=0,0,HYPOTHESES!F$55-SUMPRODUCT((T_BAL_2027[Poste]="RJ")*(T_BAL_2027[Compte]&lt;&gt;658800)*ROUND(HYPOTHESES!F$55*SUMIFS('BALANCE 2024'!$H:$H,'BALANCE 2024'!$A:$A,T_BAL_2027[Compte])/HYPOTHESES!$C$55,0))),0)</f>
        <v>1571269</v>
      </c>
      <c r="I88" s="21" t="n">
        <v>0</v>
      </c>
      <c r="J88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8" s="43" t="n">
        <f aca="false">T_BAL_2027[[#This Row],[Clôture Débit]]-T_BAL_2027[[#This Row],[Clôture Crédit]]</f>
        <v>1571269</v>
      </c>
    </row>
    <row r="89" customFormat="false" ht="15" hidden="false" customHeight="false" outlineLevel="0" collapsed="false">
      <c r="A89" s="42" t="n">
        <v>661100</v>
      </c>
      <c r="B89" s="12" t="s">
        <v>386</v>
      </c>
      <c r="C89" s="13" t="s">
        <v>387</v>
      </c>
      <c r="D89" s="15" t="n">
        <f aca="false">IF(LEFT(A89,1)&gt;="6",0,SUMIFS('BALANCE 2026'!$H:$H,'BALANCE 2026'!$A:$A,A89))</f>
        <v>0</v>
      </c>
      <c r="E89" s="15" t="n">
        <f aca="false">IF(LEFT(A89,1)&gt;="6",0,SUMIFS('BALANCE 2026'!$I:$I,'BALANCE 2026'!$A:$A,A89))</f>
        <v>0</v>
      </c>
      <c r="F89" s="21" t="n">
        <f aca="false">MAX(0,(H89-I89)-(D89-E89))</f>
        <v>69600943</v>
      </c>
      <c r="G89" s="21" t="n">
        <f aca="false">MAX(0,(D89-E89)-(H89-I89))</f>
        <v>0</v>
      </c>
      <c r="H89" s="15" t="n">
        <f aca="false">ROUND(IF(HYPOTHESES!$C$56=0,0,HYPOTHESES!F$56-SUMPRODUCT((T_BAL_2027[Poste]="RK")*(T_BAL_2027[Compte]&lt;&gt;661100)*(LEFT(T_BAL_2027[Compte],3)&lt;&gt;"664")*ROUND(HYPOTHESES!F$56*SUMIFS('BALANCE 2024'!$H:$H,'BALANCE 2024'!$A:$A,T_BAL_2027[Compte])/HYPOTHESES!$C$56,0))),0)</f>
        <v>69600943</v>
      </c>
      <c r="I89" s="21" t="n">
        <v>0</v>
      </c>
      <c r="J89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9" s="43" t="n">
        <f aca="false">T_BAL_2027[[#This Row],[Clôture Débit]]-T_BAL_2027[[#This Row],[Clôture Crédit]]</f>
        <v>69600943</v>
      </c>
    </row>
    <row r="90" customFormat="false" ht="15" hidden="false" customHeight="false" outlineLevel="0" collapsed="false">
      <c r="A90" s="42" t="n">
        <v>661200</v>
      </c>
      <c r="B90" s="12" t="s">
        <v>388</v>
      </c>
      <c r="C90" s="13" t="s">
        <v>387</v>
      </c>
      <c r="D90" s="15" t="n">
        <f aca="false">IF(LEFT(A90,1)&gt;="6",0,SUMIFS('BALANCE 2026'!$H:$H,'BALANCE 2026'!$A:$A,A90))</f>
        <v>0</v>
      </c>
      <c r="E90" s="15" t="n">
        <f aca="false">IF(LEFT(A90,1)&gt;="6",0,SUMIFS('BALANCE 2026'!$I:$I,'BALANCE 2026'!$A:$A,A90))</f>
        <v>0</v>
      </c>
      <c r="F90" s="21" t="n">
        <f aca="false">MAX(0,(H90-I90)-(D90-E90))</f>
        <v>23528632</v>
      </c>
      <c r="G90" s="21" t="n">
        <f aca="false">MAX(0,(D90-E90)-(H90-I90))</f>
        <v>0</v>
      </c>
      <c r="H90" s="15" t="n">
        <f aca="false">ROUND(IF(LEFT(A90,1)&gt;="6",IF(C90="RE",IF(HYPOTHESES!$C$51=0,0,HYPOTHESES!F$51*SUMIFS('BALANCE 2024'!$H:$H,'BALANCE 2024'!$A:$A,A90)/HYPOTHESES!$C$51),IF(C90="RG",IF(HYPOTHESES!$C$52=0,0,HYPOTHESES!F$52*SUMIFS('BALANCE 2024'!$H:$H,'BALANCE 2024'!$A:$A,A90)/HYPOTHESES!$C$52),IF(C90="RH",IF(HYPOTHESES!$C$53=0,0,HYPOTHESES!F$53*SUMIFS('BALANCE 2024'!$H:$H,'BALANCE 2024'!$A:$A,A90)/HYPOTHESES!$C$53),IF(C90="RI",IF(HYPOTHESES!$C$54=0,0,HYPOTHESES!F$54*SUMIFS('BALANCE 2024'!$H:$H,'BALANCE 2024'!$A:$A,A90)/HYPOTHESES!$C$54),IF(C90="RJ",IF(HYPOTHESES!$C$55=0,0,HYPOTHESES!F$55*SUMIFS('BALANCE 2024'!$H:$H,'BALANCE 2024'!$A:$A,A90)/HYPOTHESES!$C$55),IF(C90="RK",IF(HYPOTHESES!$C$56=0,0,HYPOTHESES!F$56*SUMIFS('BALANCE 2024'!$H:$H,'BALANCE 2024'!$A:$A,A90)/HYPOTHESES!$C$56),0)))))),MAX(0,D90-E90)),0)</f>
        <v>23528632</v>
      </c>
      <c r="I90" s="21" t="n">
        <v>0</v>
      </c>
      <c r="J90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0" s="43" t="n">
        <f aca="false">T_BAL_2027[[#This Row],[Clôture Débit]]-T_BAL_2027[[#This Row],[Clôture Crédit]]</f>
        <v>23528632</v>
      </c>
    </row>
    <row r="91" customFormat="false" ht="15" hidden="false" customHeight="false" outlineLevel="0" collapsed="false">
      <c r="A91" s="42" t="n">
        <v>661300</v>
      </c>
      <c r="B91" s="12" t="s">
        <v>389</v>
      </c>
      <c r="C91" s="13" t="s">
        <v>387</v>
      </c>
      <c r="D91" s="15" t="n">
        <f aca="false">IF(LEFT(A91,1)&gt;="6",0,SUMIFS('BALANCE 2026'!$H:$H,'BALANCE 2026'!$A:$A,A91))</f>
        <v>0</v>
      </c>
      <c r="E91" s="15" t="n">
        <f aca="false">IF(LEFT(A91,1)&gt;="6",0,SUMIFS('BALANCE 2026'!$I:$I,'BALANCE 2026'!$A:$A,A91))</f>
        <v>0</v>
      </c>
      <c r="F91" s="21" t="n">
        <f aca="false">MAX(0,(H91-I91)-(D91-E91))</f>
        <v>7763314</v>
      </c>
      <c r="G91" s="21" t="n">
        <f aca="false">MAX(0,(D91-E91)-(H91-I91))</f>
        <v>0</v>
      </c>
      <c r="H91" s="15" t="n">
        <f aca="false">ROUND(IF(LEFT(A91,1)&gt;="6",IF(C91="RE",IF(HYPOTHESES!$C$51=0,0,HYPOTHESES!F$51*SUMIFS('BALANCE 2024'!$H:$H,'BALANCE 2024'!$A:$A,A91)/HYPOTHESES!$C$51),IF(C91="RG",IF(HYPOTHESES!$C$52=0,0,HYPOTHESES!F$52*SUMIFS('BALANCE 2024'!$H:$H,'BALANCE 2024'!$A:$A,A91)/HYPOTHESES!$C$52),IF(C91="RH",IF(HYPOTHESES!$C$53=0,0,HYPOTHESES!F$53*SUMIFS('BALANCE 2024'!$H:$H,'BALANCE 2024'!$A:$A,A91)/HYPOTHESES!$C$53),IF(C91="RI",IF(HYPOTHESES!$C$54=0,0,HYPOTHESES!F$54*SUMIFS('BALANCE 2024'!$H:$H,'BALANCE 2024'!$A:$A,A91)/HYPOTHESES!$C$54),IF(C91="RJ",IF(HYPOTHESES!$C$55=0,0,HYPOTHESES!F$55*SUMIFS('BALANCE 2024'!$H:$H,'BALANCE 2024'!$A:$A,A91)/HYPOTHESES!$C$55),IF(C91="RK",IF(HYPOTHESES!$C$56=0,0,HYPOTHESES!F$56*SUMIFS('BALANCE 2024'!$H:$H,'BALANCE 2024'!$A:$A,A91)/HYPOTHESES!$C$56),0)))))),MAX(0,D91-E91)),0)</f>
        <v>7763314</v>
      </c>
      <c r="I91" s="21" t="n">
        <v>0</v>
      </c>
      <c r="J91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1" s="43" t="n">
        <f aca="false">T_BAL_2027[[#This Row],[Clôture Débit]]-T_BAL_2027[[#This Row],[Clôture Crédit]]</f>
        <v>7763314</v>
      </c>
    </row>
    <row r="92" customFormat="false" ht="15" hidden="false" customHeight="false" outlineLevel="0" collapsed="false">
      <c r="A92" s="42" t="n">
        <v>661400</v>
      </c>
      <c r="B92" s="12" t="s">
        <v>390</v>
      </c>
      <c r="C92" s="13" t="s">
        <v>387</v>
      </c>
      <c r="D92" s="15" t="n">
        <f aca="false">IF(LEFT(A92,1)&gt;="6",0,SUMIFS('BALANCE 2026'!$H:$H,'BALANCE 2026'!$A:$A,A92))</f>
        <v>0</v>
      </c>
      <c r="E92" s="15" t="n">
        <f aca="false">IF(LEFT(A92,1)&gt;="6",0,SUMIFS('BALANCE 2026'!$I:$I,'BALANCE 2026'!$A:$A,A92))</f>
        <v>0</v>
      </c>
      <c r="F92" s="21" t="n">
        <f aca="false">MAX(0,(H92-I92)-(D92-E92))</f>
        <v>7839944</v>
      </c>
      <c r="G92" s="21" t="n">
        <f aca="false">MAX(0,(D92-E92)-(H92-I92))</f>
        <v>0</v>
      </c>
      <c r="H92" s="15" t="n">
        <f aca="false">ROUND(IF(LEFT(A92,1)&gt;="6",IF(C92="RE",IF(HYPOTHESES!$C$51=0,0,HYPOTHESES!F$51*SUMIFS('BALANCE 2024'!$H:$H,'BALANCE 2024'!$A:$A,A92)/HYPOTHESES!$C$51),IF(C92="RG",IF(HYPOTHESES!$C$52=0,0,HYPOTHESES!F$52*SUMIFS('BALANCE 2024'!$H:$H,'BALANCE 2024'!$A:$A,A92)/HYPOTHESES!$C$52),IF(C92="RH",IF(HYPOTHESES!$C$53=0,0,HYPOTHESES!F$53*SUMIFS('BALANCE 2024'!$H:$H,'BALANCE 2024'!$A:$A,A92)/HYPOTHESES!$C$53),IF(C92="RI",IF(HYPOTHESES!$C$54=0,0,HYPOTHESES!F$54*SUMIFS('BALANCE 2024'!$H:$H,'BALANCE 2024'!$A:$A,A92)/HYPOTHESES!$C$54),IF(C92="RJ",IF(HYPOTHESES!$C$55=0,0,HYPOTHESES!F$55*SUMIFS('BALANCE 2024'!$H:$H,'BALANCE 2024'!$A:$A,A92)/HYPOTHESES!$C$55),IF(C92="RK",IF(HYPOTHESES!$C$56=0,0,HYPOTHESES!F$56*SUMIFS('BALANCE 2024'!$H:$H,'BALANCE 2024'!$A:$A,A92)/HYPOTHESES!$C$56),0)))))),MAX(0,D92-E92)),0)</f>
        <v>7839944</v>
      </c>
      <c r="I92" s="21" t="n">
        <v>0</v>
      </c>
      <c r="J92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2" s="43" t="n">
        <f aca="false">T_BAL_2027[[#This Row],[Clôture Débit]]-T_BAL_2027[[#This Row],[Clôture Crédit]]</f>
        <v>7839944</v>
      </c>
    </row>
    <row r="93" customFormat="false" ht="15" hidden="false" customHeight="false" outlineLevel="0" collapsed="false">
      <c r="A93" s="42" t="n">
        <v>663400</v>
      </c>
      <c r="B93" s="12" t="s">
        <v>391</v>
      </c>
      <c r="C93" s="13" t="s">
        <v>387</v>
      </c>
      <c r="D93" s="15" t="n">
        <f aca="false">IF(LEFT(A93,1)&gt;="6",0,SUMIFS('BALANCE 2026'!$H:$H,'BALANCE 2026'!$A:$A,A93))</f>
        <v>0</v>
      </c>
      <c r="E93" s="15" t="n">
        <f aca="false">IF(LEFT(A93,1)&gt;="6",0,SUMIFS('BALANCE 2026'!$I:$I,'BALANCE 2026'!$A:$A,A93))</f>
        <v>0</v>
      </c>
      <c r="F93" s="21" t="n">
        <f aca="false">MAX(0,(H93-I93)-(D93-E93))</f>
        <v>8119959</v>
      </c>
      <c r="G93" s="21" t="n">
        <f aca="false">MAX(0,(D93-E93)-(H93-I93))</f>
        <v>0</v>
      </c>
      <c r="H93" s="15" t="n">
        <f aca="false">ROUND(IF(LEFT(A93,1)&gt;="6",IF(C93="RE",IF(HYPOTHESES!$C$51=0,0,HYPOTHESES!F$51*SUMIFS('BALANCE 2024'!$H:$H,'BALANCE 2024'!$A:$A,A93)/HYPOTHESES!$C$51),IF(C93="RG",IF(HYPOTHESES!$C$52=0,0,HYPOTHESES!F$52*SUMIFS('BALANCE 2024'!$H:$H,'BALANCE 2024'!$A:$A,A93)/HYPOTHESES!$C$52),IF(C93="RH",IF(HYPOTHESES!$C$53=0,0,HYPOTHESES!F$53*SUMIFS('BALANCE 2024'!$H:$H,'BALANCE 2024'!$A:$A,A93)/HYPOTHESES!$C$53),IF(C93="RI",IF(HYPOTHESES!$C$54=0,0,HYPOTHESES!F$54*SUMIFS('BALANCE 2024'!$H:$H,'BALANCE 2024'!$A:$A,A93)/HYPOTHESES!$C$54),IF(C93="RJ",IF(HYPOTHESES!$C$55=0,0,HYPOTHESES!F$55*SUMIFS('BALANCE 2024'!$H:$H,'BALANCE 2024'!$A:$A,A93)/HYPOTHESES!$C$55),IF(C93="RK",IF(HYPOTHESES!$C$56=0,0,HYPOTHESES!F$56*SUMIFS('BALANCE 2024'!$H:$H,'BALANCE 2024'!$A:$A,A93)/HYPOTHESES!$C$56),0)))))),MAX(0,D93-E93)),0)</f>
        <v>8119959</v>
      </c>
      <c r="I93" s="21" t="n">
        <v>0</v>
      </c>
      <c r="J93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3" s="43" t="n">
        <f aca="false">T_BAL_2027[[#This Row],[Clôture Débit]]-T_BAL_2027[[#This Row],[Clôture Crédit]]</f>
        <v>8119959</v>
      </c>
    </row>
    <row r="94" customFormat="false" ht="15" hidden="false" customHeight="false" outlineLevel="0" collapsed="false">
      <c r="A94" s="42" t="n">
        <v>664101</v>
      </c>
      <c r="B94" s="12" t="s">
        <v>392</v>
      </c>
      <c r="C94" s="13" t="s">
        <v>387</v>
      </c>
      <c r="D94" s="15" t="n">
        <f aca="false">IF(LEFT(A94,1)&gt;="6",0,SUMIFS('BALANCE 2026'!$H:$H,'BALANCE 2026'!$A:$A,A94))</f>
        <v>0</v>
      </c>
      <c r="E94" s="15" t="n">
        <f aca="false">IF(LEFT(A94,1)&gt;="6",0,SUMIFS('BALANCE 2026'!$I:$I,'BALANCE 2026'!$A:$A,A94))</f>
        <v>0</v>
      </c>
      <c r="F94" s="21" t="n">
        <f aca="false">MAX(0,(H94-I94)-(D94-E94))</f>
        <v>510000</v>
      </c>
      <c r="G94" s="21" t="n">
        <f aca="false">MAX(0,(D94-E94)-(H94-I94))</f>
        <v>0</v>
      </c>
      <c r="H94" s="15" t="n">
        <f aca="false">ROUND(HYPOTHESES!F$62,0)</f>
        <v>510000</v>
      </c>
      <c r="I94" s="21" t="n">
        <v>0</v>
      </c>
      <c r="J94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4" s="43" t="n">
        <f aca="false">T_BAL_2027[[#This Row],[Clôture Débit]]-T_BAL_2027[[#This Row],[Clôture Crédit]]</f>
        <v>510000</v>
      </c>
    </row>
    <row r="95" customFormat="false" ht="15" hidden="false" customHeight="false" outlineLevel="0" collapsed="false">
      <c r="A95" s="42" t="n">
        <v>664102</v>
      </c>
      <c r="B95" s="12" t="s">
        <v>393</v>
      </c>
      <c r="C95" s="13" t="s">
        <v>387</v>
      </c>
      <c r="D95" s="15" t="n">
        <f aca="false">IF(LEFT(A95,1)&gt;="6",0,SUMIFS('BALANCE 2026'!$H:$H,'BALANCE 2026'!$A:$A,A95))</f>
        <v>0</v>
      </c>
      <c r="E95" s="15" t="n">
        <f aca="false">IF(LEFT(A95,1)&gt;="6",0,SUMIFS('BALANCE 2026'!$I:$I,'BALANCE 2026'!$A:$A,A95))</f>
        <v>0</v>
      </c>
      <c r="F95" s="21" t="n">
        <f aca="false">MAX(0,(H95-I95)-(D95-E95))</f>
        <v>4398750</v>
      </c>
      <c r="G95" s="21" t="n">
        <f aca="false">MAX(0,(D95-E95)-(H95-I95))</f>
        <v>0</v>
      </c>
      <c r="H95" s="15" t="n">
        <f aca="false">ROUND(HYPOTHESES!F$60,0)</f>
        <v>4398750</v>
      </c>
      <c r="I95" s="21" t="n">
        <v>0</v>
      </c>
      <c r="J95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5" s="43" t="n">
        <f aca="false">T_BAL_2027[[#This Row],[Clôture Débit]]-T_BAL_2027[[#This Row],[Clôture Crédit]]</f>
        <v>4398750</v>
      </c>
    </row>
    <row r="96" customFormat="false" ht="15" hidden="false" customHeight="false" outlineLevel="0" collapsed="false">
      <c r="A96" s="42" t="n">
        <v>664103</v>
      </c>
      <c r="B96" s="12" t="s">
        <v>394</v>
      </c>
      <c r="C96" s="13" t="s">
        <v>387</v>
      </c>
      <c r="D96" s="15" t="n">
        <f aca="false">IF(LEFT(A96,1)&gt;="6",0,SUMIFS('BALANCE 2026'!$H:$H,'BALANCE 2026'!$A:$A,A96))</f>
        <v>0</v>
      </c>
      <c r="E96" s="15" t="n">
        <f aca="false">IF(LEFT(A96,1)&gt;="6",0,SUMIFS('BALANCE 2026'!$I:$I,'BALANCE 2026'!$A:$A,A96))</f>
        <v>0</v>
      </c>
      <c r="F96" s="21" t="n">
        <f aca="false">MAX(0,(H96-I96)-(D96-E96))</f>
        <v>3825000</v>
      </c>
      <c r="G96" s="21" t="n">
        <f aca="false">MAX(0,(D96-E96)-(H96-I96))</f>
        <v>0</v>
      </c>
      <c r="H96" s="15" t="n">
        <f aca="false">ROUND(HYPOTHESES!F$61,0)</f>
        <v>3825000</v>
      </c>
      <c r="I96" s="21" t="n">
        <v>0</v>
      </c>
      <c r="J96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6" s="43" t="n">
        <f aca="false">T_BAL_2027[[#This Row],[Clôture Débit]]-T_BAL_2027[[#This Row],[Clôture Crédit]]</f>
        <v>3825000</v>
      </c>
    </row>
    <row r="97" customFormat="false" ht="15" hidden="false" customHeight="false" outlineLevel="0" collapsed="false">
      <c r="A97" s="42" t="n">
        <v>664104</v>
      </c>
      <c r="B97" s="12" t="s">
        <v>395</v>
      </c>
      <c r="C97" s="13" t="s">
        <v>387</v>
      </c>
      <c r="D97" s="15" t="n">
        <f aca="false">IF(LEFT(A97,1)&gt;="6",0,SUMIFS('BALANCE 2026'!$H:$H,'BALANCE 2026'!$A:$A,A97))</f>
        <v>0</v>
      </c>
      <c r="E97" s="15" t="n">
        <f aca="false">IF(LEFT(A97,1)&gt;="6",0,SUMIFS('BALANCE 2026'!$I:$I,'BALANCE 2026'!$A:$A,A97))</f>
        <v>0</v>
      </c>
      <c r="F97" s="21" t="n">
        <f aca="false">MAX(0,(H97-I97)-(D97-E97))</f>
        <v>8372428</v>
      </c>
      <c r="G97" s="21" t="n">
        <f aca="false">MAX(0,(D97-E97)-(H97-I97))</f>
        <v>0</v>
      </c>
      <c r="H97" s="15" t="n">
        <f aca="false">ROUND(HYPOTHESES!F$59,0)</f>
        <v>8372428</v>
      </c>
      <c r="I97" s="21" t="n">
        <v>0</v>
      </c>
      <c r="J97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7" s="43" t="n">
        <f aca="false">T_BAL_2027[[#This Row],[Clôture Débit]]-T_BAL_2027[[#This Row],[Clôture Crédit]]</f>
        <v>8372428</v>
      </c>
    </row>
    <row r="98" customFormat="false" ht="15" hidden="false" customHeight="false" outlineLevel="0" collapsed="false">
      <c r="A98" s="42" t="n">
        <v>671201</v>
      </c>
      <c r="B98" s="12" t="s">
        <v>396</v>
      </c>
      <c r="C98" s="13" t="s">
        <v>397</v>
      </c>
      <c r="D98" s="15" t="n">
        <f aca="false">IF(LEFT(A98,1)&gt;="6",0,SUMIFS('BALANCE 2026'!$H:$H,'BALANCE 2026'!$A:$A,A98))</f>
        <v>0</v>
      </c>
      <c r="E98" s="15" t="n">
        <f aca="false">IF(LEFT(A98,1)&gt;="6",0,SUMIFS('BALANCE 2026'!$I:$I,'BALANCE 2026'!$A:$A,A98))</f>
        <v>0</v>
      </c>
      <c r="F98" s="21" t="n">
        <f aca="false">MAX(0,(H98-I98)-(D98-E98))</f>
        <v>0</v>
      </c>
      <c r="G98" s="21" t="n">
        <f aca="false">MAX(0,(D98-E98)-(H98-I98))</f>
        <v>0</v>
      </c>
      <c r="H98" s="15" t="n">
        <f aca="false">ROUND('INVEST ET FINANCEMENT'!F$65,0)</f>
        <v>0</v>
      </c>
      <c r="I98" s="21" t="n">
        <v>0</v>
      </c>
      <c r="J98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8" s="43" t="n">
        <f aca="false">T_BAL_2027[[#This Row],[Clôture Débit]]-T_BAL_2027[[#This Row],[Clôture Crédit]]</f>
        <v>0</v>
      </c>
    </row>
    <row r="99" customFormat="false" ht="15" hidden="false" customHeight="false" outlineLevel="0" collapsed="false">
      <c r="A99" s="42" t="n">
        <v>672301</v>
      </c>
      <c r="B99" s="12" t="s">
        <v>398</v>
      </c>
      <c r="C99" s="13" t="s">
        <v>397</v>
      </c>
      <c r="D99" s="15" t="n">
        <f aca="false">IF(LEFT(A99,1)&gt;="6",0,SUMIFS('BALANCE 2026'!$H:$H,'BALANCE 2026'!$A:$A,A99))</f>
        <v>0</v>
      </c>
      <c r="E99" s="15" t="n">
        <f aca="false">IF(LEFT(A99,1)&gt;="6",0,SUMIFS('BALANCE 2026'!$I:$I,'BALANCE 2026'!$A:$A,A99))</f>
        <v>0</v>
      </c>
      <c r="F99" s="21" t="n">
        <f aca="false">MAX(0,(H99-I99)-(D99-E99))</f>
        <v>0</v>
      </c>
      <c r="G99" s="21" t="n">
        <f aca="false">MAX(0,(D99-E99)-(H99-I99))</f>
        <v>0</v>
      </c>
      <c r="H99" s="15" t="n">
        <f aca="false">ROUND('INVEST ET FINANCEMENT'!F$66,0)</f>
        <v>0</v>
      </c>
      <c r="I99" s="21" t="n">
        <v>0</v>
      </c>
      <c r="J99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9" s="43" t="n">
        <f aca="false">T_BAL_2027[[#This Row],[Clôture Débit]]-T_BAL_2027[[#This Row],[Clôture Crédit]]</f>
        <v>0</v>
      </c>
    </row>
    <row r="100" customFormat="false" ht="15" hidden="false" customHeight="false" outlineLevel="0" collapsed="false">
      <c r="A100" s="42" t="n">
        <v>681301</v>
      </c>
      <c r="B100" s="12" t="s">
        <v>399</v>
      </c>
      <c r="C100" s="13" t="s">
        <v>400</v>
      </c>
      <c r="D100" s="15" t="n">
        <f aca="false">IF(LEFT(A100,1)&gt;="6",0,SUMIFS('BALANCE 2026'!$H:$H,'BALANCE 2026'!$A:$A,A100))</f>
        <v>0</v>
      </c>
      <c r="E100" s="15" t="n">
        <f aca="false">IF(LEFT(A100,1)&gt;="6",0,SUMIFS('BALANCE 2026'!$I:$I,'BALANCE 2026'!$A:$A,A100))</f>
        <v>0</v>
      </c>
      <c r="F100" s="21" t="n">
        <f aca="false">MAX(0,(H100-I100)-(D100-E100))</f>
        <v>19282845</v>
      </c>
      <c r="G100" s="21" t="n">
        <f aca="false">MAX(0,(D100-E100)-(H100-I100))</f>
        <v>0</v>
      </c>
      <c r="H100" s="15" t="n">
        <f aca="false">ROUND('INVEST ET FINANCEMENT'!F$32,0)</f>
        <v>19282845</v>
      </c>
      <c r="I100" s="21" t="n">
        <v>0</v>
      </c>
      <c r="J100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0" s="43" t="n">
        <f aca="false">T_BAL_2027[[#This Row],[Clôture Débit]]-T_BAL_2027[[#This Row],[Clôture Crédit]]</f>
        <v>19282845</v>
      </c>
    </row>
    <row r="101" customFormat="false" ht="15" hidden="false" customHeight="false" outlineLevel="0" collapsed="false">
      <c r="A101" s="42" t="n">
        <v>681302</v>
      </c>
      <c r="B101" s="12" t="s">
        <v>401</v>
      </c>
      <c r="C101" s="13" t="s">
        <v>400</v>
      </c>
      <c r="D101" s="15" t="n">
        <f aca="false">IF(LEFT(A101,1)&gt;="6",0,SUMIFS('BALANCE 2026'!$H:$H,'BALANCE 2026'!$A:$A,A101))</f>
        <v>0</v>
      </c>
      <c r="E101" s="15" t="n">
        <f aca="false">IF(LEFT(A101,1)&gt;="6",0,SUMIFS('BALANCE 2026'!$I:$I,'BALANCE 2026'!$A:$A,A101))</f>
        <v>0</v>
      </c>
      <c r="F101" s="21" t="n">
        <f aca="false">MAX(0,(H101-I101)-(D101-E101))</f>
        <v>56854932</v>
      </c>
      <c r="G101" s="21" t="n">
        <f aca="false">MAX(0,(D101-E101)-(H101-I101))</f>
        <v>0</v>
      </c>
      <c r="H101" s="15" t="n">
        <f aca="false">ROUND('INVEST ET FINANCEMENT'!F$35,0)</f>
        <v>56854932</v>
      </c>
      <c r="I101" s="21" t="n">
        <v>0</v>
      </c>
      <c r="J101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1" s="43" t="n">
        <f aca="false">T_BAL_2027[[#This Row],[Clôture Débit]]-T_BAL_2027[[#This Row],[Clôture Crédit]]</f>
        <v>56854932</v>
      </c>
    </row>
    <row r="102" customFormat="false" ht="15" hidden="false" customHeight="false" outlineLevel="0" collapsed="false">
      <c r="A102" s="42" t="n">
        <v>681303</v>
      </c>
      <c r="B102" s="12" t="s">
        <v>402</v>
      </c>
      <c r="C102" s="13" t="s">
        <v>400</v>
      </c>
      <c r="D102" s="15" t="n">
        <f aca="false">IF(LEFT(A102,1)&gt;="6",0,SUMIFS('BALANCE 2026'!$H:$H,'BALANCE 2026'!$A:$A,A102))</f>
        <v>0</v>
      </c>
      <c r="E102" s="15" t="n">
        <f aca="false">IF(LEFT(A102,1)&gt;="6",0,SUMIFS('BALANCE 2026'!$I:$I,'BALANCE 2026'!$A:$A,A102))</f>
        <v>0</v>
      </c>
      <c r="F102" s="21" t="n">
        <f aca="false">MAX(0,(H102-I102)-(D102-E102))</f>
        <v>5000000</v>
      </c>
      <c r="G102" s="21" t="n">
        <f aca="false">MAX(0,(D102-E102)-(H102-I102))</f>
        <v>0</v>
      </c>
      <c r="H102" s="15" t="n">
        <f aca="false">ROUND('INVEST ET FINANCEMENT'!F$38,0)</f>
        <v>5000000</v>
      </c>
      <c r="I102" s="21" t="n">
        <v>0</v>
      </c>
      <c r="J102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2" s="43" t="n">
        <f aca="false">T_BAL_2027[[#This Row],[Clôture Débit]]-T_BAL_2027[[#This Row],[Clôture Crédit]]</f>
        <v>5000000</v>
      </c>
    </row>
    <row r="103" customFormat="false" ht="15" hidden="false" customHeight="false" outlineLevel="0" collapsed="false">
      <c r="A103" s="42" t="n">
        <v>681304</v>
      </c>
      <c r="B103" s="12" t="s">
        <v>403</v>
      </c>
      <c r="C103" s="13" t="s">
        <v>400</v>
      </c>
      <c r="D103" s="15" t="n">
        <f aca="false">IF(LEFT(A103,1)&gt;="6",0,SUMIFS('BALANCE 2026'!$H:$H,'BALANCE 2026'!$A:$A,A103))</f>
        <v>0</v>
      </c>
      <c r="E103" s="15" t="n">
        <f aca="false">IF(LEFT(A103,1)&gt;="6",0,SUMIFS('BALANCE 2026'!$I:$I,'BALANCE 2026'!$A:$A,A103))</f>
        <v>0</v>
      </c>
      <c r="F103" s="21" t="n">
        <f aca="false">MAX(0,(H103-I103)-(D103-E103))</f>
        <v>15958378</v>
      </c>
      <c r="G103" s="21" t="n">
        <f aca="false">MAX(0,(D103-E103)-(H103-I103))</f>
        <v>0</v>
      </c>
      <c r="H103" s="15" t="n">
        <f aca="false">ROUND('INVEST ET FINANCEMENT'!F$41,0)</f>
        <v>15958378</v>
      </c>
      <c r="I103" s="21" t="n">
        <v>0</v>
      </c>
      <c r="J103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3" s="43" t="n">
        <f aca="false">T_BAL_2027[[#This Row],[Clôture Débit]]-T_BAL_2027[[#This Row],[Clôture Crédit]]</f>
        <v>15958378</v>
      </c>
    </row>
    <row r="104" customFormat="false" ht="15" hidden="false" customHeight="false" outlineLevel="0" collapsed="false">
      <c r="A104" s="42" t="n">
        <v>691100</v>
      </c>
      <c r="B104" s="12" t="s">
        <v>404</v>
      </c>
      <c r="C104" s="13" t="s">
        <v>400</v>
      </c>
      <c r="D104" s="15" t="n">
        <f aca="false">IF(LEFT(A104,1)&gt;="6",0,SUMIFS('BALANCE 2026'!$H:$H,'BALANCE 2026'!$A:$A,A104))</f>
        <v>0</v>
      </c>
      <c r="E104" s="15" t="n">
        <f aca="false">IF(LEFT(A104,1)&gt;="6",0,SUMIFS('BALANCE 2026'!$I:$I,'BALANCE 2026'!$A:$A,A104))</f>
        <v>0</v>
      </c>
      <c r="F104" s="21" t="n">
        <f aca="false">MAX(0,(H104-I104)-(D104-E104))</f>
        <v>7151391</v>
      </c>
      <c r="G104" s="21" t="n">
        <f aca="false">MAX(0,(D104-E104)-(H104-I104))</f>
        <v>0</v>
      </c>
      <c r="H104" s="15" t="n">
        <f aca="false">ROUND(HYPOTHESES!F$65,0)</f>
        <v>7151391</v>
      </c>
      <c r="I104" s="21" t="n">
        <v>0</v>
      </c>
      <c r="J104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4" s="43" t="n">
        <f aca="false">T_BAL_2027[[#This Row],[Clôture Débit]]-T_BAL_2027[[#This Row],[Clôture Crédit]]</f>
        <v>7151391</v>
      </c>
    </row>
    <row r="105" customFormat="false" ht="15" hidden="false" customHeight="false" outlineLevel="0" collapsed="false">
      <c r="A105" s="35" t="n">
        <v>705100</v>
      </c>
      <c r="B105" s="36" t="s">
        <v>405</v>
      </c>
      <c r="C105" s="37" t="s">
        <v>406</v>
      </c>
      <c r="D105" s="44" t="n">
        <f aca="false">IF(LEFT(A105,1)&gt;="6",0,SUMIFS('BALANCE 2026'!$H:$H,'BALANCE 2026'!$A:$A,A105))</f>
        <v>0</v>
      </c>
      <c r="E105" s="44" t="n">
        <f aca="false">IF(LEFT(A105,1)&gt;="6",0,SUMIFS('BALANCE 2026'!$I:$I,'BALANCE 2026'!$A:$A,A105))</f>
        <v>0</v>
      </c>
      <c r="F105" s="39" t="n">
        <f aca="false">MAX(0,(H105-I105)-(D105-E105))</f>
        <v>0</v>
      </c>
      <c r="G105" s="39" t="n">
        <f aca="false">MAX(0,(D105-E105)-(H105-I105))</f>
        <v>826983667</v>
      </c>
      <c r="H105" s="39" t="n">
        <v>0</v>
      </c>
      <c r="I105" s="44" t="n">
        <f aca="false">ROUND(HYPOTHESES!F$50,0)</f>
        <v>826983667</v>
      </c>
      <c r="J105" s="39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5" s="40" t="n">
        <f aca="false">T_BAL_2027[[#This Row],[Clôture Débit]]-T_BAL_2027[[#This Row],[Clôture Crédit]]</f>
        <v>-826983667</v>
      </c>
    </row>
    <row r="106" customFormat="false" ht="15" hidden="false" customHeight="false" outlineLevel="0" collapsed="false">
      <c r="A106" s="42" t="n">
        <v>771200</v>
      </c>
      <c r="B106" s="12" t="s">
        <v>407</v>
      </c>
      <c r="C106" s="13" t="s">
        <v>408</v>
      </c>
      <c r="D106" s="15" t="n">
        <f aca="false">IF(LEFT(A106,1)&gt;="6",0,SUMIFS('BALANCE 2026'!$H:$H,'BALANCE 2026'!$A:$A,A106))</f>
        <v>0</v>
      </c>
      <c r="E106" s="15" t="n">
        <f aca="false">IF(LEFT(A106,1)&gt;="6",0,SUMIFS('BALANCE 2026'!$I:$I,'BALANCE 2026'!$A:$A,A106))</f>
        <v>0</v>
      </c>
      <c r="F106" s="21" t="n">
        <f aca="false">MAX(0,(H106-I106)-(D106-E106))</f>
        <v>0</v>
      </c>
      <c r="G106" s="21" t="n">
        <f aca="false">MAX(0,(D106-E106)-(H106-I106))</f>
        <v>848594</v>
      </c>
      <c r="H106" s="21" t="n">
        <v>0</v>
      </c>
      <c r="I106" s="15" t="n">
        <f aca="false">ROUND(HYPOTHESES!F$66,0)</f>
        <v>848594</v>
      </c>
      <c r="J106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6" s="43" t="n">
        <f aca="false">T_BAL_2027[[#This Row],[Clôture Débit]]-T_BAL_2027[[#This Row],[Clôture Crédit]]</f>
        <v>-848594</v>
      </c>
    </row>
    <row r="107" customFormat="false" ht="15" hidden="false" customHeight="false" outlineLevel="0" collapsed="false">
      <c r="A107" s="35" t="n">
        <v>891100</v>
      </c>
      <c r="B107" s="36" t="s">
        <v>409</v>
      </c>
      <c r="C107" s="37" t="s">
        <v>410</v>
      </c>
      <c r="D107" s="44" t="n">
        <f aca="false">IF(LEFT(A107,1)&gt;="6",0,SUMIFS('BALANCE 2026'!$H:$H,'BALANCE 2026'!$A:$A,A107))</f>
        <v>0</v>
      </c>
      <c r="E107" s="44" t="n">
        <f aca="false">IF(LEFT(A107,1)&gt;="6",0,SUMIFS('BALANCE 2026'!$I:$I,'BALANCE 2026'!$A:$A,A107))</f>
        <v>0</v>
      </c>
      <c r="F107" s="39" t="n">
        <f aca="false">MAX(0,(H107-I107)-(D107-E107))</f>
        <v>30373792</v>
      </c>
      <c r="G107" s="39" t="n">
        <f aca="false">MAX(0,(D107-E107)-(H107-I107))</f>
        <v>0</v>
      </c>
      <c r="H107" s="44" t="n">
        <f aca="false">ROUND(IF(HYPOTHESES!F$70&gt;=HYPOTHESES!F$71,HYPOTHESES!F$72,0),0)</f>
        <v>30373792</v>
      </c>
      <c r="I107" s="39" t="n">
        <v>0</v>
      </c>
      <c r="J107" s="39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7" s="40" t="n">
        <f aca="false">T_BAL_2027[[#This Row],[Clôture Débit]]-T_BAL_2027[[#This Row],[Clôture Crédit]]</f>
        <v>30373792</v>
      </c>
    </row>
    <row r="108" customFormat="false" ht="15" hidden="false" customHeight="false" outlineLevel="0" collapsed="false">
      <c r="A108" s="42" t="n">
        <v>895000</v>
      </c>
      <c r="B108" s="12" t="s">
        <v>411</v>
      </c>
      <c r="C108" s="13" t="s">
        <v>410</v>
      </c>
      <c r="D108" s="15" t="n">
        <f aca="false">IF(LEFT(A108,1)&gt;="6",0,SUMIFS('BALANCE 2026'!$H:$H,'BALANCE 2026'!$A:$A,A108))</f>
        <v>0</v>
      </c>
      <c r="E108" s="15" t="n">
        <f aca="false">IF(LEFT(A108,1)&gt;="6",0,SUMIFS('BALANCE 2026'!$I:$I,'BALANCE 2026'!$A:$A,A108))</f>
        <v>0</v>
      </c>
      <c r="F108" s="21" t="n">
        <f aca="false">MAX(0,(H108-I108)-(D108-E108))</f>
        <v>0</v>
      </c>
      <c r="G108" s="21" t="n">
        <f aca="false">MAX(0,(D108-E108)-(H108-I108))</f>
        <v>0</v>
      </c>
      <c r="H108" s="15" t="n">
        <f aca="false">ROUND(IF(HYPOTHESES!F$70&lt;HYPOTHESES!F$71,HYPOTHESES!F$72,0),0)</f>
        <v>0</v>
      </c>
      <c r="I108" s="21" t="n">
        <v>0</v>
      </c>
      <c r="J108" s="21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8" s="43" t="n">
        <f aca="false">T_BAL_2027[[#This Row],[Clôture Débit]]-T_BAL_2027[[#This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419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413</v>
      </c>
    </row>
    <row r="3" customFormat="false" ht="15" hidden="false" customHeight="false" outlineLevel="0" collapsed="false">
      <c r="A3" s="27"/>
      <c r="B3" s="27"/>
      <c r="C3" s="27"/>
      <c r="D3" s="28" t="s">
        <v>237</v>
      </c>
      <c r="E3" s="28"/>
      <c r="F3" s="28" t="s">
        <v>238</v>
      </c>
      <c r="G3" s="28"/>
      <c r="H3" s="28" t="s">
        <v>239</v>
      </c>
      <c r="I3" s="28"/>
      <c r="J3" s="29" t="s">
        <v>240</v>
      </c>
      <c r="K3" s="29" t="s">
        <v>241</v>
      </c>
      <c r="M3" s="30" t="s">
        <v>242</v>
      </c>
      <c r="N3" s="30"/>
    </row>
    <row r="4" customFormat="false" ht="15" hidden="false" customHeight="false" outlineLevel="0" collapsed="false">
      <c r="A4" s="8" t="s">
        <v>243</v>
      </c>
      <c r="B4" s="8" t="s">
        <v>244</v>
      </c>
      <c r="C4" s="8" t="s">
        <v>245</v>
      </c>
      <c r="D4" s="8" t="s">
        <v>246</v>
      </c>
      <c r="E4" s="8" t="s">
        <v>247</v>
      </c>
      <c r="F4" s="8" t="s">
        <v>246</v>
      </c>
      <c r="G4" s="8" t="s">
        <v>247</v>
      </c>
      <c r="H4" s="8" t="s">
        <v>246</v>
      </c>
      <c r="I4" s="8" t="s">
        <v>247</v>
      </c>
      <c r="J4" s="8" t="s">
        <v>248</v>
      </c>
      <c r="M4" s="31" t="s">
        <v>249</v>
      </c>
    </row>
    <row r="5" customFormat="false" ht="15" hidden="false" customHeight="false" outlineLevel="0" collapsed="false">
      <c r="A5" s="32"/>
      <c r="B5" s="33" t="s">
        <v>250</v>
      </c>
      <c r="C5" s="32"/>
      <c r="D5" s="34" t="n">
        <f aca="false">SUBTOTAL(109,T_BAL_2028[Ouverture Débit])</f>
        <v>2174160066</v>
      </c>
      <c r="E5" s="34" t="n">
        <f aca="false">SUBTOTAL(109,T_BAL_2028[Ouverture Crédit])</f>
        <v>2174160066</v>
      </c>
      <c r="F5" s="34" t="n">
        <f aca="false">SUBTOTAL(109,T_BAL_2028[Mouvements Débit])</f>
        <v>4306481778</v>
      </c>
      <c r="G5" s="34" t="n">
        <f aca="false">SUBTOTAL(109,T_BAL_2028[Mouvements Crédit])</f>
        <v>4306481778</v>
      </c>
      <c r="H5" s="34" t="n">
        <f aca="false">SUBTOTAL(109,T_BAL_2028[Clôture Débit])</f>
        <v>3146347366</v>
      </c>
      <c r="I5" s="34" t="n">
        <f aca="false">SUBTOTAL(109,T_BAL_2028[Clôture Crédit])</f>
        <v>3146347366</v>
      </c>
      <c r="J5" s="34" t="n">
        <f aca="false">SUBTOTAL(109,T_BAL_2028[Contrôle])</f>
        <v>0</v>
      </c>
      <c r="M5" s="31" t="s">
        <v>251</v>
      </c>
    </row>
    <row r="6" customFormat="false" ht="15" hidden="false" customHeight="false" outlineLevel="0" collapsed="false">
      <c r="B6" s="4" t="s">
        <v>252</v>
      </c>
      <c r="D6" s="24" t="n">
        <f aca="false">D5-E5</f>
        <v>0</v>
      </c>
      <c r="F6" s="24" t="n">
        <f aca="false">F5-G5</f>
        <v>0</v>
      </c>
      <c r="H6" s="24" t="n">
        <f aca="false">H5-I5</f>
        <v>0</v>
      </c>
      <c r="M6" s="31" t="s">
        <v>253</v>
      </c>
    </row>
    <row r="7" customFormat="false" ht="15" hidden="false" customHeight="false" outlineLevel="0" collapsed="false">
      <c r="B7" s="7" t="s">
        <v>414</v>
      </c>
      <c r="H7" s="21" t="n">
        <f aca="false">-SUM(T_BAL_2028[Hors trésorerie])</f>
        <v>514764941</v>
      </c>
      <c r="M7" s="31" t="s">
        <v>254</v>
      </c>
    </row>
    <row r="8" customFormat="false" ht="15" hidden="false" customHeight="false" outlineLevel="0" collapsed="false">
      <c r="B8" s="7" t="s">
        <v>415</v>
      </c>
      <c r="H8" s="21" t="n">
        <f aca="false">ROUND((G34+HYPOTHESES!G$66+'INVEST ET FINANCEMENT'!G$48+'INVEST ET FINANCEMENT'!G$52+(D56-E56)+(D57-E57)-H7)/(1-HYPOTHESES!G$37*(1-HYPOTHESES!G$38)),0)</f>
        <v>906645743</v>
      </c>
      <c r="M8" s="31" t="s">
        <v>255</v>
      </c>
    </row>
    <row r="9" customFormat="false" ht="15" hidden="false" customHeight="false" outlineLevel="0" collapsed="false">
      <c r="B9" s="7" t="s">
        <v>416</v>
      </c>
      <c r="H9" s="21" t="n">
        <f aca="false">ROUND(HYPOTHESES!G$37*H8,0)</f>
        <v>181329149</v>
      </c>
      <c r="M9" s="31" t="s">
        <v>256</v>
      </c>
    </row>
    <row r="10" customFormat="false" ht="15" hidden="false" customHeight="false" outlineLevel="0" collapsed="false">
      <c r="M10" s="31" t="s">
        <v>257</v>
      </c>
    </row>
    <row r="11" customFormat="false" ht="15" hidden="false" customHeight="false" outlineLevel="0" collapsed="false">
      <c r="A11" s="27"/>
      <c r="B11" s="29" t="s">
        <v>258</v>
      </c>
      <c r="C11" s="27"/>
      <c r="D11" s="28" t="s">
        <v>237</v>
      </c>
      <c r="E11" s="28"/>
      <c r="F11" s="28" t="s">
        <v>238</v>
      </c>
      <c r="G11" s="28"/>
      <c r="H11" s="28" t="s">
        <v>239</v>
      </c>
      <c r="I11" s="28"/>
      <c r="J11" s="29" t="s">
        <v>240</v>
      </c>
      <c r="K11" s="29" t="s">
        <v>241</v>
      </c>
      <c r="M11" s="31" t="s">
        <v>259</v>
      </c>
    </row>
    <row r="12" customFormat="false" ht="15" hidden="false" customHeight="false" outlineLevel="0" collapsed="false">
      <c r="A12" s="8" t="s">
        <v>243</v>
      </c>
      <c r="B12" s="8" t="s">
        <v>244</v>
      </c>
      <c r="C12" s="8" t="s">
        <v>245</v>
      </c>
      <c r="D12" s="8" t="s">
        <v>260</v>
      </c>
      <c r="E12" s="8" t="s">
        <v>261</v>
      </c>
      <c r="F12" s="8" t="s">
        <v>262</v>
      </c>
      <c r="G12" s="8" t="s">
        <v>263</v>
      </c>
      <c r="H12" s="8" t="s">
        <v>264</v>
      </c>
      <c r="I12" s="8" t="s">
        <v>265</v>
      </c>
      <c r="J12" s="8" t="s">
        <v>240</v>
      </c>
      <c r="K12" s="8" t="s">
        <v>266</v>
      </c>
      <c r="M12" s="29" t="s">
        <v>267</v>
      </c>
      <c r="N12" s="29" t="s">
        <v>268</v>
      </c>
    </row>
    <row r="13" customFormat="false" ht="15" hidden="false" customHeight="false" outlineLevel="0" collapsed="false">
      <c r="A13" s="35" t="n">
        <v>101000</v>
      </c>
      <c r="B13" s="36" t="s">
        <v>269</v>
      </c>
      <c r="C13" s="37" t="s">
        <v>270</v>
      </c>
      <c r="D13" s="44" t="n">
        <f aca="false">IF(LEFT(A13,1)&gt;="6",0,SUMIFS('BALANCE 2027'!$H:$H,'BALANCE 2027'!$A:$A,A13))</f>
        <v>0</v>
      </c>
      <c r="E13" s="44" t="n">
        <f aca="false">IF(LEFT(A13,1)&gt;="6",0,SUMIFS('BALANCE 2027'!$I:$I,'BALANCE 2027'!$A:$A,A13))</f>
        <v>10000000</v>
      </c>
      <c r="F13" s="44" t="n">
        <f aca="false">ROUND('INVEST ET FINANCEMENT'!G$52,0)+(H13-I13)-(D13-E13)</f>
        <v>0</v>
      </c>
      <c r="G13" s="44" t="n">
        <f aca="false">ROUND('INVEST ET FINANCEMENT'!G$52,0)</f>
        <v>0</v>
      </c>
      <c r="H13" s="39" t="n">
        <v>0</v>
      </c>
      <c r="I13" s="44" t="n">
        <f aca="false">ROUND(E13+'INVEST ET FINANCEMENT'!G$52,0)</f>
        <v>10000000</v>
      </c>
      <c r="J13" s="39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3" s="40" t="n">
        <f aca="false">T_BAL_2028[[#This Row],[Clôture Débit]]-T_BAL_2028[[#This Row],[Clôture Crédit]]</f>
        <v>-10000000</v>
      </c>
      <c r="M13" s="41" t="s">
        <v>271</v>
      </c>
      <c r="N13" s="31" t="s">
        <v>272</v>
      </c>
    </row>
    <row r="14" customFormat="false" ht="15" hidden="false" customHeight="false" outlineLevel="0" collapsed="false">
      <c r="A14" s="42" t="n">
        <v>111000</v>
      </c>
      <c r="B14" s="12" t="s">
        <v>273</v>
      </c>
      <c r="C14" s="13" t="s">
        <v>274</v>
      </c>
      <c r="D14" s="15" t="n">
        <f aca="false">IF(LEFT(A14,1)&gt;="6",0,SUMIFS('BALANCE 2027'!$H:$H,'BALANCE 2027'!$A:$A,A14))</f>
        <v>0</v>
      </c>
      <c r="E14" s="15" t="n">
        <f aca="false">IF(LEFT(A14,1)&gt;="6",0,SUMIFS('BALANCE 2027'!$I:$I,'BALANCE 2027'!$A:$A,A14))</f>
        <v>2000000</v>
      </c>
      <c r="F14" s="15" t="n">
        <f aca="false">ROUND(HYPOTHESES!G$74,0)+(H14-I14)-(D14-E14)</f>
        <v>0</v>
      </c>
      <c r="G14" s="15" t="n">
        <f aca="false">ROUND(HYPOTHESES!G$74,0)</f>
        <v>0</v>
      </c>
      <c r="H14" s="21" t="n">
        <v>0</v>
      </c>
      <c r="I14" s="15" t="n">
        <f aca="false">ROUND(E14+HYPOTHESES!G$74,0)</f>
        <v>2000000</v>
      </c>
      <c r="J14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4" s="43" t="n">
        <f aca="false">T_BAL_2028[[#This Row],[Clôture Débit]]-T_BAL_2028[[#This Row],[Clôture Crédit]]</f>
        <v>-2000000</v>
      </c>
      <c r="M14" s="41" t="s">
        <v>275</v>
      </c>
      <c r="N14" s="31" t="s">
        <v>276</v>
      </c>
    </row>
    <row r="15" customFormat="false" ht="15" hidden="false" customHeight="false" outlineLevel="0" collapsed="false">
      <c r="A15" s="42" t="n">
        <v>121000</v>
      </c>
      <c r="B15" s="12" t="s">
        <v>277</v>
      </c>
      <c r="C15" s="13" t="s">
        <v>278</v>
      </c>
      <c r="D15" s="15" t="n">
        <f aca="false">IF(LEFT(A15,1)&gt;="6",0,SUMIFS('BALANCE 2027'!$H:$H,'BALANCE 2027'!$A:$A,A15))</f>
        <v>0</v>
      </c>
      <c r="E15" s="15" t="n">
        <f aca="false">IF(LEFT(A15,1)&gt;="6",0,SUMIFS('BALANCE 2027'!$I:$I,'BALANCE 2027'!$A:$A,A15))</f>
        <v>1016549422</v>
      </c>
      <c r="F15" s="21" t="n">
        <f aca="false">MAX(0,(H15-I15)-(D15-E15))</f>
        <v>0</v>
      </c>
      <c r="G15" s="21" t="n">
        <f aca="false">MAX(0,(D15-E15)-(H15-I15))</f>
        <v>83969984</v>
      </c>
      <c r="H15" s="15" t="n">
        <f aca="false">ROUND(MAX(0,-(E15-D15+HYPOTHESES!G$76)),0)</f>
        <v>0</v>
      </c>
      <c r="I15" s="15" t="n">
        <f aca="false">ROUND(MAX(0,(E15-D15+HYPOTHESES!G$76)),0)</f>
        <v>1100519406</v>
      </c>
      <c r="J15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5" s="43" t="n">
        <f aca="false">T_BAL_2028[[#This Row],[Clôture Débit]]-T_BAL_2028[[#This Row],[Clôture Crédit]]</f>
        <v>-1100519406</v>
      </c>
      <c r="M15" s="41" t="s">
        <v>279</v>
      </c>
      <c r="N15" s="31" t="s">
        <v>280</v>
      </c>
    </row>
    <row r="16" customFormat="false" ht="15" hidden="false" customHeight="false" outlineLevel="0" collapsed="false">
      <c r="A16" s="42" t="n">
        <v>130100</v>
      </c>
      <c r="B16" s="12" t="s">
        <v>281</v>
      </c>
      <c r="C16" s="13" t="s">
        <v>282</v>
      </c>
      <c r="D16" s="21" t="n">
        <f aca="false">MAX(0,-SUMPRODUCT((LEFT(T_BAL_2027[Compte],1)&gt;="6")*(T_BAL_2027[Clôture Crédit]-T_BAL_2027[Clôture Débit])))</f>
        <v>0</v>
      </c>
      <c r="E16" s="21" t="n">
        <f aca="false">MAX(0,SUMPRODUCT((LEFT(T_BAL_2027[Compte],1)&gt;="6")*(T_BAL_2027[Clôture Crédit]-T_BAL_2027[Clôture Débit])))</f>
        <v>83969984</v>
      </c>
      <c r="F16" s="21" t="n">
        <f aca="false">MAX(0,(H16-I16)-(D16-E16))</f>
        <v>83969984</v>
      </c>
      <c r="G16" s="21" t="n">
        <f aca="false">MAX(0,(D16-E16)-(H16-I16))</f>
        <v>0</v>
      </c>
      <c r="H16" s="21" t="n">
        <v>0</v>
      </c>
      <c r="I16" s="21" t="n">
        <v>0</v>
      </c>
      <c r="J16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6" s="43" t="n">
        <f aca="false">T_BAL_2028[[#This Row],[Clôture Débit]]-T_BAL_2028[[#This Row],[Clôture Crédit]]</f>
        <v>0</v>
      </c>
      <c r="M16" s="41" t="s">
        <v>283</v>
      </c>
      <c r="N16" s="31" t="s">
        <v>284</v>
      </c>
    </row>
    <row r="17" customFormat="false" ht="15" hidden="false" customHeight="false" outlineLevel="0" collapsed="false">
      <c r="A17" s="42" t="n">
        <v>162002</v>
      </c>
      <c r="B17" s="12" t="s">
        <v>285</v>
      </c>
      <c r="C17" s="13" t="s">
        <v>213</v>
      </c>
      <c r="D17" s="15" t="n">
        <f aca="false">IF(LEFT(A17,1)&gt;="6",0,SUMIFS('BALANCE 2027'!$H:$H,'BALANCE 2027'!$A:$A,A17))</f>
        <v>0</v>
      </c>
      <c r="E17" s="15" t="n">
        <f aca="false">IF(LEFT(A17,1)&gt;="6",0,SUMIFS('BALANCE 2027'!$I:$I,'BALANCE 2027'!$A:$A,A17))</f>
        <v>0</v>
      </c>
      <c r="F17" s="15" t="n">
        <f aca="false">ROUND('INVEST ET FINANCEMENT'!G$48,0)+(H17-I17)-(D17-E17)</f>
        <v>0</v>
      </c>
      <c r="G17" s="15" t="n">
        <f aca="false">ROUND('INVEST ET FINANCEMENT'!G$48,0)</f>
        <v>0</v>
      </c>
      <c r="H17" s="21" t="n">
        <v>0</v>
      </c>
      <c r="I17" s="15" t="n">
        <f aca="false">ROUND(E17+'INVEST ET FINANCEMENT'!G$48-'INVEST ET FINANCEMENT'!G$49,0)</f>
        <v>0</v>
      </c>
      <c r="J17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7" s="43" t="n">
        <f aca="false">T_BAL_2028[[#This Row],[Clôture Débit]]-T_BAL_2028[[#This Row],[Clôture Crédit]]</f>
        <v>0</v>
      </c>
      <c r="M17" s="41" t="s">
        <v>286</v>
      </c>
      <c r="N17" s="31" t="s">
        <v>287</v>
      </c>
    </row>
    <row r="18" customFormat="false" ht="15" hidden="false" customHeight="false" outlineLevel="0" collapsed="false">
      <c r="A18" s="42" t="n">
        <v>173060</v>
      </c>
      <c r="B18" s="12" t="s">
        <v>288</v>
      </c>
      <c r="C18" s="13" t="s">
        <v>216</v>
      </c>
      <c r="D18" s="15" t="n">
        <f aca="false">IF(LEFT(A18,1)&gt;="6",0,SUMIFS('BALANCE 2027'!$H:$H,'BALANCE 2027'!$A:$A,A18))</f>
        <v>0</v>
      </c>
      <c r="E18" s="15" t="n">
        <f aca="false">IF(LEFT(A18,1)&gt;="6",0,SUMIFS('BALANCE 2027'!$I:$I,'BALANCE 2027'!$A:$A,A18))</f>
        <v>0</v>
      </c>
      <c r="F18" s="15" t="n">
        <f aca="false">ROUND('INVEST ET FINANCEMENT'!G$50,0)</f>
        <v>0</v>
      </c>
      <c r="G18" s="15" t="n">
        <f aca="false">ROUND('INVEST ET FINANCEMENT'!G$50,0)+(D18-E18)-(H18-I18)</f>
        <v>0</v>
      </c>
      <c r="H18" s="21" t="n">
        <v>0</v>
      </c>
      <c r="I18" s="15" t="n">
        <f aca="false">ROUND(E18-'INVEST ET FINANCEMENT'!G$50,0)</f>
        <v>0</v>
      </c>
      <c r="J18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8" s="43" t="n">
        <f aca="false">T_BAL_2028[[#This Row],[Clôture Débit]]-T_BAL_2028[[#This Row],[Clôture Crédit]]</f>
        <v>0</v>
      </c>
      <c r="M18" s="41" t="s">
        <v>289</v>
      </c>
      <c r="N18" s="31" t="s">
        <v>290</v>
      </c>
    </row>
    <row r="19" customFormat="false" ht="15" hidden="false" customHeight="false" outlineLevel="0" collapsed="false">
      <c r="A19" s="42" t="n">
        <v>196100</v>
      </c>
      <c r="B19" s="12" t="s">
        <v>291</v>
      </c>
      <c r="C19" s="13" t="s">
        <v>292</v>
      </c>
      <c r="D19" s="15" t="n">
        <f aca="false">IF(LEFT(A19,1)&gt;="6",0,SUMIFS('BALANCE 2027'!$H:$H,'BALANCE 2027'!$A:$A,A19))</f>
        <v>0</v>
      </c>
      <c r="E19" s="15" t="n">
        <f aca="false">IF(LEFT(A19,1)&gt;="6",0,SUMIFS('BALANCE 2027'!$I:$I,'BALANCE 2027'!$A:$A,A19))</f>
        <v>42181718</v>
      </c>
      <c r="F19" s="15" t="n">
        <f aca="false">ROUND(HYPOTHESES!G$28,0)+(H19-I19)-(D19-E19)</f>
        <v>0</v>
      </c>
      <c r="G19" s="15" t="n">
        <f aca="false">ROUND(HYPOTHESES!G$28,0)</f>
        <v>7508960</v>
      </c>
      <c r="H19" s="21" t="n">
        <v>0</v>
      </c>
      <c r="I19" s="15" t="n">
        <f aca="false">ROUND(E19+HYPOTHESES!G$28,0)</f>
        <v>49690678</v>
      </c>
      <c r="J19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9" s="43" t="n">
        <f aca="false">T_BAL_2028[[#This Row],[Clôture Débit]]-T_BAL_2028[[#This Row],[Clôture Crédit]]</f>
        <v>-49690678</v>
      </c>
      <c r="M19" s="41" t="s">
        <v>293</v>
      </c>
      <c r="N19" s="31" t="s">
        <v>294</v>
      </c>
    </row>
    <row r="20" customFormat="false" ht="15" hidden="false" customHeight="false" outlineLevel="0" collapsed="false">
      <c r="A20" s="35" t="n">
        <v>234100</v>
      </c>
      <c r="B20" s="36" t="s">
        <v>295</v>
      </c>
      <c r="C20" s="37" t="s">
        <v>296</v>
      </c>
      <c r="D20" s="44" t="n">
        <f aca="false">IF(LEFT(A20,1)&gt;="6",0,SUMIFS('BALANCE 2027'!$H:$H,'BALANCE 2027'!$A:$A,A20))</f>
        <v>103601492</v>
      </c>
      <c r="E20" s="44" t="n">
        <f aca="false">IF(LEFT(A20,1)&gt;="6",0,SUMIFS('BALANCE 2027'!$I:$I,'BALANCE 2027'!$A:$A,A20))</f>
        <v>0</v>
      </c>
      <c r="F20" s="44" t="n">
        <f aca="false">ROUND('INVEST ET FINANCEMENT'!G$9,0)</f>
        <v>0</v>
      </c>
      <c r="G20" s="44" t="n">
        <f aca="false">ROUND('INVEST ET FINANCEMENT'!G$9,0)+(D20-E20)-(H20-I20)</f>
        <v>0</v>
      </c>
      <c r="H20" s="44" t="n">
        <f aca="false">ROUND(D20+'INVEST ET FINANCEMENT'!G$9,0)</f>
        <v>103601492</v>
      </c>
      <c r="I20" s="39" t="n">
        <v>0</v>
      </c>
      <c r="J20" s="39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0" s="40" t="n">
        <f aca="false">T_BAL_2028[[#This Row],[Clôture Débit]]-T_BAL_2028[[#This Row],[Clôture Crédit]]</f>
        <v>103601492</v>
      </c>
      <c r="M20" s="41" t="s">
        <v>297</v>
      </c>
      <c r="N20" s="31" t="s">
        <v>298</v>
      </c>
    </row>
    <row r="21" customFormat="false" ht="15" hidden="false" customHeight="false" outlineLevel="0" collapsed="false">
      <c r="A21" s="42" t="n">
        <v>241100</v>
      </c>
      <c r="B21" s="12" t="s">
        <v>299</v>
      </c>
      <c r="C21" s="13" t="s">
        <v>300</v>
      </c>
      <c r="D21" s="15" t="n">
        <f aca="false">IF(LEFT(A21,1)&gt;="6",0,SUMIFS('BALANCE 2027'!$H:$H,'BALANCE 2027'!$A:$A,A21))</f>
        <v>373845268</v>
      </c>
      <c r="E21" s="15" t="n">
        <f aca="false">IF(LEFT(A21,1)&gt;="6",0,SUMIFS('BALANCE 2027'!$I:$I,'BALANCE 2027'!$A:$A,A21))</f>
        <v>0</v>
      </c>
      <c r="F21" s="15" t="n">
        <f aca="false">ROUND('INVEST ET FINANCEMENT'!G$10,0)</f>
        <v>30000000</v>
      </c>
      <c r="G21" s="15" t="n">
        <f aca="false">ROUND('INVEST ET FINANCEMENT'!G$10,0)+(D21-E21)-(H21-I21)</f>
        <v>0</v>
      </c>
      <c r="H21" s="15" t="n">
        <f aca="false">ROUND(D21+'INVEST ET FINANCEMENT'!G$10,0)</f>
        <v>403845268</v>
      </c>
      <c r="I21" s="21" t="n">
        <v>0</v>
      </c>
      <c r="J21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1" s="43" t="n">
        <f aca="false">T_BAL_2028[[#This Row],[Clôture Débit]]-T_BAL_2028[[#This Row],[Clôture Crédit]]</f>
        <v>403845268</v>
      </c>
      <c r="M21" s="41" t="s">
        <v>301</v>
      </c>
      <c r="N21" s="31" t="s">
        <v>302</v>
      </c>
    </row>
    <row r="22" customFormat="false" ht="15" hidden="false" customHeight="false" outlineLevel="0" collapsed="false">
      <c r="A22" s="42" t="n">
        <v>244100</v>
      </c>
      <c r="B22" s="12" t="s">
        <v>303</v>
      </c>
      <c r="C22" s="13" t="s">
        <v>300</v>
      </c>
      <c r="D22" s="15" t="n">
        <f aca="false">IF(LEFT(A22,1)&gt;="6",0,SUMIFS('BALANCE 2027'!$H:$H,'BALANCE 2027'!$A:$A,A22))</f>
        <v>9306956</v>
      </c>
      <c r="E22" s="15" t="n">
        <f aca="false">IF(LEFT(A22,1)&gt;="6",0,SUMIFS('BALANCE 2027'!$I:$I,'BALANCE 2027'!$A:$A,A22))</f>
        <v>0</v>
      </c>
      <c r="F22" s="21" t="n">
        <f aca="false">MAX(0,(H22-I22)-(D22-E22))</f>
        <v>0</v>
      </c>
      <c r="G22" s="21" t="n">
        <f aca="false">MAX(0,(D22-E22)-(H22-I22))</f>
        <v>0</v>
      </c>
      <c r="H22" s="21" t="n">
        <f aca="false">ROUND(D22,0)</f>
        <v>9306956</v>
      </c>
      <c r="I22" s="21" t="n">
        <v>0</v>
      </c>
      <c r="J22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2" s="43" t="n">
        <f aca="false">T_BAL_2028[[#This Row],[Clôture Débit]]-T_BAL_2028[[#This Row],[Clôture Crédit]]</f>
        <v>9306956</v>
      </c>
    </row>
    <row r="23" customFormat="false" ht="15" hidden="false" customHeight="false" outlineLevel="0" collapsed="false">
      <c r="A23" s="42" t="n">
        <v>244200</v>
      </c>
      <c r="B23" s="12" t="s">
        <v>304</v>
      </c>
      <c r="C23" s="13" t="s">
        <v>300</v>
      </c>
      <c r="D23" s="15" t="n">
        <f aca="false">IF(LEFT(A23,1)&gt;="6",0,SUMIFS('BALANCE 2027'!$H:$H,'BALANCE 2027'!$A:$A,A23))</f>
        <v>23910459</v>
      </c>
      <c r="E23" s="15" t="n">
        <f aca="false">IF(LEFT(A23,1)&gt;="6",0,SUMIFS('BALANCE 2027'!$I:$I,'BALANCE 2027'!$A:$A,A23))</f>
        <v>0</v>
      </c>
      <c r="F23" s="15" t="n">
        <f aca="false">ROUND('INVEST ET FINANCEMENT'!G$11,0)</f>
        <v>5000000</v>
      </c>
      <c r="G23" s="15" t="n">
        <f aca="false">ROUND('INVEST ET FINANCEMENT'!G$11,0)+(D23-E23)-(H23-I23)</f>
        <v>0</v>
      </c>
      <c r="H23" s="15" t="n">
        <f aca="false">ROUND(D23+'INVEST ET FINANCEMENT'!G$11,0)</f>
        <v>28910459</v>
      </c>
      <c r="I23" s="21" t="n">
        <v>0</v>
      </c>
      <c r="J23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3" s="43" t="n">
        <f aca="false">T_BAL_2028[[#This Row],[Clôture Débit]]-T_BAL_2028[[#This Row],[Clôture Crédit]]</f>
        <v>28910459</v>
      </c>
    </row>
    <row r="24" customFormat="false" ht="15" hidden="false" customHeight="false" outlineLevel="0" collapsed="false">
      <c r="A24" s="42" t="n">
        <v>245100</v>
      </c>
      <c r="B24" s="12" t="s">
        <v>305</v>
      </c>
      <c r="C24" s="13" t="s">
        <v>306</v>
      </c>
      <c r="D24" s="15" t="n">
        <f aca="false">IF(LEFT(A24,1)&gt;="6",0,SUMIFS('BALANCE 2027'!$H:$H,'BALANCE 2027'!$A:$A,A24))</f>
        <v>452257899</v>
      </c>
      <c r="E24" s="15" t="n">
        <f aca="false">IF(LEFT(A24,1)&gt;="6",0,SUMIFS('BALANCE 2027'!$I:$I,'BALANCE 2027'!$A:$A,A24))</f>
        <v>0</v>
      </c>
      <c r="F24" s="15" t="n">
        <f aca="false">ROUND('INVEST ET FINANCEMENT'!G$12+'INVEST ET FINANCEMENT'!G$14,0)</f>
        <v>40000000</v>
      </c>
      <c r="G24" s="15" t="n">
        <f aca="false">ROUND('INVEST ET FINANCEMENT'!G$12+'INVEST ET FINANCEMENT'!G$14,0)+(D24-E24)-(H24-I24)</f>
        <v>0</v>
      </c>
      <c r="H24" s="15" t="n">
        <f aca="false">ROUND(D24+'INVEST ET FINANCEMENT'!G$12+'INVEST ET FINANCEMENT'!G$14,0)</f>
        <v>492257899</v>
      </c>
      <c r="I24" s="21" t="n">
        <v>0</v>
      </c>
      <c r="J24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4" s="43" t="n">
        <f aca="false">T_BAL_2028[[#This Row],[Clôture Débit]]-T_BAL_2028[[#This Row],[Clôture Crédit]]</f>
        <v>492257899</v>
      </c>
    </row>
    <row r="25" customFormat="false" ht="15" hidden="false" customHeight="false" outlineLevel="0" collapsed="false">
      <c r="A25" s="42" t="n">
        <v>245600</v>
      </c>
      <c r="B25" s="12" t="s">
        <v>307</v>
      </c>
      <c r="C25" s="13" t="s">
        <v>306</v>
      </c>
      <c r="D25" s="15" t="n">
        <f aca="false">IF(LEFT(A25,1)&gt;="6",0,SUMIFS('BALANCE 2027'!$H:$H,'BALANCE 2027'!$A:$A,A25))</f>
        <v>0</v>
      </c>
      <c r="E25" s="15" t="n">
        <f aca="false">IF(LEFT(A25,1)&gt;="6",0,SUMIFS('BALANCE 2027'!$I:$I,'BALANCE 2027'!$A:$A,A25))</f>
        <v>0</v>
      </c>
      <c r="F25" s="15" t="n">
        <f aca="false">ROUND('INVEST ET FINANCEMENT'!G$14,0)+(H25-I25)-(D25-E25)</f>
        <v>0</v>
      </c>
      <c r="G25" s="15" t="n">
        <f aca="false">ROUND('INVEST ET FINANCEMENT'!G$14,0)</f>
        <v>0</v>
      </c>
      <c r="H25" s="15" t="n">
        <f aca="false">ROUND(D25-'INVEST ET FINANCEMENT'!G$14,0)</f>
        <v>0</v>
      </c>
      <c r="I25" s="21" t="n">
        <v>0</v>
      </c>
      <c r="J25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5" s="43" t="n">
        <f aca="false">T_BAL_2028[[#This Row],[Clôture Débit]]-T_BAL_2028[[#This Row],[Clôture Crédit]]</f>
        <v>0</v>
      </c>
    </row>
    <row r="26" customFormat="false" ht="15" hidden="false" customHeight="false" outlineLevel="0" collapsed="false">
      <c r="A26" s="42" t="n">
        <v>271800</v>
      </c>
      <c r="B26" s="12" t="s">
        <v>308</v>
      </c>
      <c r="C26" s="13" t="s">
        <v>309</v>
      </c>
      <c r="D26" s="15" t="n">
        <f aca="false">IF(LEFT(A26,1)&gt;="6",0,SUMIFS('BALANCE 2027'!$H:$H,'BALANCE 2027'!$A:$A,A26))</f>
        <v>25000000</v>
      </c>
      <c r="E26" s="15" t="n">
        <f aca="false">IF(LEFT(A26,1)&gt;="6",0,SUMIFS('BALANCE 2027'!$I:$I,'BALANCE 2027'!$A:$A,A26))</f>
        <v>0</v>
      </c>
      <c r="F26" s="21" t="n">
        <f aca="false">MAX(0,(H26-I26)-(D26-E26))</f>
        <v>0</v>
      </c>
      <c r="G26" s="21" t="n">
        <f aca="false">MAX(0,(D26-E26)-(H26-I26))</f>
        <v>0</v>
      </c>
      <c r="H26" s="21" t="n">
        <f aca="false">ROUND(D26,0)</f>
        <v>25000000</v>
      </c>
      <c r="I26" s="21" t="n">
        <v>0</v>
      </c>
      <c r="J26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6" s="43" t="n">
        <f aca="false">T_BAL_2028[[#This Row],[Clôture Débit]]-T_BAL_2028[[#This Row],[Clôture Crédit]]</f>
        <v>25000000</v>
      </c>
    </row>
    <row r="27" customFormat="false" ht="15" hidden="false" customHeight="false" outlineLevel="0" collapsed="false">
      <c r="A27" s="42" t="n">
        <v>275100</v>
      </c>
      <c r="B27" s="12" t="s">
        <v>310</v>
      </c>
      <c r="C27" s="13" t="s">
        <v>309</v>
      </c>
      <c r="D27" s="15" t="n">
        <f aca="false">IF(LEFT(A27,1)&gt;="6",0,SUMIFS('BALANCE 2027'!$H:$H,'BALANCE 2027'!$A:$A,A27))</f>
        <v>231420138</v>
      </c>
      <c r="E27" s="15" t="n">
        <f aca="false">IF(LEFT(A27,1)&gt;="6",0,SUMIFS('BALANCE 2027'!$I:$I,'BALANCE 2027'!$A:$A,A27))</f>
        <v>0</v>
      </c>
      <c r="F27" s="15" t="n">
        <f aca="false">ROUND('INVEST ET FINANCEMENT'!G$13,0)</f>
        <v>0</v>
      </c>
      <c r="G27" s="15" t="n">
        <f aca="false">ROUND('INVEST ET FINANCEMENT'!G$13,0)+(D27-E27)-(H27-I27)</f>
        <v>0</v>
      </c>
      <c r="H27" s="15" t="n">
        <f aca="false">ROUND(D27+'INVEST ET FINANCEMENT'!G$13,0)</f>
        <v>231420138</v>
      </c>
      <c r="I27" s="21" t="n">
        <v>0</v>
      </c>
      <c r="J27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7" s="43" t="n">
        <f aca="false">T_BAL_2028[[#This Row],[Clôture Débit]]-T_BAL_2028[[#This Row],[Clôture Crédit]]</f>
        <v>231420138</v>
      </c>
    </row>
    <row r="28" customFormat="false" ht="15" hidden="false" customHeight="false" outlineLevel="0" collapsed="false">
      <c r="A28" s="42" t="n">
        <v>283400</v>
      </c>
      <c r="B28" s="12" t="s">
        <v>311</v>
      </c>
      <c r="C28" s="13" t="s">
        <v>296</v>
      </c>
      <c r="D28" s="15" t="n">
        <f aca="false">IF(LEFT(A28,1)&gt;="6",0,SUMIFS('BALANCE 2027'!$H:$H,'BALANCE 2027'!$A:$A,A28))</f>
        <v>0</v>
      </c>
      <c r="E28" s="15" t="n">
        <f aca="false">IF(LEFT(A28,1)&gt;="6",0,SUMIFS('BALANCE 2027'!$I:$I,'BALANCE 2027'!$A:$A,A28))</f>
        <v>99685011</v>
      </c>
      <c r="F28" s="15" t="n">
        <f aca="false">ROUND('INVEST ET FINANCEMENT'!G$32,0)+(H28-I28)-(D28-E28)</f>
        <v>0</v>
      </c>
      <c r="G28" s="15" t="n">
        <f aca="false">ROUND('INVEST ET FINANCEMENT'!G$32,0)</f>
        <v>3916481</v>
      </c>
      <c r="H28" s="21" t="n">
        <v>0</v>
      </c>
      <c r="I28" s="15" t="n">
        <f aca="false">ROUND(E28+'INVEST ET FINANCEMENT'!G$32,0)</f>
        <v>103601492</v>
      </c>
      <c r="J28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8" s="43" t="n">
        <f aca="false">T_BAL_2028[[#This Row],[Clôture Débit]]-T_BAL_2028[[#This Row],[Clôture Crédit]]</f>
        <v>-103601492</v>
      </c>
    </row>
    <row r="29" customFormat="false" ht="15" hidden="false" customHeight="false" outlineLevel="0" collapsed="false">
      <c r="A29" s="42" t="n">
        <v>284100</v>
      </c>
      <c r="B29" s="12" t="s">
        <v>312</v>
      </c>
      <c r="C29" s="13" t="s">
        <v>300</v>
      </c>
      <c r="D29" s="15" t="n">
        <f aca="false">IF(LEFT(A29,1)&gt;="6",0,SUMIFS('BALANCE 2027'!$H:$H,'BALANCE 2027'!$A:$A,A29))</f>
        <v>0</v>
      </c>
      <c r="E29" s="15" t="n">
        <f aca="false">IF(LEFT(A29,1)&gt;="6",0,SUMIFS('BALANCE 2027'!$I:$I,'BALANCE 2027'!$A:$A,A29))</f>
        <v>209231095</v>
      </c>
      <c r="F29" s="15" t="n">
        <f aca="false">ROUND('INVEST ET FINANCEMENT'!G$35,0)+(H29-I29)-(D29-E29)</f>
        <v>0</v>
      </c>
      <c r="G29" s="15" t="n">
        <f aca="false">ROUND('INVEST ET FINANCEMENT'!G$35,0)</f>
        <v>62854932</v>
      </c>
      <c r="H29" s="21" t="n">
        <v>0</v>
      </c>
      <c r="I29" s="15" t="n">
        <f aca="false">ROUND(E29+'INVEST ET FINANCEMENT'!G$35,0)</f>
        <v>272086027</v>
      </c>
      <c r="J29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9" s="43" t="n">
        <f aca="false">T_BAL_2028[[#This Row],[Clôture Débit]]-T_BAL_2028[[#This Row],[Clôture Crédit]]</f>
        <v>-272086027</v>
      </c>
    </row>
    <row r="30" customFormat="false" ht="15" hidden="false" customHeight="false" outlineLevel="0" collapsed="false">
      <c r="A30" s="42" t="n">
        <v>284400</v>
      </c>
      <c r="B30" s="12" t="s">
        <v>313</v>
      </c>
      <c r="C30" s="13" t="s">
        <v>300</v>
      </c>
      <c r="D30" s="15" t="n">
        <f aca="false">IF(LEFT(A30,1)&gt;="6",0,SUMIFS('BALANCE 2027'!$H:$H,'BALANCE 2027'!$A:$A,A30))</f>
        <v>0</v>
      </c>
      <c r="E30" s="15" t="n">
        <f aca="false">IF(LEFT(A30,1)&gt;="6",0,SUMIFS('BALANCE 2027'!$I:$I,'BALANCE 2027'!$A:$A,A30))</f>
        <v>30717415</v>
      </c>
      <c r="F30" s="15" t="n">
        <f aca="false">ROUND('INVEST ET FINANCEMENT'!G$38,0)+(H30-I30)-(D30-E30)</f>
        <v>0</v>
      </c>
      <c r="G30" s="15" t="n">
        <f aca="false">ROUND('INVEST ET FINANCEMENT'!G$38,0)</f>
        <v>5000000</v>
      </c>
      <c r="H30" s="21" t="n">
        <v>0</v>
      </c>
      <c r="I30" s="15" t="n">
        <f aca="false">ROUND(E30+'INVEST ET FINANCEMENT'!G$38,0)</f>
        <v>35717415</v>
      </c>
      <c r="J30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0" s="43" t="n">
        <f aca="false">T_BAL_2028[[#This Row],[Clôture Débit]]-T_BAL_2028[[#This Row],[Clôture Crédit]]</f>
        <v>-35717415</v>
      </c>
    </row>
    <row r="31" customFormat="false" ht="15" hidden="false" customHeight="false" outlineLevel="0" collapsed="false">
      <c r="A31" s="42" t="n">
        <v>284500</v>
      </c>
      <c r="B31" s="12" t="s">
        <v>314</v>
      </c>
      <c r="C31" s="13" t="s">
        <v>306</v>
      </c>
      <c r="D31" s="15" t="n">
        <f aca="false">IF(LEFT(A31,1)&gt;="6",0,SUMIFS('BALANCE 2027'!$H:$H,'BALANCE 2027'!$A:$A,A31))</f>
        <v>0</v>
      </c>
      <c r="E31" s="15" t="n">
        <f aca="false">IF(LEFT(A31,1)&gt;="6",0,SUMIFS('BALANCE 2027'!$I:$I,'BALANCE 2027'!$A:$A,A31))</f>
        <v>410784210</v>
      </c>
      <c r="F31" s="15" t="n">
        <f aca="false">ROUND('INVEST ET FINANCEMENT'!G$41,0)+(H31-I31)-(D31-E31)</f>
        <v>0</v>
      </c>
      <c r="G31" s="15" t="n">
        <f aca="false">ROUND('INVEST ET FINANCEMENT'!G$41,0)</f>
        <v>24093971</v>
      </c>
      <c r="H31" s="21" t="n">
        <v>0</v>
      </c>
      <c r="I31" s="15" t="n">
        <f aca="false">ROUND(E31+'INVEST ET FINANCEMENT'!G$41,0)</f>
        <v>434878181</v>
      </c>
      <c r="J31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1" s="43" t="n">
        <f aca="false">T_BAL_2028[[#This Row],[Clôture Débit]]-T_BAL_2028[[#This Row],[Clôture Crédit]]</f>
        <v>-434878181</v>
      </c>
    </row>
    <row r="32" customFormat="false" ht="15" hidden="false" customHeight="false" outlineLevel="0" collapsed="false">
      <c r="A32" s="35" t="n">
        <v>401100</v>
      </c>
      <c r="B32" s="36" t="s">
        <v>315</v>
      </c>
      <c r="C32" s="37" t="s">
        <v>316</v>
      </c>
      <c r="D32" s="44" t="n">
        <f aca="false">IF(LEFT(A32,1)&gt;="6",0,SUMIFS('BALANCE 2027'!$H:$H,'BALANCE 2027'!$A:$A,A32))</f>
        <v>0</v>
      </c>
      <c r="E32" s="44" t="n">
        <f aca="false">IF(LEFT(A32,1)&gt;="6",0,SUMIFS('BALANCE 2027'!$I:$I,'BALANCE 2027'!$A:$A,A32))</f>
        <v>85229377</v>
      </c>
      <c r="F32" s="44" t="n">
        <f aca="false">ROUND(HYPOTHESES!G$64*(1+HYPOTHESES!G$10),0)+(H32-I32)-(D32-E32)</f>
        <v>560943873</v>
      </c>
      <c r="G32" s="44" t="n">
        <f aca="false">ROUND(HYPOTHESES!G$64*(1+HYPOTHESES!G$10),0)</f>
        <v>565205342</v>
      </c>
      <c r="H32" s="39" t="n">
        <v>0</v>
      </c>
      <c r="I32" s="44" t="n">
        <f aca="false">ROUND(HYPOTHESES!G$64*(1+HYPOTHESES!G$10)*HYPOTHESES!G$31/360,0)</f>
        <v>89490846</v>
      </c>
      <c r="J32" s="39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2" s="40" t="n">
        <f aca="false">T_BAL_2028[[#This Row],[Clôture Débit]]-T_BAL_2028[[#This Row],[Clôture Crédit]]</f>
        <v>-89490846</v>
      </c>
    </row>
    <row r="33" customFormat="false" ht="15" hidden="false" customHeight="false" outlineLevel="0" collapsed="false">
      <c r="A33" s="42" t="n">
        <v>409100</v>
      </c>
      <c r="B33" s="12" t="s">
        <v>317</v>
      </c>
      <c r="C33" s="13" t="s">
        <v>318</v>
      </c>
      <c r="D33" s="15" t="n">
        <f aca="false">IF(LEFT(A33,1)&gt;="6",0,SUMIFS('BALANCE 2027'!$H:$H,'BALANCE 2027'!$A:$A,A33))</f>
        <v>0</v>
      </c>
      <c r="E33" s="15" t="n">
        <f aca="false">IF(LEFT(A33,1)&gt;="6",0,SUMIFS('BALANCE 2027'!$I:$I,'BALANCE 2027'!$A:$A,A33))</f>
        <v>0</v>
      </c>
      <c r="F33" s="21" t="n">
        <f aca="false">MAX(0,(H33-I33)-(D33-E33))</f>
        <v>0</v>
      </c>
      <c r="G33" s="21" t="n">
        <f aca="false">MAX(0,(D33-E33)-(H33-I33))</f>
        <v>0</v>
      </c>
      <c r="H33" s="15" t="n">
        <f aca="false">ROUND(IF(LEFT(A33,1)&gt;="6",IF(C33="RE",IF(HYPOTHESES!$C$51=0,0,HYPOTHESES!G$51*SUMIFS('BALANCE 2024'!$H:$H,'BALANCE 2024'!$A:$A,A33)/HYPOTHESES!$C$51),IF(C33="RG",IF(HYPOTHESES!$C$52=0,0,HYPOTHESES!G$52*SUMIFS('BALANCE 2024'!$H:$H,'BALANCE 2024'!$A:$A,A33)/HYPOTHESES!$C$52),IF(C33="RH",IF(HYPOTHESES!$C$53=0,0,HYPOTHESES!G$53*SUMIFS('BALANCE 2024'!$H:$H,'BALANCE 2024'!$A:$A,A33)/HYPOTHESES!$C$53),IF(C33="RI",IF(HYPOTHESES!$C$54=0,0,HYPOTHESES!G$54*SUMIFS('BALANCE 2024'!$H:$H,'BALANCE 2024'!$A:$A,A33)/HYPOTHESES!$C$54),IF(C33="RJ",IF(HYPOTHESES!$C$55=0,0,HYPOTHESES!G$55*SUMIFS('BALANCE 2024'!$H:$H,'BALANCE 2024'!$A:$A,A33)/HYPOTHESES!$C$55),IF(C33="RK",IF(HYPOTHESES!$C$56=0,0,HYPOTHESES!G$56*SUMIFS('BALANCE 2024'!$H:$H,'BALANCE 2024'!$A:$A,A33)/HYPOTHESES!$C$56),0)))))),MAX(0,D33-E33)),0)</f>
        <v>0</v>
      </c>
      <c r="I33" s="21" t="n">
        <f aca="false">ROUND(IF(LEFT(A33,1)&gt;="6",0,MAX(0,E33-D33)),0)</f>
        <v>0</v>
      </c>
      <c r="J33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3" s="43" t="n">
        <f aca="false">T_BAL_2028[[#This Row],[Clôture Débit]]-T_BAL_2028[[#This Row],[Clôture Crédit]]</f>
        <v>0</v>
      </c>
    </row>
    <row r="34" customFormat="false" ht="15" hidden="false" customHeight="false" outlineLevel="0" collapsed="false">
      <c r="A34" s="42" t="n">
        <v>411100</v>
      </c>
      <c r="B34" s="12" t="s">
        <v>319</v>
      </c>
      <c r="C34" s="13" t="s">
        <v>320</v>
      </c>
      <c r="D34" s="15" t="n">
        <f aca="false">IF(LEFT(A34,1)&gt;="6",0,SUMIFS('BALANCE 2027'!$H:$H,'BALANCE 2027'!$A:$A,A34))</f>
        <v>534001731</v>
      </c>
      <c r="E34" s="15" t="n">
        <f aca="false">IF(LEFT(A34,1)&gt;="6",0,SUMIFS('BALANCE 2027'!$I:$I,'BALANCE 2027'!$A:$A,A34))</f>
        <v>0</v>
      </c>
      <c r="F34" s="15" t="n">
        <f aca="false">ROUND(HYPOTHESES!G$50*(1+HYPOTHESES!G$10),0)</f>
        <v>1024632763</v>
      </c>
      <c r="G34" s="15" t="n">
        <f aca="false">ROUND(HYPOTHESES!G$50*(1+HYPOTHESES!G$10),0)+(D34-E34)-(H34-I34)</f>
        <v>997932676</v>
      </c>
      <c r="H34" s="15" t="n">
        <f aca="false">ROUND(HYPOTHESES!G$50*(1+HYPOTHESES!G$10)*HYPOTHESES!G$30/360,0)</f>
        <v>560701818</v>
      </c>
      <c r="I34" s="21" t="n">
        <v>0</v>
      </c>
      <c r="J34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4" s="43" t="n">
        <f aca="false">T_BAL_2028[[#This Row],[Clôture Débit]]-T_BAL_2028[[#This Row],[Clôture Crédit]]</f>
        <v>560701818</v>
      </c>
    </row>
    <row r="35" customFormat="false" ht="15" hidden="false" customHeight="false" outlineLevel="0" collapsed="false">
      <c r="A35" s="42" t="n">
        <v>422000</v>
      </c>
      <c r="B35" s="12" t="s">
        <v>321</v>
      </c>
      <c r="C35" s="13" t="s">
        <v>322</v>
      </c>
      <c r="D35" s="15" t="n">
        <f aca="false">IF(LEFT(A35,1)&gt;="6",0,SUMIFS('BALANCE 2027'!$H:$H,'BALANCE 2027'!$A:$A,A35))</f>
        <v>0</v>
      </c>
      <c r="E35" s="15" t="n">
        <f aca="false">IF(LEFT(A35,1)&gt;="6",0,SUMIFS('BALANCE 2027'!$I:$I,'BALANCE 2027'!$A:$A,A35))</f>
        <v>7992369</v>
      </c>
      <c r="F35" s="15" t="n">
        <f aca="false">ROUND(IF(HYPOTHESES!$C$56=0,0,'BALANCE 2024'!$G$35*HYPOTHESES!G$56/HYPOTHESES!$C$56),0)+(H35-I35)-(D35-E35)</f>
        <v>100304236</v>
      </c>
      <c r="G35" s="15" t="n">
        <f aca="false">ROUND(IF(HYPOTHESES!$C$56=0,0,'BALANCE 2024'!$G$35*HYPOTHESES!G$56/HYPOTHESES!$C$56),0)</f>
        <v>100703855</v>
      </c>
      <c r="H35" s="21" t="n">
        <v>0</v>
      </c>
      <c r="I35" s="15" t="n">
        <f aca="false">ROUND(IF(HYPOTHESES!$C$56=0,0,'BALANCE 2024'!$G$35*HYPOTHESES!G$56/HYPOTHESES!$C$56)*HYPOTHESES!G$26/12,0)</f>
        <v>8391988</v>
      </c>
      <c r="J35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5" s="43" t="n">
        <f aca="false">T_BAL_2028[[#This Row],[Clôture Débit]]-T_BAL_2028[[#This Row],[Clôture Crédit]]</f>
        <v>-8391988</v>
      </c>
    </row>
    <row r="36" customFormat="false" ht="15" hidden="false" customHeight="false" outlineLevel="0" collapsed="false">
      <c r="A36" s="42" t="n">
        <v>431100</v>
      </c>
      <c r="B36" s="12" t="s">
        <v>323</v>
      </c>
      <c r="C36" s="13" t="s">
        <v>322</v>
      </c>
      <c r="D36" s="15" t="n">
        <f aca="false">IF(LEFT(A36,1)&gt;="6",0,SUMIFS('BALANCE 2027'!$H:$H,'BALANCE 2027'!$A:$A,A36))</f>
        <v>0</v>
      </c>
      <c r="E36" s="15" t="n">
        <f aca="false">IF(LEFT(A36,1)&gt;="6",0,SUMIFS('BALANCE 2027'!$I:$I,'BALANCE 2027'!$A:$A,A36))</f>
        <v>366563</v>
      </c>
      <c r="F36" s="15" t="n">
        <f aca="false">ROUND(HYPOTHESES!G$60,0)+(H36-I36)-(D36-E36)</f>
        <v>4635938</v>
      </c>
      <c r="G36" s="15" t="n">
        <f aca="false">ROUND(HYPOTHESES!G$60,0)</f>
        <v>4657500</v>
      </c>
      <c r="H36" s="21" t="n">
        <v>0</v>
      </c>
      <c r="I36" s="15" t="n">
        <f aca="false">ROUND(HYPOTHESES!G$60/12,0)</f>
        <v>388125</v>
      </c>
      <c r="J36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6" s="43" t="n">
        <f aca="false">T_BAL_2028[[#This Row],[Clôture Débit]]-T_BAL_2028[[#This Row],[Clôture Crédit]]</f>
        <v>-388125</v>
      </c>
    </row>
    <row r="37" customFormat="false" ht="15" hidden="false" customHeight="false" outlineLevel="0" collapsed="false">
      <c r="A37" s="42" t="n">
        <v>431200</v>
      </c>
      <c r="B37" s="12" t="s">
        <v>324</v>
      </c>
      <c r="C37" s="13" t="s">
        <v>322</v>
      </c>
      <c r="D37" s="15" t="n">
        <f aca="false">IF(LEFT(A37,1)&gt;="6",0,SUMIFS('BALANCE 2027'!$H:$H,'BALANCE 2027'!$A:$A,A37))</f>
        <v>0</v>
      </c>
      <c r="E37" s="15" t="n">
        <f aca="false">IF(LEFT(A37,1)&gt;="6",0,SUMIFS('BALANCE 2027'!$I:$I,'BALANCE 2027'!$A:$A,A37))</f>
        <v>318750</v>
      </c>
      <c r="F37" s="15" t="n">
        <f aca="false">ROUND(HYPOTHESES!G$61,0)+(H37-I37)-(D37-E37)</f>
        <v>4031250</v>
      </c>
      <c r="G37" s="15" t="n">
        <f aca="false">ROUND(HYPOTHESES!G$61,0)</f>
        <v>4050000</v>
      </c>
      <c r="H37" s="21" t="n">
        <v>0</v>
      </c>
      <c r="I37" s="15" t="n">
        <f aca="false">ROUND(HYPOTHESES!G$61/12,0)</f>
        <v>337500</v>
      </c>
      <c r="J37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7" s="43" t="n">
        <f aca="false">T_BAL_2028[[#This Row],[Clôture Débit]]-T_BAL_2028[[#This Row],[Clôture Crédit]]</f>
        <v>-337500</v>
      </c>
    </row>
    <row r="38" customFormat="false" ht="15" hidden="false" customHeight="false" outlineLevel="0" collapsed="false">
      <c r="A38" s="42" t="n">
        <v>431301</v>
      </c>
      <c r="B38" s="12" t="s">
        <v>325</v>
      </c>
      <c r="C38" s="13" t="s">
        <v>322</v>
      </c>
      <c r="D38" s="15" t="n">
        <f aca="false">IF(LEFT(A38,1)&gt;="6",0,SUMIFS('BALANCE 2027'!$H:$H,'BALANCE 2027'!$A:$A,A38))</f>
        <v>0</v>
      </c>
      <c r="E38" s="15" t="n">
        <f aca="false">IF(LEFT(A38,1)&gt;="6",0,SUMIFS('BALANCE 2027'!$I:$I,'BALANCE 2027'!$A:$A,A38))</f>
        <v>5807737</v>
      </c>
      <c r="F38" s="15" t="n">
        <f aca="false">ROUND(IF(HYPOTHESES!$C$59=0,0,'BALANCE 2024'!$G$38*HYPOTHESES!G$59/HYPOTHESES!$C$59),0)+(H38-I38)-(D38-E38)</f>
        <v>8500663</v>
      </c>
      <c r="G38" s="15" t="n">
        <f aca="false">ROUND(IF(HYPOTHESES!$C$59=0,0,'BALANCE 2024'!$G$38*HYPOTHESES!G$59/HYPOTHESES!$C$59),0)</f>
        <v>8791050</v>
      </c>
      <c r="H38" s="21" t="n">
        <v>0</v>
      </c>
      <c r="I38" s="15" t="n">
        <f aca="false">ROUND(IF(HYPOTHESES!$C$59=0,0,'BALANCE 2024'!$I$38*HYPOTHESES!G$59/HYPOTHESES!$C$59),0)</f>
        <v>6098124</v>
      </c>
      <c r="J38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8" s="43" t="n">
        <f aca="false">T_BAL_2028[[#This Row],[Clôture Débit]]-T_BAL_2028[[#This Row],[Clôture Crédit]]</f>
        <v>-6098124</v>
      </c>
    </row>
    <row r="39" customFormat="false" ht="15" hidden="false" customHeight="false" outlineLevel="0" collapsed="false">
      <c r="A39" s="42" t="n">
        <v>431302</v>
      </c>
      <c r="B39" s="12" t="s">
        <v>326</v>
      </c>
      <c r="C39" s="13" t="s">
        <v>322</v>
      </c>
      <c r="D39" s="15" t="n">
        <f aca="false">IF(LEFT(A39,1)&gt;="6",0,SUMIFS('BALANCE 2027'!$H:$H,'BALANCE 2027'!$A:$A,A39))</f>
        <v>0</v>
      </c>
      <c r="E39" s="15" t="n">
        <f aca="false">IF(LEFT(A39,1)&gt;="6",0,SUMIFS('BALANCE 2027'!$I:$I,'BALANCE 2027'!$A:$A,A39))</f>
        <v>1418946</v>
      </c>
      <c r="F39" s="15" t="n">
        <f aca="false">ROUND(IF(HYPOTHESES!$C$56=0,0,'BALANCE 2024'!$G$39*HYPOTHESES!G$56/HYPOTHESES!$C$56),0)+(H39-I39)-(D39-E39)</f>
        <v>14128320</v>
      </c>
      <c r="G39" s="15" t="n">
        <f aca="false">ROUND(IF(HYPOTHESES!$C$56=0,0,'BALANCE 2024'!$G$39*HYPOTHESES!G$56/HYPOTHESES!$C$56),0)</f>
        <v>14199267</v>
      </c>
      <c r="H39" s="21" t="n">
        <v>0</v>
      </c>
      <c r="I39" s="15" t="n">
        <f aca="false">ROUND(IF(HYPOTHESES!$C$56=0,0,'BALANCE 2024'!$I$39*HYPOTHESES!G$56/HYPOTHESES!$C$56),0)</f>
        <v>1489893</v>
      </c>
      <c r="J39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9" s="43" t="n">
        <f aca="false">T_BAL_2028[[#This Row],[Clôture Débit]]-T_BAL_2028[[#This Row],[Clôture Crédit]]</f>
        <v>-1489893</v>
      </c>
    </row>
    <row r="40" customFormat="false" ht="15" hidden="false" customHeight="false" outlineLevel="0" collapsed="false">
      <c r="A40" s="42" t="n">
        <v>431802</v>
      </c>
      <c r="B40" s="12" t="s">
        <v>327</v>
      </c>
      <c r="C40" s="13" t="s">
        <v>322</v>
      </c>
      <c r="D40" s="15" t="n">
        <f aca="false">IF(LEFT(A40,1)&gt;="6",0,SUMIFS('BALANCE 2027'!$H:$H,'BALANCE 2027'!$A:$A,A40))</f>
        <v>0</v>
      </c>
      <c r="E40" s="15" t="n">
        <f aca="false">IF(LEFT(A40,1)&gt;="6",0,SUMIFS('BALANCE 2027'!$I:$I,'BALANCE 2027'!$A:$A,A40))</f>
        <v>191101</v>
      </c>
      <c r="F40" s="15" t="n">
        <f aca="false">ROUND(IF(HYPOTHESES!$C$56=0,0,'BALANCE 2024'!$G$40*HYPOTHESES!G$56/HYPOTHESES!$C$56),0)+(H40-I40)-(D40-E40)</f>
        <v>470743</v>
      </c>
      <c r="G40" s="15" t="n">
        <f aca="false">ROUND(IF(HYPOTHESES!$C$56=0,0,'BALANCE 2024'!$G$40*HYPOTHESES!G$56/HYPOTHESES!$C$56),0)</f>
        <v>480298</v>
      </c>
      <c r="H40" s="21" t="n">
        <v>0</v>
      </c>
      <c r="I40" s="15" t="n">
        <f aca="false">ROUND(IF(HYPOTHESES!$C$56=0,0,'BALANCE 2024'!$I$40*HYPOTHESES!G$56/HYPOTHESES!$C$56),0)</f>
        <v>200656</v>
      </c>
      <c r="J40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0" s="43" t="n">
        <f aca="false">T_BAL_2028[[#This Row],[Clôture Débit]]-T_BAL_2028[[#This Row],[Clôture Crédit]]</f>
        <v>-200656</v>
      </c>
    </row>
    <row r="41" customFormat="false" ht="15" hidden="false" customHeight="false" outlineLevel="0" collapsed="false">
      <c r="A41" s="42" t="n">
        <v>431803</v>
      </c>
      <c r="B41" s="12" t="s">
        <v>328</v>
      </c>
      <c r="C41" s="13" t="s">
        <v>322</v>
      </c>
      <c r="D41" s="15" t="n">
        <f aca="false">IF(LEFT(A41,1)&gt;="6",0,SUMIFS('BALANCE 2027'!$H:$H,'BALANCE 2027'!$A:$A,A41))</f>
        <v>0</v>
      </c>
      <c r="E41" s="15" t="n">
        <f aca="false">IF(LEFT(A41,1)&gt;="6",0,SUMIFS('BALANCE 2027'!$I:$I,'BALANCE 2027'!$A:$A,A41))</f>
        <v>42500</v>
      </c>
      <c r="F41" s="15" t="n">
        <f aca="false">ROUND(HYPOTHESES!G$62,0)+(H41-I41)-(D41-E41)</f>
        <v>537500</v>
      </c>
      <c r="G41" s="15" t="n">
        <f aca="false">ROUND(HYPOTHESES!G$62,0)</f>
        <v>540000</v>
      </c>
      <c r="H41" s="21" t="n">
        <v>0</v>
      </c>
      <c r="I41" s="15" t="n">
        <f aca="false">ROUND(HYPOTHESES!G$62/12,0)</f>
        <v>45000</v>
      </c>
      <c r="J41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1" s="43" t="n">
        <f aca="false">T_BAL_2028[[#This Row],[Clôture Débit]]-T_BAL_2028[[#This Row],[Clôture Crédit]]</f>
        <v>-45000</v>
      </c>
    </row>
    <row r="42" customFormat="false" ht="15" hidden="false" customHeight="false" outlineLevel="0" collapsed="false">
      <c r="A42" s="42" t="n">
        <v>433300</v>
      </c>
      <c r="B42" s="12" t="s">
        <v>329</v>
      </c>
      <c r="C42" s="13" t="s">
        <v>322</v>
      </c>
      <c r="D42" s="15" t="n">
        <f aca="false">IF(LEFT(A42,1)&gt;="6",0,SUMIFS('BALANCE 2027'!$H:$H,'BALANCE 2027'!$A:$A,A42))</f>
        <v>0</v>
      </c>
      <c r="E42" s="15" t="n">
        <f aca="false">IF(LEFT(A42,1)&gt;="6",0,SUMIFS('BALANCE 2027'!$I:$I,'BALANCE 2027'!$A:$A,A42))</f>
        <v>0</v>
      </c>
      <c r="F42" s="15" t="n">
        <f aca="false">ROUND(IF(HYPOTHESES!$C$56=0,0,'BALANCE 2024'!$G$42*HYPOTHESES!G$56/HYPOTHESES!$C$56),0)+(H42-I42)-(D42-E42)</f>
        <v>0</v>
      </c>
      <c r="G42" s="15" t="n">
        <f aca="false">ROUND(IF(HYPOTHESES!$C$56=0,0,'BALANCE 2024'!$G$42*HYPOTHESES!G$56/HYPOTHESES!$C$56),0)</f>
        <v>0</v>
      </c>
      <c r="H42" s="21" t="n">
        <v>0</v>
      </c>
      <c r="I42" s="15" t="n">
        <f aca="false">ROUND(IF(HYPOTHESES!$C$56=0,0,'BALANCE 2024'!$I$42*HYPOTHESES!G$56/HYPOTHESES!$C$56),0)</f>
        <v>0</v>
      </c>
      <c r="J42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2" s="43" t="n">
        <f aca="false">T_BAL_2028[[#This Row],[Clôture Débit]]-T_BAL_2028[[#This Row],[Clôture Crédit]]</f>
        <v>0</v>
      </c>
    </row>
    <row r="43" customFormat="false" ht="15" hidden="false" customHeight="false" outlineLevel="0" collapsed="false">
      <c r="A43" s="42" t="n">
        <v>441000</v>
      </c>
      <c r="B43" s="12" t="s">
        <v>330</v>
      </c>
      <c r="C43" s="13" t="s">
        <v>322</v>
      </c>
      <c r="D43" s="15" t="n">
        <f aca="false">IF(LEFT(A43,1)&gt;="6",0,SUMIFS('BALANCE 2027'!$H:$H,'BALANCE 2027'!$A:$A,A43))</f>
        <v>0</v>
      </c>
      <c r="E43" s="15" t="n">
        <f aca="false">IF(LEFT(A43,1)&gt;="6",0,SUMIFS('BALANCE 2027'!$I:$I,'BALANCE 2027'!$A:$A,A43))</f>
        <v>30373792</v>
      </c>
      <c r="F43" s="15" t="n">
        <f aca="false">ROUND(HYPOTHESES!G$72,0)+(H43-I43)-(D43-E43)</f>
        <v>30373792</v>
      </c>
      <c r="G43" s="15" t="n">
        <f aca="false">ROUND(HYPOTHESES!G$72,0)</f>
        <v>33384003</v>
      </c>
      <c r="H43" s="21" t="n">
        <v>0</v>
      </c>
      <c r="I43" s="15" t="n">
        <f aca="false">ROUND(HYPOTHESES!G$72,0)</f>
        <v>33384003</v>
      </c>
      <c r="J43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3" s="43" t="n">
        <f aca="false">T_BAL_2028[[#This Row],[Clôture Débit]]-T_BAL_2028[[#This Row],[Clôture Crédit]]</f>
        <v>-33384003</v>
      </c>
    </row>
    <row r="44" customFormat="false" ht="15" hidden="false" customHeight="false" outlineLevel="0" collapsed="false">
      <c r="A44" s="42" t="n">
        <v>442800</v>
      </c>
      <c r="B44" s="12" t="s">
        <v>331</v>
      </c>
      <c r="C44" s="13" t="s">
        <v>322</v>
      </c>
      <c r="D44" s="15" t="n">
        <f aca="false">IF(LEFT(A44,1)&gt;="6",0,SUMIFS('BALANCE 2027'!$H:$H,'BALANCE 2027'!$A:$A,A44))</f>
        <v>0</v>
      </c>
      <c r="E44" s="15" t="n">
        <f aca="false">IF(LEFT(A44,1)&gt;="6",0,SUMIFS('BALANCE 2027'!$I:$I,'BALANCE 2027'!$A:$A,A44))</f>
        <v>855586</v>
      </c>
      <c r="F44" s="15" t="n">
        <f aca="false">ROUND(IF(HYPOTHESES!$C$54=0,0,'BALANCE 2024'!$G$44*HYPOTHESES!G$54/HYPOTHESES!$C$54),0)+(H44-I44)-(D44-E44)</f>
        <v>855586</v>
      </c>
      <c r="G44" s="15" t="n">
        <f aca="false">ROUND(IF(HYPOTHESES!$C$54=0,0,'BALANCE 2024'!$G$44*HYPOTHESES!G$54/HYPOTHESES!$C$54),0)</f>
        <v>898365</v>
      </c>
      <c r="H44" s="21" t="n">
        <v>0</v>
      </c>
      <c r="I44" s="15" t="n">
        <f aca="false">ROUND(IF(HYPOTHESES!$C$54=0,0,'BALANCE 2024'!$I$44*HYPOTHESES!G$54/HYPOTHESES!$C$54),0)</f>
        <v>898365</v>
      </c>
      <c r="J44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4" s="43" t="n">
        <f aca="false">T_BAL_2028[[#This Row],[Clôture Débit]]-T_BAL_2028[[#This Row],[Clôture Crédit]]</f>
        <v>-898365</v>
      </c>
    </row>
    <row r="45" customFormat="false" ht="15" hidden="false" customHeight="false" outlineLevel="0" collapsed="false">
      <c r="A45" s="42" t="n">
        <v>442801</v>
      </c>
      <c r="B45" s="12" t="s">
        <v>332</v>
      </c>
      <c r="C45" s="13" t="s">
        <v>322</v>
      </c>
      <c r="D45" s="15" t="n">
        <f aca="false">IF(LEFT(A45,1)&gt;="6",0,SUMIFS('BALANCE 2027'!$H:$H,'BALANCE 2027'!$A:$A,A45))</f>
        <v>0</v>
      </c>
      <c r="E45" s="15" t="n">
        <f aca="false">IF(LEFT(A45,1)&gt;="6",0,SUMIFS('BALANCE 2027'!$I:$I,'BALANCE 2027'!$A:$A,A45))</f>
        <v>122699</v>
      </c>
      <c r="F45" s="15" t="n">
        <f aca="false">ROUND(IF(HYPOTHESES!$C$54=0,0,'BALANCE 2024'!$G$45*HYPOTHESES!G$54/HYPOTHESES!$C$54),0)+(H45-I45)-(D45-E45)</f>
        <v>122699</v>
      </c>
      <c r="G45" s="15" t="n">
        <f aca="false">ROUND(IF(HYPOTHESES!$C$54=0,0,'BALANCE 2024'!$G$45*HYPOTHESES!G$54/HYPOTHESES!$C$54),0)</f>
        <v>128834</v>
      </c>
      <c r="H45" s="21" t="n">
        <v>0</v>
      </c>
      <c r="I45" s="15" t="n">
        <f aca="false">ROUND(IF(HYPOTHESES!$C$54=0,0,'BALANCE 2024'!$I$45*HYPOTHESES!G$54/HYPOTHESES!$C$54),0)</f>
        <v>128834</v>
      </c>
      <c r="J45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5" s="43" t="n">
        <f aca="false">T_BAL_2028[[#This Row],[Clôture Débit]]-T_BAL_2028[[#This Row],[Clôture Crédit]]</f>
        <v>-128834</v>
      </c>
    </row>
    <row r="46" customFormat="false" ht="15" hidden="false" customHeight="false" outlineLevel="0" collapsed="false">
      <c r="A46" s="42" t="n">
        <v>442802</v>
      </c>
      <c r="B46" s="12" t="s">
        <v>333</v>
      </c>
      <c r="C46" s="13" t="s">
        <v>322</v>
      </c>
      <c r="D46" s="15" t="n">
        <f aca="false">IF(LEFT(A46,1)&gt;="6",0,SUMIFS('BALANCE 2027'!$H:$H,'BALANCE 2027'!$A:$A,A46))</f>
        <v>0</v>
      </c>
      <c r="E46" s="15" t="n">
        <f aca="false">IF(LEFT(A46,1)&gt;="6",0,SUMIFS('BALANCE 2027'!$I:$I,'BALANCE 2027'!$A:$A,A46))</f>
        <v>184056</v>
      </c>
      <c r="F46" s="15" t="n">
        <f aca="false">ROUND(IF(HYPOTHESES!$C$54=0,0,'BALANCE 2024'!$G$46*HYPOTHESES!G$54/HYPOTHESES!$C$54),0)+(H46-I46)-(D46-E46)</f>
        <v>184056</v>
      </c>
      <c r="G46" s="15" t="n">
        <f aca="false">ROUND(IF(HYPOTHESES!$C$54=0,0,'BALANCE 2024'!$G$46*HYPOTHESES!G$54/HYPOTHESES!$C$54),0)</f>
        <v>193259</v>
      </c>
      <c r="H46" s="21" t="n">
        <v>0</v>
      </c>
      <c r="I46" s="15" t="n">
        <f aca="false">ROUND(IF(HYPOTHESES!$C$54=0,0,'BALANCE 2024'!$I$46*HYPOTHESES!G$54/HYPOTHESES!$C$54),0)</f>
        <v>193259</v>
      </c>
      <c r="J46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6" s="43" t="n">
        <f aca="false">T_BAL_2028[[#This Row],[Clôture Débit]]-T_BAL_2028[[#This Row],[Clôture Crédit]]</f>
        <v>-193259</v>
      </c>
    </row>
    <row r="47" customFormat="false" ht="15" hidden="false" customHeight="false" outlineLevel="0" collapsed="false">
      <c r="A47" s="42" t="n">
        <v>442803</v>
      </c>
      <c r="B47" s="12" t="s">
        <v>334</v>
      </c>
      <c r="C47" s="13" t="s">
        <v>322</v>
      </c>
      <c r="D47" s="15" t="n">
        <f aca="false">IF(LEFT(A47,1)&gt;="6",0,SUMIFS('BALANCE 2027'!$H:$H,'BALANCE 2027'!$A:$A,A47))</f>
        <v>0</v>
      </c>
      <c r="E47" s="15" t="n">
        <f aca="false">IF(LEFT(A47,1)&gt;="6",0,SUMIFS('BALANCE 2027'!$I:$I,'BALANCE 2027'!$A:$A,A47))</f>
        <v>184055</v>
      </c>
      <c r="F47" s="15" t="n">
        <f aca="false">ROUND(IF(HYPOTHESES!$C$54=0,0,'BALANCE 2024'!$G$47*HYPOTHESES!G$54/HYPOTHESES!$C$54),0)+(H47-I47)-(D47-E47)</f>
        <v>184055</v>
      </c>
      <c r="G47" s="15" t="n">
        <f aca="false">ROUND(IF(HYPOTHESES!$C$54=0,0,'BALANCE 2024'!$G$47*HYPOTHESES!G$54/HYPOTHESES!$C$54),0)</f>
        <v>193258</v>
      </c>
      <c r="H47" s="21" t="n">
        <v>0</v>
      </c>
      <c r="I47" s="15" t="n">
        <f aca="false">ROUND(IF(HYPOTHESES!$C$54=0,0,'BALANCE 2024'!$I$47*HYPOTHESES!G$54/HYPOTHESES!$C$54),0)</f>
        <v>193258</v>
      </c>
      <c r="J47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7" s="43" t="n">
        <f aca="false">T_BAL_2028[[#This Row],[Clôture Débit]]-T_BAL_2028[[#This Row],[Clôture Crédit]]</f>
        <v>-193258</v>
      </c>
    </row>
    <row r="48" customFormat="false" ht="15" hidden="false" customHeight="false" outlineLevel="0" collapsed="false">
      <c r="A48" s="42" t="n">
        <v>442820</v>
      </c>
      <c r="B48" s="12" t="s">
        <v>335</v>
      </c>
      <c r="C48" s="13" t="s">
        <v>322</v>
      </c>
      <c r="D48" s="15" t="n">
        <f aca="false">IF(LEFT(A48,1)&gt;="6",0,SUMIFS('BALANCE 2027'!$H:$H,'BALANCE 2027'!$A:$A,A48))</f>
        <v>0</v>
      </c>
      <c r="E48" s="15" t="n">
        <f aca="false">IF(LEFT(A48,1)&gt;="6",0,SUMIFS('BALANCE 2027'!$I:$I,'BALANCE 2027'!$A:$A,A48))</f>
        <v>433430</v>
      </c>
      <c r="F48" s="15" t="n">
        <f aca="false">ROUND(IF(HYPOTHESES!$C$54=0,0,'BALANCE 2024'!$G$48*HYPOTHESES!G$54/HYPOTHESES!$C$54),0)+(H48-I48)-(D48-E48)</f>
        <v>1001629</v>
      </c>
      <c r="G48" s="15" t="n">
        <f aca="false">ROUND(IF(HYPOTHESES!$C$54=0,0,'BALANCE 2024'!$G$48*HYPOTHESES!G$54/HYPOTHESES!$C$54),0)</f>
        <v>1023300</v>
      </c>
      <c r="H48" s="21" t="n">
        <v>0</v>
      </c>
      <c r="I48" s="15" t="n">
        <f aca="false">ROUND(IF(HYPOTHESES!$C$54=0,0,'BALANCE 2024'!$I$48*HYPOTHESES!G$54/HYPOTHESES!$C$54),0)</f>
        <v>455101</v>
      </c>
      <c r="J48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8" s="43" t="n">
        <f aca="false">T_BAL_2028[[#This Row],[Clôture Débit]]-T_BAL_2028[[#This Row],[Clôture Crédit]]</f>
        <v>-455101</v>
      </c>
    </row>
    <row r="49" customFormat="false" ht="15" hidden="false" customHeight="false" outlineLevel="0" collapsed="false">
      <c r="A49" s="42" t="n">
        <v>442840</v>
      </c>
      <c r="B49" s="12" t="s">
        <v>336</v>
      </c>
      <c r="C49" s="13" t="s">
        <v>322</v>
      </c>
      <c r="D49" s="15" t="n">
        <f aca="false">IF(LEFT(A49,1)&gt;="6",0,SUMIFS('BALANCE 2027'!$H:$H,'BALANCE 2027'!$A:$A,A49))</f>
        <v>0</v>
      </c>
      <c r="E49" s="15" t="n">
        <f aca="false">IF(LEFT(A49,1)&gt;="6",0,SUMIFS('BALANCE 2027'!$I:$I,'BALANCE 2027'!$A:$A,A49))</f>
        <v>5895240</v>
      </c>
      <c r="F49" s="15" t="n">
        <f aca="false">ROUND(IF(HYPOTHESES!$C$54=0,0,'BALANCE 2024'!$G$49*HYPOTHESES!G$54/HYPOTHESES!$C$54),0)+(H49-I49)-(D49-E49)</f>
        <v>10915495</v>
      </c>
      <c r="G49" s="15" t="n">
        <f aca="false">ROUND(IF(HYPOTHESES!$C$54=0,0,'BALANCE 2024'!$G$49*HYPOTHESES!G$54/HYPOTHESES!$C$54),0)</f>
        <v>11210257</v>
      </c>
      <c r="H49" s="21" t="n">
        <v>0</v>
      </c>
      <c r="I49" s="15" t="n">
        <f aca="false">ROUND(IF(HYPOTHESES!$C$54=0,0,'BALANCE 2024'!$I$49*HYPOTHESES!G$54/HYPOTHESES!$C$54),0)</f>
        <v>6190002</v>
      </c>
      <c r="J49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9" s="43" t="n">
        <f aca="false">T_BAL_2028[[#This Row],[Clôture Débit]]-T_BAL_2028[[#This Row],[Clôture Crédit]]</f>
        <v>-6190002</v>
      </c>
    </row>
    <row r="50" customFormat="false" ht="15" hidden="false" customHeight="false" outlineLevel="0" collapsed="false">
      <c r="A50" s="42" t="n">
        <v>443300</v>
      </c>
      <c r="B50" s="12" t="s">
        <v>337</v>
      </c>
      <c r="C50" s="13" t="s">
        <v>322</v>
      </c>
      <c r="D50" s="15" t="n">
        <f aca="false">IF(LEFT(A50,1)&gt;="6",0,SUMIFS('BALANCE 2027'!$H:$H,'BALANCE 2027'!$A:$A,A50))</f>
        <v>0</v>
      </c>
      <c r="E50" s="15" t="n">
        <f aca="false">IF(LEFT(A50,1)&gt;="6",0,SUMIFS('BALANCE 2027'!$I:$I,'BALANCE 2027'!$A:$A,A50))</f>
        <v>61568990</v>
      </c>
      <c r="F50" s="15" t="n">
        <f aca="false">ROUND(HYPOTHESES!G$50*HYPOTHESES!G$10,0)+(H50-I50)-(D50-E50)</f>
        <v>153221464</v>
      </c>
      <c r="G50" s="15" t="n">
        <f aca="false">ROUND(HYPOTHESES!G$50*HYPOTHESES!G$10,0)</f>
        <v>156299913</v>
      </c>
      <c r="H50" s="21" t="n">
        <v>0</v>
      </c>
      <c r="I50" s="15" t="n">
        <f aca="false">ROUND(IF('BALANCE 2024'!$H$34=0,0,'BALANCE 2024'!$I$50*H34/'BALANCE 2024'!$H$34),0)</f>
        <v>64647439</v>
      </c>
      <c r="J50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0" s="43" t="n">
        <f aca="false">T_BAL_2028[[#This Row],[Clôture Débit]]-T_BAL_2028[[#This Row],[Clôture Crédit]]</f>
        <v>-64647439</v>
      </c>
    </row>
    <row r="51" customFormat="false" ht="15" hidden="false" customHeight="false" outlineLevel="0" collapsed="false">
      <c r="A51" s="42" t="n">
        <v>446000</v>
      </c>
      <c r="B51" s="12" t="s">
        <v>338</v>
      </c>
      <c r="C51" s="13" t="s">
        <v>322</v>
      </c>
      <c r="D51" s="15" t="n">
        <f aca="false">IF(LEFT(A51,1)&gt;="6",0,SUMIFS('BALANCE 2027'!$H:$H,'BALANCE 2027'!$A:$A,A51))</f>
        <v>0</v>
      </c>
      <c r="E51" s="15" t="n">
        <f aca="false">IF(LEFT(A51,1)&gt;="6",0,SUMIFS('BALANCE 2027'!$I:$I,'BALANCE 2027'!$A:$A,A51))</f>
        <v>235810</v>
      </c>
      <c r="F51" s="15" t="n">
        <f aca="false">ROUND(IF(HYPOTHESES!$C$54=0,0,'BALANCE 2024'!$G$51*HYPOTHESES!G$54/HYPOTHESES!$C$54),0)+(H51-I51)-(D51-E51)</f>
        <v>250276</v>
      </c>
      <c r="G51" s="15" t="n">
        <f aca="false">ROUND(IF(HYPOTHESES!$C$54=0,0,'BALANCE 2024'!$G$51*HYPOTHESES!G$54/HYPOTHESES!$C$54),0)</f>
        <v>262066</v>
      </c>
      <c r="H51" s="21" t="n">
        <v>0</v>
      </c>
      <c r="I51" s="15" t="n">
        <f aca="false">ROUND(IF(HYPOTHESES!$C$54=0,0,'BALANCE 2024'!$I$51*HYPOTHESES!G$54/HYPOTHESES!$C$54),0)</f>
        <v>247600</v>
      </c>
      <c r="J51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1" s="43" t="n">
        <f aca="false">T_BAL_2028[[#This Row],[Clôture Débit]]-T_BAL_2028[[#This Row],[Clôture Crédit]]</f>
        <v>-247600</v>
      </c>
    </row>
    <row r="52" customFormat="false" ht="15" hidden="false" customHeight="false" outlineLevel="0" collapsed="false">
      <c r="A52" s="42" t="n">
        <v>447201</v>
      </c>
      <c r="B52" s="12" t="s">
        <v>339</v>
      </c>
      <c r="C52" s="13" t="s">
        <v>322</v>
      </c>
      <c r="D52" s="15" t="n">
        <f aca="false">IF(LEFT(A52,1)&gt;="6",0,SUMIFS('BALANCE 2027'!$H:$H,'BALANCE 2027'!$A:$A,A52))</f>
        <v>0</v>
      </c>
      <c r="E52" s="15" t="n">
        <f aca="false">IF(LEFT(A52,1)&gt;="6",0,SUMIFS('BALANCE 2027'!$I:$I,'BALANCE 2027'!$A:$A,A52))</f>
        <v>1925480</v>
      </c>
      <c r="F52" s="15" t="n">
        <f aca="false">ROUND(IF(HYPOTHESES!$C$56=0,0,'BALANCE 2024'!$G$52*HYPOTHESES!G$56/HYPOTHESES!$C$56),0)+(H52-I52)-(D52-E52)</f>
        <v>7215739</v>
      </c>
      <c r="G52" s="15" t="n">
        <f aca="false">ROUND(IF(HYPOTHESES!$C$56=0,0,'BALANCE 2024'!$G$52*HYPOTHESES!G$56/HYPOTHESES!$C$56),0)</f>
        <v>7312013</v>
      </c>
      <c r="H52" s="21" t="n">
        <v>0</v>
      </c>
      <c r="I52" s="15" t="n">
        <f aca="false">ROUND(IF(HYPOTHESES!$C$56=0,0,'BALANCE 2024'!$I$52*HYPOTHESES!G$56/HYPOTHESES!$C$56),0)</f>
        <v>2021754</v>
      </c>
      <c r="J52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2" s="43" t="n">
        <f aca="false">T_BAL_2028[[#This Row],[Clôture Débit]]-T_BAL_2028[[#This Row],[Clôture Crédit]]</f>
        <v>-2021754</v>
      </c>
    </row>
    <row r="53" customFormat="false" ht="15" hidden="false" customHeight="false" outlineLevel="0" collapsed="false">
      <c r="A53" s="42" t="n">
        <v>462100</v>
      </c>
      <c r="B53" s="12" t="s">
        <v>340</v>
      </c>
      <c r="C53" s="13" t="s">
        <v>341</v>
      </c>
      <c r="D53" s="15" t="n">
        <f aca="false">IF(LEFT(A53,1)&gt;="6",0,SUMIFS('BALANCE 2027'!$H:$H,'BALANCE 2027'!$A:$A,A53))</f>
        <v>0</v>
      </c>
      <c r="E53" s="15" t="n">
        <f aca="false">IF(LEFT(A53,1)&gt;="6",0,SUMIFS('BALANCE 2027'!$I:$I,'BALANCE 2027'!$A:$A,A53))</f>
        <v>0</v>
      </c>
      <c r="F53" s="15" t="n">
        <f aca="false">ROUND('INVEST ET FINANCEMENT'!G$54,0)+(H53-I53)-(D53-E53)</f>
        <v>0</v>
      </c>
      <c r="G53" s="15" t="n">
        <f aca="false">ROUND('INVEST ET FINANCEMENT'!G$54,0)</f>
        <v>0</v>
      </c>
      <c r="H53" s="21" t="n">
        <v>0</v>
      </c>
      <c r="I53" s="15" t="n">
        <f aca="false">ROUND('INVEST ET FINANCEMENT'!G$55,0)</f>
        <v>0</v>
      </c>
      <c r="J53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3" s="43" t="n">
        <f aca="false">T_BAL_2028[[#This Row],[Clôture Débit]]-T_BAL_2028[[#This Row],[Clôture Crédit]]</f>
        <v>0</v>
      </c>
    </row>
    <row r="54" customFormat="false" ht="15" hidden="false" customHeight="false" outlineLevel="0" collapsed="false">
      <c r="A54" s="42" t="n">
        <v>471200</v>
      </c>
      <c r="B54" s="12" t="s">
        <v>342</v>
      </c>
      <c r="C54" s="13" t="s">
        <v>343</v>
      </c>
      <c r="D54" s="15" t="n">
        <f aca="false">IF(LEFT(A54,1)&gt;="6",0,SUMIFS('BALANCE 2027'!$H:$H,'BALANCE 2027'!$A:$A,A54))</f>
        <v>0</v>
      </c>
      <c r="E54" s="15" t="n">
        <f aca="false">IF(LEFT(A54,1)&gt;="6",0,SUMIFS('BALANCE 2027'!$I:$I,'BALANCE 2027'!$A:$A,A54))</f>
        <v>0</v>
      </c>
      <c r="F54" s="21" t="n">
        <f aca="false">MAX(0,(H54-I54)-(D54-E54))</f>
        <v>-0</v>
      </c>
      <c r="G54" s="21" t="n">
        <f aca="false">MAX(0,(D54-E54)-(H54-I54))</f>
        <v>0</v>
      </c>
      <c r="H54" s="15" t="n">
        <f aca="false">ROUND(MAX(0,-(E54-D54+HYPOTHESES!G$39)),0)</f>
        <v>-0</v>
      </c>
      <c r="I54" s="15" t="n">
        <f aca="false">ROUND(MAX(0,(E54-D54+HYPOTHESES!G$39)),0)</f>
        <v>0</v>
      </c>
      <c r="J54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4" s="43" t="n">
        <f aca="false">T_BAL_2028[[#This Row],[Clôture Débit]]-T_BAL_2028[[#This Row],[Clôture Crédit]]</f>
        <v>-0</v>
      </c>
    </row>
    <row r="55" customFormat="false" ht="15" hidden="false" customHeight="false" outlineLevel="0" collapsed="false">
      <c r="A55" s="42" t="n">
        <v>481200</v>
      </c>
      <c r="B55" s="12" t="s">
        <v>344</v>
      </c>
      <c r="C55" s="13" t="s">
        <v>345</v>
      </c>
      <c r="D55" s="15" t="n">
        <f aca="false">IF(LEFT(A55,1)&gt;="6",0,SUMIFS('BALANCE 2027'!$H:$H,'BALANCE 2027'!$A:$A,A55))</f>
        <v>0</v>
      </c>
      <c r="E55" s="15" t="n">
        <f aca="false">IF(LEFT(A55,1)&gt;="6",0,SUMIFS('BALANCE 2027'!$I:$I,'BALANCE 2027'!$A:$A,A55))</f>
        <v>65894730</v>
      </c>
      <c r="F55" s="15" t="n">
        <f aca="false">ROUND('INVEST ET FINANCEMENT'!G$42,0)+(H55-I55)-(D55-E55)</f>
        <v>87023754</v>
      </c>
      <c r="G55" s="15" t="n">
        <f aca="false">ROUND('INVEST ET FINANCEMENT'!G$42,0)</f>
        <v>75000000</v>
      </c>
      <c r="H55" s="21" t="n">
        <v>0</v>
      </c>
      <c r="I55" s="15" t="n">
        <f aca="false">ROUND(HYPOTHESES!G$36,0)</f>
        <v>53870976</v>
      </c>
      <c r="J55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5" s="43" t="n">
        <f aca="false">T_BAL_2028[[#This Row],[Clôture Débit]]-T_BAL_2028[[#This Row],[Clôture Crédit]]</f>
        <v>-53870976</v>
      </c>
    </row>
    <row r="56" customFormat="false" ht="15" hidden="false" customHeight="false" outlineLevel="0" collapsed="false">
      <c r="A56" s="35" t="n">
        <v>521101</v>
      </c>
      <c r="B56" s="36" t="s">
        <v>346</v>
      </c>
      <c r="C56" s="37" t="s">
        <v>347</v>
      </c>
      <c r="D56" s="44" t="n">
        <f aca="false">IF(LEFT(A56,1)&gt;="6",0,SUMIFS('BALANCE 2027'!$H:$H,'BALANCE 2027'!$A:$A,A56))</f>
        <v>410314803</v>
      </c>
      <c r="E56" s="44" t="n">
        <f aca="false">IF(LEFT(A56,1)&gt;="6",0,SUMIFS('BALANCE 2027'!$I:$I,'BALANCE 2027'!$A:$A,A56))</f>
        <v>0</v>
      </c>
      <c r="F56" s="44" t="n">
        <f aca="false">ROUND(G34+HYPOTHESES!G$66+'INVEST ET FINANCEMENT'!G$48+'INVEST ET FINANCEMENT'!G$52,0)</f>
        <v>998781270</v>
      </c>
      <c r="G56" s="44" t="n">
        <f aca="false">ROUND(G34+HYPOTHESES!G$66+'INVEST ET FINANCEMENT'!G$48+'INVEST ET FINANCEMENT'!G$52,0)+(D56-E56)-(H56-I56)</f>
        <v>906645743</v>
      </c>
      <c r="H56" s="39" t="n">
        <f aca="false">ROUND(MAX(0,(H7-(H57-I57))),0)</f>
        <v>502450330</v>
      </c>
      <c r="I56" s="39" t="n">
        <f aca="false">ROUND(MAX(0,-(H7-(H57-I57))),0)</f>
        <v>0</v>
      </c>
      <c r="J56" s="39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6" s="40" t="n">
        <v>0</v>
      </c>
    </row>
    <row r="57" customFormat="false" ht="15" hidden="false" customHeight="false" outlineLevel="0" collapsed="false">
      <c r="A57" s="42" t="n">
        <v>571101</v>
      </c>
      <c r="B57" s="12" t="s">
        <v>348</v>
      </c>
      <c r="C57" s="13" t="s">
        <v>349</v>
      </c>
      <c r="D57" s="15" t="n">
        <f aca="false">IF(LEFT(A57,1)&gt;="6",0,SUMIFS('BALANCE 2027'!$H:$H,'BALANCE 2027'!$A:$A,A57))</f>
        <v>10501320</v>
      </c>
      <c r="E57" s="15" t="n">
        <f aca="false">IF(LEFT(A57,1)&gt;="6",0,SUMIFS('BALANCE 2027'!$I:$I,'BALANCE 2027'!$A:$A,A57))</f>
        <v>0</v>
      </c>
      <c r="F57" s="21" t="n">
        <f aca="false">ROUND(H9,0)</f>
        <v>181329149</v>
      </c>
      <c r="G57" s="21" t="n">
        <f aca="false">ROUND(H9,0)+(D57-E57)-(H57-I57)</f>
        <v>179515858</v>
      </c>
      <c r="H57" s="15" t="n">
        <f aca="false">ROUND(MAX(0,((D57-E57)+H9*(1-HYPOTHESES!G$38))),0)</f>
        <v>12314611</v>
      </c>
      <c r="I57" s="15" t="n">
        <f aca="false">ROUND(MAX(0,-((D57-E57)+H9*(1-HYPOTHESES!G$38))),0)</f>
        <v>0</v>
      </c>
      <c r="J57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7" s="43" t="n">
        <v>0</v>
      </c>
    </row>
    <row r="58" customFormat="false" ht="15" hidden="false" customHeight="false" outlineLevel="0" collapsed="false">
      <c r="A58" s="42" t="n">
        <v>585000</v>
      </c>
      <c r="B58" s="12" t="s">
        <v>350</v>
      </c>
      <c r="C58" s="13" t="s">
        <v>349</v>
      </c>
      <c r="D58" s="15" t="n">
        <f aca="false">IF(LEFT(A58,1)&gt;="6",0,SUMIFS('BALANCE 2027'!$H:$H,'BALANCE 2027'!$A:$A,A58))</f>
        <v>0</v>
      </c>
      <c r="E58" s="15" t="n">
        <f aca="false">IF(LEFT(A58,1)&gt;="6",0,SUMIFS('BALANCE 2027'!$I:$I,'BALANCE 2027'!$A:$A,A58))</f>
        <v>0</v>
      </c>
      <c r="F58" s="21" t="n">
        <f aca="false">ROUND(H9,0)</f>
        <v>181329149</v>
      </c>
      <c r="G58" s="21" t="n">
        <f aca="false">ROUND(H9,0)+(D58-E58)-(H58-I58)</f>
        <v>181329149</v>
      </c>
      <c r="H58" s="15" t="n">
        <f aca="false">ROUND(IF(LEFT(A58,1)&gt;="6",IF(C58="RE",IF(HYPOTHESES!$C$51=0,0,HYPOTHESES!G$51*SUMIFS('BALANCE 2024'!$H:$H,'BALANCE 2024'!$A:$A,A58)/HYPOTHESES!$C$51),IF(C58="RG",IF(HYPOTHESES!$C$52=0,0,HYPOTHESES!G$52*SUMIFS('BALANCE 2024'!$H:$H,'BALANCE 2024'!$A:$A,A58)/HYPOTHESES!$C$52),IF(C58="RH",IF(HYPOTHESES!$C$53=0,0,HYPOTHESES!G$53*SUMIFS('BALANCE 2024'!$H:$H,'BALANCE 2024'!$A:$A,A58)/HYPOTHESES!$C$53),IF(C58="RI",IF(HYPOTHESES!$C$54=0,0,HYPOTHESES!G$54*SUMIFS('BALANCE 2024'!$H:$H,'BALANCE 2024'!$A:$A,A58)/HYPOTHESES!$C$54),IF(C58="RJ",IF(HYPOTHESES!$C$55=0,0,HYPOTHESES!G$55*SUMIFS('BALANCE 2024'!$H:$H,'BALANCE 2024'!$A:$A,A58)/HYPOTHESES!$C$55),IF(C58="RK",IF(HYPOTHESES!$C$56=0,0,HYPOTHESES!G$56*SUMIFS('BALANCE 2024'!$H:$H,'BALANCE 2024'!$A:$A,A58)/HYPOTHESES!$C$56),0)))))),MAX(0,D58-E58)),0)</f>
        <v>0</v>
      </c>
      <c r="I58" s="21" t="n">
        <f aca="false">ROUND(IF(LEFT(A58,1)&gt;="6",0,MAX(0,E58-D58)),0)</f>
        <v>0</v>
      </c>
      <c r="J58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8" s="43" t="n">
        <f aca="false">T_BAL_2028[[#This Row],[Clôture Débit]]-T_BAL_2028[[#This Row],[Clôture Crédit]]</f>
        <v>0</v>
      </c>
    </row>
    <row r="59" customFormat="false" ht="15" hidden="false" customHeight="false" outlineLevel="0" collapsed="false">
      <c r="A59" s="35" t="n">
        <v>604300</v>
      </c>
      <c r="B59" s="36" t="s">
        <v>351</v>
      </c>
      <c r="C59" s="37" t="s">
        <v>352</v>
      </c>
      <c r="D59" s="44" t="n">
        <f aca="false">IF(LEFT(A59,1)&gt;="6",0,SUMIFS('BALANCE 2027'!$H:$H,'BALANCE 2027'!$A:$A,A59))</f>
        <v>0</v>
      </c>
      <c r="E59" s="44" t="n">
        <f aca="false">IF(LEFT(A59,1)&gt;="6",0,SUMIFS('BALANCE 2027'!$I:$I,'BALANCE 2027'!$A:$A,A59))</f>
        <v>0</v>
      </c>
      <c r="F59" s="39" t="n">
        <f aca="false">MAX(0,(H59-I59)-(D59-E59))</f>
        <v>1537709</v>
      </c>
      <c r="G59" s="39" t="n">
        <f aca="false">MAX(0,(D59-E59)-(H59-I59))</f>
        <v>0</v>
      </c>
      <c r="H59" s="44" t="n">
        <f aca="false">ROUND(IF(LEFT(A59,1)&gt;="6",IF(C59="RE",IF(HYPOTHESES!$C$51=0,0,HYPOTHESES!G$51*SUMIFS('BALANCE 2024'!$H:$H,'BALANCE 2024'!$A:$A,A59)/HYPOTHESES!$C$51),IF(C59="RG",IF(HYPOTHESES!$C$52=0,0,HYPOTHESES!G$52*SUMIFS('BALANCE 2024'!$H:$H,'BALANCE 2024'!$A:$A,A59)/HYPOTHESES!$C$52),IF(C59="RH",IF(HYPOTHESES!$C$53=0,0,HYPOTHESES!G$53*SUMIFS('BALANCE 2024'!$H:$H,'BALANCE 2024'!$A:$A,A59)/HYPOTHESES!$C$53),IF(C59="RI",IF(HYPOTHESES!$C$54=0,0,HYPOTHESES!G$54*SUMIFS('BALANCE 2024'!$H:$H,'BALANCE 2024'!$A:$A,A59)/HYPOTHESES!$C$54),IF(C59="RJ",IF(HYPOTHESES!$C$55=0,0,HYPOTHESES!G$55*SUMIFS('BALANCE 2024'!$H:$H,'BALANCE 2024'!$A:$A,A59)/HYPOTHESES!$C$55),IF(C59="RK",IF(HYPOTHESES!$C$56=0,0,HYPOTHESES!G$56*SUMIFS('BALANCE 2024'!$H:$H,'BALANCE 2024'!$A:$A,A59)/HYPOTHESES!$C$56),0)))))),MAX(0,D59-E59)),0)</f>
        <v>1537709</v>
      </c>
      <c r="I59" s="39" t="n">
        <v>0</v>
      </c>
      <c r="J59" s="39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9" s="40" t="n">
        <f aca="false">T_BAL_2028[[#This Row],[Clôture Débit]]-T_BAL_2028[[#This Row],[Clôture Crédit]]</f>
        <v>1537709</v>
      </c>
    </row>
    <row r="60" customFormat="false" ht="15" hidden="false" customHeight="false" outlineLevel="0" collapsed="false">
      <c r="A60" s="42" t="n">
        <v>605100</v>
      </c>
      <c r="B60" s="12" t="s">
        <v>353</v>
      </c>
      <c r="C60" s="13" t="s">
        <v>352</v>
      </c>
      <c r="D60" s="15" t="n">
        <f aca="false">IF(LEFT(A60,1)&gt;="6",0,SUMIFS('BALANCE 2027'!$H:$H,'BALANCE 2027'!$A:$A,A60))</f>
        <v>0</v>
      </c>
      <c r="E60" s="15" t="n">
        <f aca="false">IF(LEFT(A60,1)&gt;="6",0,SUMIFS('BALANCE 2027'!$I:$I,'BALANCE 2027'!$A:$A,A60))</f>
        <v>0</v>
      </c>
      <c r="F60" s="21" t="n">
        <f aca="false">MAX(0,(H60-I60)-(D60-E60))</f>
        <v>153200</v>
      </c>
      <c r="G60" s="21" t="n">
        <f aca="false">MAX(0,(D60-E60)-(H60-I60))</f>
        <v>0</v>
      </c>
      <c r="H60" s="15" t="n">
        <f aca="false">ROUND(IF(LEFT(A60,1)&gt;="6",IF(C60="RE",IF(HYPOTHESES!$C$51=0,0,HYPOTHESES!G$51*SUMIFS('BALANCE 2024'!$H:$H,'BALANCE 2024'!$A:$A,A60)/HYPOTHESES!$C$51),IF(C60="RG",IF(HYPOTHESES!$C$52=0,0,HYPOTHESES!G$52*SUMIFS('BALANCE 2024'!$H:$H,'BALANCE 2024'!$A:$A,A60)/HYPOTHESES!$C$52),IF(C60="RH",IF(HYPOTHESES!$C$53=0,0,HYPOTHESES!G$53*SUMIFS('BALANCE 2024'!$H:$H,'BALANCE 2024'!$A:$A,A60)/HYPOTHESES!$C$53),IF(C60="RI",IF(HYPOTHESES!$C$54=0,0,HYPOTHESES!G$54*SUMIFS('BALANCE 2024'!$H:$H,'BALANCE 2024'!$A:$A,A60)/HYPOTHESES!$C$54),IF(C60="RJ",IF(HYPOTHESES!$C$55=0,0,HYPOTHESES!G$55*SUMIFS('BALANCE 2024'!$H:$H,'BALANCE 2024'!$A:$A,A60)/HYPOTHESES!$C$55),IF(C60="RK",IF(HYPOTHESES!$C$56=0,0,HYPOTHESES!G$56*SUMIFS('BALANCE 2024'!$H:$H,'BALANCE 2024'!$A:$A,A60)/HYPOTHESES!$C$56),0)))))),MAX(0,D60-E60)),0)</f>
        <v>153200</v>
      </c>
      <c r="I60" s="21" t="n">
        <v>0</v>
      </c>
      <c r="J60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0" s="43" t="n">
        <f aca="false">T_BAL_2028[[#This Row],[Clôture Débit]]-T_BAL_2028[[#This Row],[Clôture Crédit]]</f>
        <v>153200</v>
      </c>
    </row>
    <row r="61" customFormat="false" ht="15" hidden="false" customHeight="false" outlineLevel="0" collapsed="false">
      <c r="A61" s="42" t="n">
        <v>605200</v>
      </c>
      <c r="B61" s="12" t="s">
        <v>354</v>
      </c>
      <c r="C61" s="13" t="s">
        <v>352</v>
      </c>
      <c r="D61" s="15" t="n">
        <f aca="false">IF(LEFT(A61,1)&gt;="6",0,SUMIFS('BALANCE 2027'!$H:$H,'BALANCE 2027'!$A:$A,A61))</f>
        <v>0</v>
      </c>
      <c r="E61" s="15" t="n">
        <f aca="false">IF(LEFT(A61,1)&gt;="6",0,SUMIFS('BALANCE 2027'!$I:$I,'BALANCE 2027'!$A:$A,A61))</f>
        <v>0</v>
      </c>
      <c r="F61" s="21" t="n">
        <f aca="false">MAX(0,(H61-I61)-(D61-E61))</f>
        <v>49143527</v>
      </c>
      <c r="G61" s="21" t="n">
        <f aca="false">MAX(0,(D61-E61)-(H61-I61))</f>
        <v>0</v>
      </c>
      <c r="H61" s="15" t="n">
        <f aca="false">ROUND(IF(LEFT(A61,1)&gt;="6",IF(C61="RE",IF(HYPOTHESES!$C$51=0,0,HYPOTHESES!G$51*SUMIFS('BALANCE 2024'!$H:$H,'BALANCE 2024'!$A:$A,A61)/HYPOTHESES!$C$51),IF(C61="RG",IF(HYPOTHESES!$C$52=0,0,HYPOTHESES!G$52*SUMIFS('BALANCE 2024'!$H:$H,'BALANCE 2024'!$A:$A,A61)/HYPOTHESES!$C$52),IF(C61="RH",IF(HYPOTHESES!$C$53=0,0,HYPOTHESES!G$53*SUMIFS('BALANCE 2024'!$H:$H,'BALANCE 2024'!$A:$A,A61)/HYPOTHESES!$C$53),IF(C61="RI",IF(HYPOTHESES!$C$54=0,0,HYPOTHESES!G$54*SUMIFS('BALANCE 2024'!$H:$H,'BALANCE 2024'!$A:$A,A61)/HYPOTHESES!$C$54),IF(C61="RJ",IF(HYPOTHESES!$C$55=0,0,HYPOTHESES!G$55*SUMIFS('BALANCE 2024'!$H:$H,'BALANCE 2024'!$A:$A,A61)/HYPOTHESES!$C$55),IF(C61="RK",IF(HYPOTHESES!$C$56=0,0,HYPOTHESES!G$56*SUMIFS('BALANCE 2024'!$H:$H,'BALANCE 2024'!$A:$A,A61)/HYPOTHESES!$C$56),0)))))),MAX(0,D61-E61)),0)</f>
        <v>49143527</v>
      </c>
      <c r="I61" s="21" t="n">
        <v>0</v>
      </c>
      <c r="J61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1" s="43" t="n">
        <f aca="false">T_BAL_2028[[#This Row],[Clôture Débit]]-T_BAL_2028[[#This Row],[Clôture Crédit]]</f>
        <v>49143527</v>
      </c>
    </row>
    <row r="62" customFormat="false" ht="15" hidden="false" customHeight="false" outlineLevel="0" collapsed="false">
      <c r="A62" s="42" t="n">
        <v>605300</v>
      </c>
      <c r="B62" s="12" t="s">
        <v>355</v>
      </c>
      <c r="C62" s="13" t="s">
        <v>352</v>
      </c>
      <c r="D62" s="15" t="n">
        <f aca="false">IF(LEFT(A62,1)&gt;="6",0,SUMIFS('BALANCE 2027'!$H:$H,'BALANCE 2027'!$A:$A,A62))</f>
        <v>0</v>
      </c>
      <c r="E62" s="15" t="n">
        <f aca="false">IF(LEFT(A62,1)&gt;="6",0,SUMIFS('BALANCE 2027'!$I:$I,'BALANCE 2027'!$A:$A,A62))</f>
        <v>0</v>
      </c>
      <c r="F62" s="21" t="n">
        <f aca="false">MAX(0,(H62-I62)-(D62-E62))</f>
        <v>24397578</v>
      </c>
      <c r="G62" s="21" t="n">
        <f aca="false">MAX(0,(D62-E62)-(H62-I62))</f>
        <v>0</v>
      </c>
      <c r="H62" s="15" t="n">
        <f aca="false">ROUND(IF(LEFT(A62,1)&gt;="6",IF(C62="RE",IF(HYPOTHESES!$C$51=0,0,HYPOTHESES!G$51*SUMIFS('BALANCE 2024'!$H:$H,'BALANCE 2024'!$A:$A,A62)/HYPOTHESES!$C$51),IF(C62="RG",IF(HYPOTHESES!$C$52=0,0,HYPOTHESES!G$52*SUMIFS('BALANCE 2024'!$H:$H,'BALANCE 2024'!$A:$A,A62)/HYPOTHESES!$C$52),IF(C62="RH",IF(HYPOTHESES!$C$53=0,0,HYPOTHESES!G$53*SUMIFS('BALANCE 2024'!$H:$H,'BALANCE 2024'!$A:$A,A62)/HYPOTHESES!$C$53),IF(C62="RI",IF(HYPOTHESES!$C$54=0,0,HYPOTHESES!G$54*SUMIFS('BALANCE 2024'!$H:$H,'BALANCE 2024'!$A:$A,A62)/HYPOTHESES!$C$54),IF(C62="RJ",IF(HYPOTHESES!$C$55=0,0,HYPOTHESES!G$55*SUMIFS('BALANCE 2024'!$H:$H,'BALANCE 2024'!$A:$A,A62)/HYPOTHESES!$C$55),IF(C62="RK",IF(HYPOTHESES!$C$56=0,0,HYPOTHESES!G$56*SUMIFS('BALANCE 2024'!$H:$H,'BALANCE 2024'!$A:$A,A62)/HYPOTHESES!$C$56),0)))))),MAX(0,D62-E62)),0)</f>
        <v>24397578</v>
      </c>
      <c r="I62" s="21" t="n">
        <v>0</v>
      </c>
      <c r="J62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2" s="43" t="n">
        <f aca="false">T_BAL_2028[[#This Row],[Clôture Débit]]-T_BAL_2028[[#This Row],[Clôture Crédit]]</f>
        <v>24397578</v>
      </c>
    </row>
    <row r="63" customFormat="false" ht="15" hidden="false" customHeight="false" outlineLevel="0" collapsed="false">
      <c r="A63" s="42" t="n">
        <v>605500</v>
      </c>
      <c r="B63" s="12" t="s">
        <v>356</v>
      </c>
      <c r="C63" s="13" t="s">
        <v>352</v>
      </c>
      <c r="D63" s="15" t="n">
        <f aca="false">IF(LEFT(A63,1)&gt;="6",0,SUMIFS('BALANCE 2027'!$H:$H,'BALANCE 2027'!$A:$A,A63))</f>
        <v>0</v>
      </c>
      <c r="E63" s="15" t="n">
        <f aca="false">IF(LEFT(A63,1)&gt;="6",0,SUMIFS('BALANCE 2027'!$I:$I,'BALANCE 2027'!$A:$A,A63))</f>
        <v>0</v>
      </c>
      <c r="F63" s="21" t="n">
        <f aca="false">MAX(0,(H63-I63)-(D63-E63))</f>
        <v>15831649</v>
      </c>
      <c r="G63" s="21" t="n">
        <f aca="false">MAX(0,(D63-E63)-(H63-I63))</f>
        <v>0</v>
      </c>
      <c r="H63" s="15" t="n">
        <f aca="false">ROUND(IF(LEFT(A63,1)&gt;="6",IF(C63="RE",IF(HYPOTHESES!$C$51=0,0,HYPOTHESES!G$51*SUMIFS('BALANCE 2024'!$H:$H,'BALANCE 2024'!$A:$A,A63)/HYPOTHESES!$C$51),IF(C63="RG",IF(HYPOTHESES!$C$52=0,0,HYPOTHESES!G$52*SUMIFS('BALANCE 2024'!$H:$H,'BALANCE 2024'!$A:$A,A63)/HYPOTHESES!$C$52),IF(C63="RH",IF(HYPOTHESES!$C$53=0,0,HYPOTHESES!G$53*SUMIFS('BALANCE 2024'!$H:$H,'BALANCE 2024'!$A:$A,A63)/HYPOTHESES!$C$53),IF(C63="RI",IF(HYPOTHESES!$C$54=0,0,HYPOTHESES!G$54*SUMIFS('BALANCE 2024'!$H:$H,'BALANCE 2024'!$A:$A,A63)/HYPOTHESES!$C$54),IF(C63="RJ",IF(HYPOTHESES!$C$55=0,0,HYPOTHESES!G$55*SUMIFS('BALANCE 2024'!$H:$H,'BALANCE 2024'!$A:$A,A63)/HYPOTHESES!$C$55),IF(C63="RK",IF(HYPOTHESES!$C$56=0,0,HYPOTHESES!G$56*SUMIFS('BALANCE 2024'!$H:$H,'BALANCE 2024'!$A:$A,A63)/HYPOTHESES!$C$56),0)))))),MAX(0,D63-E63)),0)</f>
        <v>15831649</v>
      </c>
      <c r="I63" s="21" t="n">
        <v>0</v>
      </c>
      <c r="J63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3" s="43" t="n">
        <f aca="false">T_BAL_2028[[#This Row],[Clôture Débit]]-T_BAL_2028[[#This Row],[Clôture Crédit]]</f>
        <v>15831649</v>
      </c>
    </row>
    <row r="64" customFormat="false" ht="15" hidden="false" customHeight="false" outlineLevel="0" collapsed="false">
      <c r="A64" s="42" t="n">
        <v>605600</v>
      </c>
      <c r="B64" s="12" t="s">
        <v>357</v>
      </c>
      <c r="C64" s="13" t="s">
        <v>352</v>
      </c>
      <c r="D64" s="15" t="n">
        <f aca="false">IF(LEFT(A64,1)&gt;="6",0,SUMIFS('BALANCE 2027'!$H:$H,'BALANCE 2027'!$A:$A,A64))</f>
        <v>0</v>
      </c>
      <c r="E64" s="15" t="n">
        <f aca="false">IF(LEFT(A64,1)&gt;="6",0,SUMIFS('BALANCE 2027'!$I:$I,'BALANCE 2027'!$A:$A,A64))</f>
        <v>0</v>
      </c>
      <c r="F64" s="21" t="n">
        <f aca="false">MAX(0,(H64-I64)-(D64-E64))</f>
        <v>4539869</v>
      </c>
      <c r="G64" s="21" t="n">
        <f aca="false">MAX(0,(D64-E64)-(H64-I64))</f>
        <v>0</v>
      </c>
      <c r="H64" s="15" t="n">
        <f aca="false">ROUND(IF(LEFT(A64,1)&gt;="6",IF(C64="RE",IF(HYPOTHESES!$C$51=0,0,HYPOTHESES!G$51*SUMIFS('BALANCE 2024'!$H:$H,'BALANCE 2024'!$A:$A,A64)/HYPOTHESES!$C$51),IF(C64="RG",IF(HYPOTHESES!$C$52=0,0,HYPOTHESES!G$52*SUMIFS('BALANCE 2024'!$H:$H,'BALANCE 2024'!$A:$A,A64)/HYPOTHESES!$C$52),IF(C64="RH",IF(HYPOTHESES!$C$53=0,0,HYPOTHESES!G$53*SUMIFS('BALANCE 2024'!$H:$H,'BALANCE 2024'!$A:$A,A64)/HYPOTHESES!$C$53),IF(C64="RI",IF(HYPOTHESES!$C$54=0,0,HYPOTHESES!G$54*SUMIFS('BALANCE 2024'!$H:$H,'BALANCE 2024'!$A:$A,A64)/HYPOTHESES!$C$54),IF(C64="RJ",IF(HYPOTHESES!$C$55=0,0,HYPOTHESES!G$55*SUMIFS('BALANCE 2024'!$H:$H,'BALANCE 2024'!$A:$A,A64)/HYPOTHESES!$C$55),IF(C64="RK",IF(HYPOTHESES!$C$56=0,0,HYPOTHESES!G$56*SUMIFS('BALANCE 2024'!$H:$H,'BALANCE 2024'!$A:$A,A64)/HYPOTHESES!$C$56),0)))))),MAX(0,D64-E64)),0)</f>
        <v>4539869</v>
      </c>
      <c r="I64" s="21" t="n">
        <v>0</v>
      </c>
      <c r="J64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4" s="43" t="n">
        <f aca="false">T_BAL_2028[[#This Row],[Clôture Débit]]-T_BAL_2028[[#This Row],[Clôture Crédit]]</f>
        <v>4539869</v>
      </c>
    </row>
    <row r="65" customFormat="false" ht="15" hidden="false" customHeight="false" outlineLevel="0" collapsed="false">
      <c r="A65" s="42" t="n">
        <v>605700</v>
      </c>
      <c r="B65" s="12" t="s">
        <v>358</v>
      </c>
      <c r="C65" s="13" t="s">
        <v>352</v>
      </c>
      <c r="D65" s="15" t="n">
        <f aca="false">IF(LEFT(A65,1)&gt;="6",0,SUMIFS('BALANCE 2027'!$H:$H,'BALANCE 2027'!$A:$A,A65))</f>
        <v>0</v>
      </c>
      <c r="E65" s="15" t="n">
        <f aca="false">IF(LEFT(A65,1)&gt;="6",0,SUMIFS('BALANCE 2027'!$I:$I,'BALANCE 2027'!$A:$A,A65))</f>
        <v>0</v>
      </c>
      <c r="F65" s="21" t="n">
        <f aca="false">MAX(0,(H65-I65)-(D65-E65))</f>
        <v>98579182</v>
      </c>
      <c r="G65" s="21" t="n">
        <f aca="false">MAX(0,(D65-E65)-(H65-I65))</f>
        <v>0</v>
      </c>
      <c r="H65" s="15" t="n">
        <f aca="false">ROUND(IF(LEFT(A65,1)&gt;="6",IF(C65="RE",IF(HYPOTHESES!$C$51=0,0,HYPOTHESES!G$51*SUMIFS('BALANCE 2024'!$H:$H,'BALANCE 2024'!$A:$A,A65)/HYPOTHESES!$C$51),IF(C65="RG",IF(HYPOTHESES!$C$52=0,0,HYPOTHESES!G$52*SUMIFS('BALANCE 2024'!$H:$H,'BALANCE 2024'!$A:$A,A65)/HYPOTHESES!$C$52),IF(C65="RH",IF(HYPOTHESES!$C$53=0,0,HYPOTHESES!G$53*SUMIFS('BALANCE 2024'!$H:$H,'BALANCE 2024'!$A:$A,A65)/HYPOTHESES!$C$53),IF(C65="RI",IF(HYPOTHESES!$C$54=0,0,HYPOTHESES!G$54*SUMIFS('BALANCE 2024'!$H:$H,'BALANCE 2024'!$A:$A,A65)/HYPOTHESES!$C$54),IF(C65="RJ",IF(HYPOTHESES!$C$55=0,0,HYPOTHESES!G$55*SUMIFS('BALANCE 2024'!$H:$H,'BALANCE 2024'!$A:$A,A65)/HYPOTHESES!$C$55),IF(C65="RK",IF(HYPOTHESES!$C$56=0,0,HYPOTHESES!G$56*SUMIFS('BALANCE 2024'!$H:$H,'BALANCE 2024'!$A:$A,A65)/HYPOTHESES!$C$56),0)))))),MAX(0,D65-E65)),0)</f>
        <v>98579182</v>
      </c>
      <c r="I65" s="21" t="n">
        <v>0</v>
      </c>
      <c r="J65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5" s="43" t="n">
        <f aca="false">T_BAL_2028[[#This Row],[Clôture Débit]]-T_BAL_2028[[#This Row],[Clôture Crédit]]</f>
        <v>98579182</v>
      </c>
    </row>
    <row r="66" customFormat="false" ht="15" hidden="false" customHeight="false" outlineLevel="0" collapsed="false">
      <c r="A66" s="42" t="n">
        <v>605800</v>
      </c>
      <c r="B66" s="12" t="s">
        <v>359</v>
      </c>
      <c r="C66" s="13" t="s">
        <v>352</v>
      </c>
      <c r="D66" s="15" t="n">
        <f aca="false">IF(LEFT(A66,1)&gt;="6",0,SUMIFS('BALANCE 2027'!$H:$H,'BALANCE 2027'!$A:$A,A66))</f>
        <v>0</v>
      </c>
      <c r="E66" s="15" t="n">
        <f aca="false">IF(LEFT(A66,1)&gt;="6",0,SUMIFS('BALANCE 2027'!$I:$I,'BALANCE 2027'!$A:$A,A66))</f>
        <v>0</v>
      </c>
      <c r="F66" s="21" t="n">
        <f aca="false">MAX(0,(H66-I66)-(D66-E66))</f>
        <v>147868774</v>
      </c>
      <c r="G66" s="21" t="n">
        <f aca="false">MAX(0,(D66-E66)-(H66-I66))</f>
        <v>0</v>
      </c>
      <c r="H66" s="15" t="n">
        <f aca="false">ROUND(IF(HYPOTHESES!$C$51=0,0,HYPOTHESES!G$51-SUMPRODUCT((T_BAL_2028[Poste]="RE")*(T_BAL_2028[Compte]&lt;&gt;605800)*ROUND(HYPOTHESES!G$51*SUMIFS('BALANCE 2024'!$H:$H,'BALANCE 2024'!$A:$A,T_BAL_2028[Compte])/HYPOTHESES!$C$51,0))),0)</f>
        <v>147868774</v>
      </c>
      <c r="I66" s="21" t="n">
        <v>0</v>
      </c>
      <c r="J66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6" s="43" t="n">
        <f aca="false">T_BAL_2028[[#This Row],[Clôture Débit]]-T_BAL_2028[[#This Row],[Clôture Crédit]]</f>
        <v>147868774</v>
      </c>
    </row>
    <row r="67" customFormat="false" ht="15" hidden="false" customHeight="false" outlineLevel="0" collapsed="false">
      <c r="A67" s="42" t="n">
        <v>616000</v>
      </c>
      <c r="B67" s="12" t="s">
        <v>360</v>
      </c>
      <c r="C67" s="13" t="s">
        <v>361</v>
      </c>
      <c r="D67" s="15" t="n">
        <f aca="false">IF(LEFT(A67,1)&gt;="6",0,SUMIFS('BALANCE 2027'!$H:$H,'BALANCE 2027'!$A:$A,A67))</f>
        <v>0</v>
      </c>
      <c r="E67" s="15" t="n">
        <f aca="false">IF(LEFT(A67,1)&gt;="6",0,SUMIFS('BALANCE 2027'!$I:$I,'BALANCE 2027'!$A:$A,A67))</f>
        <v>0</v>
      </c>
      <c r="F67" s="21" t="n">
        <f aca="false">MAX(0,(H67-I67)-(D67-E67))</f>
        <v>115264</v>
      </c>
      <c r="G67" s="21" t="n">
        <f aca="false">MAX(0,(D67-E67)-(H67-I67))</f>
        <v>0</v>
      </c>
      <c r="H67" s="15" t="n">
        <f aca="false">ROUND(IF(LEFT(A67,1)&gt;="6",IF(C67="RE",IF(HYPOTHESES!$C$51=0,0,HYPOTHESES!G$51*SUMIFS('BALANCE 2024'!$H:$H,'BALANCE 2024'!$A:$A,A67)/HYPOTHESES!$C$51),IF(C67="RG",IF(HYPOTHESES!$C$52=0,0,HYPOTHESES!G$52*SUMIFS('BALANCE 2024'!$H:$H,'BALANCE 2024'!$A:$A,A67)/HYPOTHESES!$C$52),IF(C67="RH",IF(HYPOTHESES!$C$53=0,0,HYPOTHESES!G$53*SUMIFS('BALANCE 2024'!$H:$H,'BALANCE 2024'!$A:$A,A67)/HYPOTHESES!$C$53),IF(C67="RI",IF(HYPOTHESES!$C$54=0,0,HYPOTHESES!G$54*SUMIFS('BALANCE 2024'!$H:$H,'BALANCE 2024'!$A:$A,A67)/HYPOTHESES!$C$54),IF(C67="RJ",IF(HYPOTHESES!$C$55=0,0,HYPOTHESES!G$55*SUMIFS('BALANCE 2024'!$H:$H,'BALANCE 2024'!$A:$A,A67)/HYPOTHESES!$C$55),IF(C67="RK",IF(HYPOTHESES!$C$56=0,0,HYPOTHESES!G$56*SUMIFS('BALANCE 2024'!$H:$H,'BALANCE 2024'!$A:$A,A67)/HYPOTHESES!$C$56),0)))))),MAX(0,D67-E67)),0)</f>
        <v>115264</v>
      </c>
      <c r="I67" s="21" t="n">
        <v>0</v>
      </c>
      <c r="J67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7" s="43" t="n">
        <f aca="false">T_BAL_2028[[#This Row],[Clôture Débit]]-T_BAL_2028[[#This Row],[Clôture Crédit]]</f>
        <v>115264</v>
      </c>
    </row>
    <row r="68" customFormat="false" ht="15" hidden="false" customHeight="false" outlineLevel="0" collapsed="false">
      <c r="A68" s="42" t="n">
        <v>618200</v>
      </c>
      <c r="B68" s="12" t="s">
        <v>362</v>
      </c>
      <c r="C68" s="13" t="s">
        <v>361</v>
      </c>
      <c r="D68" s="15" t="n">
        <f aca="false">IF(LEFT(A68,1)&gt;="6",0,SUMIFS('BALANCE 2027'!$H:$H,'BALANCE 2027'!$A:$A,A68))</f>
        <v>0</v>
      </c>
      <c r="E68" s="15" t="n">
        <f aca="false">IF(LEFT(A68,1)&gt;="6",0,SUMIFS('BALANCE 2027'!$I:$I,'BALANCE 2027'!$A:$A,A68))</f>
        <v>0</v>
      </c>
      <c r="F68" s="21" t="n">
        <f aca="false">MAX(0,(H68-I68)-(D68-E68))</f>
        <v>1923353</v>
      </c>
      <c r="G68" s="21" t="n">
        <f aca="false">MAX(0,(D68-E68)-(H68-I68))</f>
        <v>0</v>
      </c>
      <c r="H68" s="15" t="n">
        <f aca="false">ROUND(IF(LEFT(A68,1)&gt;="6",IF(C68="RE",IF(HYPOTHESES!$C$51=0,0,HYPOTHESES!G$51*SUMIFS('BALANCE 2024'!$H:$H,'BALANCE 2024'!$A:$A,A68)/HYPOTHESES!$C$51),IF(C68="RG",IF(HYPOTHESES!$C$52=0,0,HYPOTHESES!G$52*SUMIFS('BALANCE 2024'!$H:$H,'BALANCE 2024'!$A:$A,A68)/HYPOTHESES!$C$52),IF(C68="RH",IF(HYPOTHESES!$C$53=0,0,HYPOTHESES!G$53*SUMIFS('BALANCE 2024'!$H:$H,'BALANCE 2024'!$A:$A,A68)/HYPOTHESES!$C$53),IF(C68="RI",IF(HYPOTHESES!$C$54=0,0,HYPOTHESES!G$54*SUMIFS('BALANCE 2024'!$H:$H,'BALANCE 2024'!$A:$A,A68)/HYPOTHESES!$C$54),IF(C68="RJ",IF(HYPOTHESES!$C$55=0,0,HYPOTHESES!G$55*SUMIFS('BALANCE 2024'!$H:$H,'BALANCE 2024'!$A:$A,A68)/HYPOTHESES!$C$55),IF(C68="RK",IF(HYPOTHESES!$C$56=0,0,HYPOTHESES!G$56*SUMIFS('BALANCE 2024'!$H:$H,'BALANCE 2024'!$A:$A,A68)/HYPOTHESES!$C$56),0)))))),MAX(0,D68-E68)),0)</f>
        <v>1923353</v>
      </c>
      <c r="I68" s="21" t="n">
        <v>0</v>
      </c>
      <c r="J68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8" s="43" t="n">
        <f aca="false">T_BAL_2028[[#This Row],[Clôture Débit]]-T_BAL_2028[[#This Row],[Clôture Crédit]]</f>
        <v>1923353</v>
      </c>
    </row>
    <row r="69" customFormat="false" ht="15" hidden="false" customHeight="false" outlineLevel="0" collapsed="false">
      <c r="A69" s="42" t="n">
        <v>618300</v>
      </c>
      <c r="B69" s="12" t="s">
        <v>363</v>
      </c>
      <c r="C69" s="13" t="s">
        <v>361</v>
      </c>
      <c r="D69" s="15" t="n">
        <f aca="false">IF(LEFT(A69,1)&gt;="6",0,SUMIFS('BALANCE 2027'!$H:$H,'BALANCE 2027'!$A:$A,A69))</f>
        <v>0</v>
      </c>
      <c r="E69" s="15" t="n">
        <f aca="false">IF(LEFT(A69,1)&gt;="6",0,SUMIFS('BALANCE 2027'!$I:$I,'BALANCE 2027'!$A:$A,A69))</f>
        <v>0</v>
      </c>
      <c r="F69" s="21" t="n">
        <f aca="false">MAX(0,(H69-I69)-(D69-E69))</f>
        <v>2650380</v>
      </c>
      <c r="G69" s="21" t="n">
        <f aca="false">MAX(0,(D69-E69)-(H69-I69))</f>
        <v>0</v>
      </c>
      <c r="H69" s="15" t="n">
        <f aca="false">ROUND(IF(HYPOTHESES!$C$52=0,0,HYPOTHESES!G$52-SUMPRODUCT((T_BAL_2028[Poste]="RG")*(T_BAL_2028[Compte]&lt;&gt;618300)*ROUND(HYPOTHESES!G$52*SUMIFS('BALANCE 2024'!$H:$H,'BALANCE 2024'!$A:$A,T_BAL_2028[Compte])/HYPOTHESES!$C$52,0))),0)</f>
        <v>2650380</v>
      </c>
      <c r="I69" s="21" t="n">
        <v>0</v>
      </c>
      <c r="J69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9" s="43" t="n">
        <f aca="false">T_BAL_2028[[#This Row],[Clôture Débit]]-T_BAL_2028[[#This Row],[Clôture Crédit]]</f>
        <v>2650380</v>
      </c>
    </row>
    <row r="70" customFormat="false" ht="15" hidden="false" customHeight="false" outlineLevel="0" collapsed="false">
      <c r="A70" s="42" t="n">
        <v>622200</v>
      </c>
      <c r="B70" s="12" t="s">
        <v>364</v>
      </c>
      <c r="C70" s="13" t="s">
        <v>365</v>
      </c>
      <c r="D70" s="15" t="n">
        <f aca="false">IF(LEFT(A70,1)&gt;="6",0,SUMIFS('BALANCE 2027'!$H:$H,'BALANCE 2027'!$A:$A,A70))</f>
        <v>0</v>
      </c>
      <c r="E70" s="15" t="n">
        <f aca="false">IF(LEFT(A70,1)&gt;="6",0,SUMIFS('BALANCE 2027'!$I:$I,'BALANCE 2027'!$A:$A,A70))</f>
        <v>0</v>
      </c>
      <c r="F70" s="21" t="n">
        <f aca="false">MAX(0,(H70-I70)-(D70-E70))</f>
        <v>20604677</v>
      </c>
      <c r="G70" s="21" t="n">
        <f aca="false">MAX(0,(D70-E70)-(H70-I70))</f>
        <v>0</v>
      </c>
      <c r="H70" s="15" t="n">
        <f aca="false">ROUND(IF(LEFT(A70,1)&gt;="6",IF(C70="RE",IF(HYPOTHESES!$C$51=0,0,HYPOTHESES!G$51*SUMIFS('BALANCE 2024'!$H:$H,'BALANCE 2024'!$A:$A,A70)/HYPOTHESES!$C$51),IF(C70="RG",IF(HYPOTHESES!$C$52=0,0,HYPOTHESES!G$52*SUMIFS('BALANCE 2024'!$H:$H,'BALANCE 2024'!$A:$A,A70)/HYPOTHESES!$C$52),IF(C70="RH",IF(HYPOTHESES!$C$53=0,0,HYPOTHESES!G$53*SUMIFS('BALANCE 2024'!$H:$H,'BALANCE 2024'!$A:$A,A70)/HYPOTHESES!$C$53),IF(C70="RI",IF(HYPOTHESES!$C$54=0,0,HYPOTHESES!G$54*SUMIFS('BALANCE 2024'!$H:$H,'BALANCE 2024'!$A:$A,A70)/HYPOTHESES!$C$54),IF(C70="RJ",IF(HYPOTHESES!$C$55=0,0,HYPOTHESES!G$55*SUMIFS('BALANCE 2024'!$H:$H,'BALANCE 2024'!$A:$A,A70)/HYPOTHESES!$C$55),IF(C70="RK",IF(HYPOTHESES!$C$56=0,0,HYPOTHESES!G$56*SUMIFS('BALANCE 2024'!$H:$H,'BALANCE 2024'!$A:$A,A70)/HYPOTHESES!$C$56),0)))))),MAX(0,D70-E70)),0)</f>
        <v>20604677</v>
      </c>
      <c r="I70" s="21" t="n">
        <v>0</v>
      </c>
      <c r="J70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0" s="43" t="n">
        <f aca="false">T_BAL_2028[[#This Row],[Clôture Débit]]-T_BAL_2028[[#This Row],[Clôture Crédit]]</f>
        <v>20604677</v>
      </c>
    </row>
    <row r="71" customFormat="false" ht="15" hidden="false" customHeight="false" outlineLevel="0" collapsed="false">
      <c r="A71" s="42" t="n">
        <v>624200</v>
      </c>
      <c r="B71" s="12" t="s">
        <v>366</v>
      </c>
      <c r="C71" s="13" t="s">
        <v>365</v>
      </c>
      <c r="D71" s="15" t="n">
        <f aca="false">IF(LEFT(A71,1)&gt;="6",0,SUMIFS('BALANCE 2027'!$H:$H,'BALANCE 2027'!$A:$A,A71))</f>
        <v>0</v>
      </c>
      <c r="E71" s="15" t="n">
        <f aca="false">IF(LEFT(A71,1)&gt;="6",0,SUMIFS('BALANCE 2027'!$I:$I,'BALANCE 2027'!$A:$A,A71))</f>
        <v>0</v>
      </c>
      <c r="F71" s="21" t="n">
        <f aca="false">MAX(0,(H71-I71)-(D71-E71))</f>
        <v>42365360</v>
      </c>
      <c r="G71" s="21" t="n">
        <f aca="false">MAX(0,(D71-E71)-(H71-I71))</f>
        <v>0</v>
      </c>
      <c r="H71" s="15" t="n">
        <f aca="false">ROUND(IF(HYPOTHESES!$C$53=0,0,HYPOTHESES!G$53-SUMPRODUCT((T_BAL_2028[Poste]="RH")*(T_BAL_2028[Compte]&lt;&gt;624200)*ROUND(HYPOTHESES!G$53*SUMIFS('BALANCE 2024'!$H:$H,'BALANCE 2024'!$A:$A,T_BAL_2028[Compte])/HYPOTHESES!$C$53,0))),0)</f>
        <v>42365360</v>
      </c>
      <c r="I71" s="21" t="n">
        <v>0</v>
      </c>
      <c r="J71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1" s="43" t="n">
        <f aca="false">T_BAL_2028[[#This Row],[Clôture Débit]]-T_BAL_2028[[#This Row],[Clôture Crédit]]</f>
        <v>42365360</v>
      </c>
    </row>
    <row r="72" customFormat="false" ht="15" hidden="false" customHeight="false" outlineLevel="0" collapsed="false">
      <c r="A72" s="42" t="n">
        <v>625800</v>
      </c>
      <c r="B72" s="12" t="s">
        <v>367</v>
      </c>
      <c r="C72" s="13" t="s">
        <v>365</v>
      </c>
      <c r="D72" s="15" t="n">
        <f aca="false">IF(LEFT(A72,1)&gt;="6",0,SUMIFS('BALANCE 2027'!$H:$H,'BALANCE 2027'!$A:$A,A72))</f>
        <v>0</v>
      </c>
      <c r="E72" s="15" t="n">
        <f aca="false">IF(LEFT(A72,1)&gt;="6",0,SUMIFS('BALANCE 2027'!$I:$I,'BALANCE 2027'!$A:$A,A72))</f>
        <v>0</v>
      </c>
      <c r="F72" s="21" t="n">
        <f aca="false">MAX(0,(H72-I72)-(D72-E72))</f>
        <v>5684868</v>
      </c>
      <c r="G72" s="21" t="n">
        <f aca="false">MAX(0,(D72-E72)-(H72-I72))</f>
        <v>0</v>
      </c>
      <c r="H72" s="15" t="n">
        <f aca="false">ROUND(IF(LEFT(A72,1)&gt;="6",IF(C72="RE",IF(HYPOTHESES!$C$51=0,0,HYPOTHESES!G$51*SUMIFS('BALANCE 2024'!$H:$H,'BALANCE 2024'!$A:$A,A72)/HYPOTHESES!$C$51),IF(C72="RG",IF(HYPOTHESES!$C$52=0,0,HYPOTHESES!G$52*SUMIFS('BALANCE 2024'!$H:$H,'BALANCE 2024'!$A:$A,A72)/HYPOTHESES!$C$52),IF(C72="RH",IF(HYPOTHESES!$C$53=0,0,HYPOTHESES!G$53*SUMIFS('BALANCE 2024'!$H:$H,'BALANCE 2024'!$A:$A,A72)/HYPOTHESES!$C$53),IF(C72="RI",IF(HYPOTHESES!$C$54=0,0,HYPOTHESES!G$54*SUMIFS('BALANCE 2024'!$H:$H,'BALANCE 2024'!$A:$A,A72)/HYPOTHESES!$C$54),IF(C72="RJ",IF(HYPOTHESES!$C$55=0,0,HYPOTHESES!G$55*SUMIFS('BALANCE 2024'!$H:$H,'BALANCE 2024'!$A:$A,A72)/HYPOTHESES!$C$55),IF(C72="RK",IF(HYPOTHESES!$C$56=0,0,HYPOTHESES!G$56*SUMIFS('BALANCE 2024'!$H:$H,'BALANCE 2024'!$A:$A,A72)/HYPOTHESES!$C$56),0)))))),MAX(0,D72-E72)),0)</f>
        <v>5684868</v>
      </c>
      <c r="I72" s="21" t="n">
        <v>0</v>
      </c>
      <c r="J72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2" s="43" t="n">
        <f aca="false">T_BAL_2028[[#This Row],[Clôture Débit]]-T_BAL_2028[[#This Row],[Clôture Crédit]]</f>
        <v>5684868</v>
      </c>
    </row>
    <row r="73" customFormat="false" ht="15" hidden="false" customHeight="false" outlineLevel="0" collapsed="false">
      <c r="A73" s="42" t="n">
        <v>626600</v>
      </c>
      <c r="B73" s="12" t="s">
        <v>368</v>
      </c>
      <c r="C73" s="13" t="s">
        <v>365</v>
      </c>
      <c r="D73" s="15" t="n">
        <f aca="false">IF(LEFT(A73,1)&gt;="6",0,SUMIFS('BALANCE 2027'!$H:$H,'BALANCE 2027'!$A:$A,A73))</f>
        <v>0</v>
      </c>
      <c r="E73" s="15" t="n">
        <f aca="false">IF(LEFT(A73,1)&gt;="6",0,SUMIFS('BALANCE 2027'!$I:$I,'BALANCE 2027'!$A:$A,A73))</f>
        <v>0</v>
      </c>
      <c r="F73" s="21" t="n">
        <f aca="false">MAX(0,(H73-I73)-(D73-E73))</f>
        <v>39636</v>
      </c>
      <c r="G73" s="21" t="n">
        <f aca="false">MAX(0,(D73-E73)-(H73-I73))</f>
        <v>0</v>
      </c>
      <c r="H73" s="15" t="n">
        <f aca="false">ROUND(IF(LEFT(A73,1)&gt;="6",IF(C73="RE",IF(HYPOTHESES!$C$51=0,0,HYPOTHESES!G$51*SUMIFS('BALANCE 2024'!$H:$H,'BALANCE 2024'!$A:$A,A73)/HYPOTHESES!$C$51),IF(C73="RG",IF(HYPOTHESES!$C$52=0,0,HYPOTHESES!G$52*SUMIFS('BALANCE 2024'!$H:$H,'BALANCE 2024'!$A:$A,A73)/HYPOTHESES!$C$52),IF(C73="RH",IF(HYPOTHESES!$C$53=0,0,HYPOTHESES!G$53*SUMIFS('BALANCE 2024'!$H:$H,'BALANCE 2024'!$A:$A,A73)/HYPOTHESES!$C$53),IF(C73="RI",IF(HYPOTHESES!$C$54=0,0,HYPOTHESES!G$54*SUMIFS('BALANCE 2024'!$H:$H,'BALANCE 2024'!$A:$A,A73)/HYPOTHESES!$C$54),IF(C73="RJ",IF(HYPOTHESES!$C$55=0,0,HYPOTHESES!G$55*SUMIFS('BALANCE 2024'!$H:$H,'BALANCE 2024'!$A:$A,A73)/HYPOTHESES!$C$55),IF(C73="RK",IF(HYPOTHESES!$C$56=0,0,HYPOTHESES!G$56*SUMIFS('BALANCE 2024'!$H:$H,'BALANCE 2024'!$A:$A,A73)/HYPOTHESES!$C$56),0)))))),MAX(0,D73-E73)),0)</f>
        <v>39636</v>
      </c>
      <c r="I73" s="21" t="n">
        <v>0</v>
      </c>
      <c r="J73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3" s="43" t="n">
        <f aca="false">T_BAL_2028[[#This Row],[Clôture Débit]]-T_BAL_2028[[#This Row],[Clôture Crédit]]</f>
        <v>39636</v>
      </c>
    </row>
    <row r="74" customFormat="false" ht="15" hidden="false" customHeight="false" outlineLevel="0" collapsed="false">
      <c r="A74" s="42" t="n">
        <v>627700</v>
      </c>
      <c r="B74" s="12" t="s">
        <v>369</v>
      </c>
      <c r="C74" s="13" t="s">
        <v>365</v>
      </c>
      <c r="D74" s="15" t="n">
        <f aca="false">IF(LEFT(A74,1)&gt;="6",0,SUMIFS('BALANCE 2027'!$H:$H,'BALANCE 2027'!$A:$A,A74))</f>
        <v>0</v>
      </c>
      <c r="E74" s="15" t="n">
        <f aca="false">IF(LEFT(A74,1)&gt;="6",0,SUMIFS('BALANCE 2027'!$I:$I,'BALANCE 2027'!$A:$A,A74))</f>
        <v>0</v>
      </c>
      <c r="F74" s="21" t="n">
        <f aca="false">MAX(0,(H74-I74)-(D74-E74))</f>
        <v>72460</v>
      </c>
      <c r="G74" s="21" t="n">
        <f aca="false">MAX(0,(D74-E74)-(H74-I74))</f>
        <v>0</v>
      </c>
      <c r="H74" s="15" t="n">
        <f aca="false">ROUND(IF(LEFT(A74,1)&gt;="6",IF(C74="RE",IF(HYPOTHESES!$C$51=0,0,HYPOTHESES!G$51*SUMIFS('BALANCE 2024'!$H:$H,'BALANCE 2024'!$A:$A,A74)/HYPOTHESES!$C$51),IF(C74="RG",IF(HYPOTHESES!$C$52=0,0,HYPOTHESES!G$52*SUMIFS('BALANCE 2024'!$H:$H,'BALANCE 2024'!$A:$A,A74)/HYPOTHESES!$C$52),IF(C74="RH",IF(HYPOTHESES!$C$53=0,0,HYPOTHESES!G$53*SUMIFS('BALANCE 2024'!$H:$H,'BALANCE 2024'!$A:$A,A74)/HYPOTHESES!$C$53),IF(C74="RI",IF(HYPOTHESES!$C$54=0,0,HYPOTHESES!G$54*SUMIFS('BALANCE 2024'!$H:$H,'BALANCE 2024'!$A:$A,A74)/HYPOTHESES!$C$54),IF(C74="RJ",IF(HYPOTHESES!$C$55=0,0,HYPOTHESES!G$55*SUMIFS('BALANCE 2024'!$H:$H,'BALANCE 2024'!$A:$A,A74)/HYPOTHESES!$C$55),IF(C74="RK",IF(HYPOTHESES!$C$56=0,0,HYPOTHESES!G$56*SUMIFS('BALANCE 2024'!$H:$H,'BALANCE 2024'!$A:$A,A74)/HYPOTHESES!$C$56),0)))))),MAX(0,D74-E74)),0)</f>
        <v>72460</v>
      </c>
      <c r="I74" s="21" t="n">
        <v>0</v>
      </c>
      <c r="J74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4" s="43" t="n">
        <f aca="false">T_BAL_2028[[#This Row],[Clôture Débit]]-T_BAL_2028[[#This Row],[Clôture Crédit]]</f>
        <v>72460</v>
      </c>
    </row>
    <row r="75" customFormat="false" ht="15" hidden="false" customHeight="false" outlineLevel="0" collapsed="false">
      <c r="A75" s="42" t="n">
        <v>628800</v>
      </c>
      <c r="B75" s="12" t="s">
        <v>370</v>
      </c>
      <c r="C75" s="13" t="s">
        <v>365</v>
      </c>
      <c r="D75" s="15" t="n">
        <f aca="false">IF(LEFT(A75,1)&gt;="6",0,SUMIFS('BALANCE 2027'!$H:$H,'BALANCE 2027'!$A:$A,A75))</f>
        <v>0</v>
      </c>
      <c r="E75" s="15" t="n">
        <f aca="false">IF(LEFT(A75,1)&gt;="6",0,SUMIFS('BALANCE 2027'!$I:$I,'BALANCE 2027'!$A:$A,A75))</f>
        <v>0</v>
      </c>
      <c r="F75" s="21" t="n">
        <f aca="false">MAX(0,(H75-I75)-(D75-E75))</f>
        <v>983525</v>
      </c>
      <c r="G75" s="21" t="n">
        <f aca="false">MAX(0,(D75-E75)-(H75-I75))</f>
        <v>0</v>
      </c>
      <c r="H75" s="15" t="n">
        <f aca="false">ROUND(IF(LEFT(A75,1)&gt;="6",IF(C75="RE",IF(HYPOTHESES!$C$51=0,0,HYPOTHESES!G$51*SUMIFS('BALANCE 2024'!$H:$H,'BALANCE 2024'!$A:$A,A75)/HYPOTHESES!$C$51),IF(C75="RG",IF(HYPOTHESES!$C$52=0,0,HYPOTHESES!G$52*SUMIFS('BALANCE 2024'!$H:$H,'BALANCE 2024'!$A:$A,A75)/HYPOTHESES!$C$52),IF(C75="RH",IF(HYPOTHESES!$C$53=0,0,HYPOTHESES!G$53*SUMIFS('BALANCE 2024'!$H:$H,'BALANCE 2024'!$A:$A,A75)/HYPOTHESES!$C$53),IF(C75="RI",IF(HYPOTHESES!$C$54=0,0,HYPOTHESES!G$54*SUMIFS('BALANCE 2024'!$H:$H,'BALANCE 2024'!$A:$A,A75)/HYPOTHESES!$C$54),IF(C75="RJ",IF(HYPOTHESES!$C$55=0,0,HYPOTHESES!G$55*SUMIFS('BALANCE 2024'!$H:$H,'BALANCE 2024'!$A:$A,A75)/HYPOTHESES!$C$55),IF(C75="RK",IF(HYPOTHESES!$C$56=0,0,HYPOTHESES!G$56*SUMIFS('BALANCE 2024'!$H:$H,'BALANCE 2024'!$A:$A,A75)/HYPOTHESES!$C$56),0)))))),MAX(0,D75-E75)),0)</f>
        <v>983525</v>
      </c>
      <c r="I75" s="21" t="n">
        <v>0</v>
      </c>
      <c r="J75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5" s="43" t="n">
        <f aca="false">T_BAL_2028[[#This Row],[Clôture Débit]]-T_BAL_2028[[#This Row],[Clôture Crédit]]</f>
        <v>983525</v>
      </c>
    </row>
    <row r="76" customFormat="false" ht="15" hidden="false" customHeight="false" outlineLevel="0" collapsed="false">
      <c r="A76" s="42" t="n">
        <v>631800</v>
      </c>
      <c r="B76" s="12" t="s">
        <v>371</v>
      </c>
      <c r="C76" s="13" t="s">
        <v>365</v>
      </c>
      <c r="D76" s="15" t="n">
        <f aca="false">IF(LEFT(A76,1)&gt;="6",0,SUMIFS('BALANCE 2027'!$H:$H,'BALANCE 2027'!$A:$A,A76))</f>
        <v>0</v>
      </c>
      <c r="E76" s="15" t="n">
        <f aca="false">IF(LEFT(A76,1)&gt;="6",0,SUMIFS('BALANCE 2027'!$I:$I,'BALANCE 2027'!$A:$A,A76))</f>
        <v>0</v>
      </c>
      <c r="F76" s="21" t="n">
        <f aca="false">MAX(0,(H76-I76)-(D76-E76))</f>
        <v>27980792</v>
      </c>
      <c r="G76" s="21" t="n">
        <f aca="false">MAX(0,(D76-E76)-(H76-I76))</f>
        <v>0</v>
      </c>
      <c r="H76" s="15" t="n">
        <f aca="false">ROUND(IF(LEFT(A76,1)&gt;="6",IF(C76="RE",IF(HYPOTHESES!$C$51=0,0,HYPOTHESES!G$51*SUMIFS('BALANCE 2024'!$H:$H,'BALANCE 2024'!$A:$A,A76)/HYPOTHESES!$C$51),IF(C76="RG",IF(HYPOTHESES!$C$52=0,0,HYPOTHESES!G$52*SUMIFS('BALANCE 2024'!$H:$H,'BALANCE 2024'!$A:$A,A76)/HYPOTHESES!$C$52),IF(C76="RH",IF(HYPOTHESES!$C$53=0,0,HYPOTHESES!G$53*SUMIFS('BALANCE 2024'!$H:$H,'BALANCE 2024'!$A:$A,A76)/HYPOTHESES!$C$53),IF(C76="RI",IF(HYPOTHESES!$C$54=0,0,HYPOTHESES!G$54*SUMIFS('BALANCE 2024'!$H:$H,'BALANCE 2024'!$A:$A,A76)/HYPOTHESES!$C$54),IF(C76="RJ",IF(HYPOTHESES!$C$55=0,0,HYPOTHESES!G$55*SUMIFS('BALANCE 2024'!$H:$H,'BALANCE 2024'!$A:$A,A76)/HYPOTHESES!$C$55),IF(C76="RK",IF(HYPOTHESES!$C$56=0,0,HYPOTHESES!G$56*SUMIFS('BALANCE 2024'!$H:$H,'BALANCE 2024'!$A:$A,A76)/HYPOTHESES!$C$56),0)))))),MAX(0,D76-E76)),0)</f>
        <v>27980792</v>
      </c>
      <c r="I76" s="21" t="n">
        <v>0</v>
      </c>
      <c r="J76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6" s="43" t="n">
        <f aca="false">T_BAL_2028[[#This Row],[Clôture Débit]]-T_BAL_2028[[#This Row],[Clôture Crédit]]</f>
        <v>27980792</v>
      </c>
    </row>
    <row r="77" customFormat="false" ht="15" hidden="false" customHeight="false" outlineLevel="0" collapsed="false">
      <c r="A77" s="42" t="n">
        <v>632800</v>
      </c>
      <c r="B77" s="12" t="s">
        <v>372</v>
      </c>
      <c r="C77" s="13" t="s">
        <v>365</v>
      </c>
      <c r="D77" s="15" t="n">
        <f aca="false">IF(LEFT(A77,1)&gt;="6",0,SUMIFS('BALANCE 2027'!$H:$H,'BALANCE 2027'!$A:$A,A77))</f>
        <v>0</v>
      </c>
      <c r="E77" s="15" t="n">
        <f aca="false">IF(LEFT(A77,1)&gt;="6",0,SUMIFS('BALANCE 2027'!$I:$I,'BALANCE 2027'!$A:$A,A77))</f>
        <v>0</v>
      </c>
      <c r="F77" s="21" t="n">
        <f aca="false">MAX(0,(H77-I77)-(D77-E77))</f>
        <v>5887245</v>
      </c>
      <c r="G77" s="21" t="n">
        <f aca="false">MAX(0,(D77-E77)-(H77-I77))</f>
        <v>0</v>
      </c>
      <c r="H77" s="15" t="n">
        <f aca="false">ROUND(IF(LEFT(A77,1)&gt;="6",IF(C77="RE",IF(HYPOTHESES!$C$51=0,0,HYPOTHESES!G$51*SUMIFS('BALANCE 2024'!$H:$H,'BALANCE 2024'!$A:$A,A77)/HYPOTHESES!$C$51),IF(C77="RG",IF(HYPOTHESES!$C$52=0,0,HYPOTHESES!G$52*SUMIFS('BALANCE 2024'!$H:$H,'BALANCE 2024'!$A:$A,A77)/HYPOTHESES!$C$52),IF(C77="RH",IF(HYPOTHESES!$C$53=0,0,HYPOTHESES!G$53*SUMIFS('BALANCE 2024'!$H:$H,'BALANCE 2024'!$A:$A,A77)/HYPOTHESES!$C$53),IF(C77="RI",IF(HYPOTHESES!$C$54=0,0,HYPOTHESES!G$54*SUMIFS('BALANCE 2024'!$H:$H,'BALANCE 2024'!$A:$A,A77)/HYPOTHESES!$C$54),IF(C77="RJ",IF(HYPOTHESES!$C$55=0,0,HYPOTHESES!G$55*SUMIFS('BALANCE 2024'!$H:$H,'BALANCE 2024'!$A:$A,A77)/HYPOTHESES!$C$55),IF(C77="RK",IF(HYPOTHESES!$C$56=0,0,HYPOTHESES!G$56*SUMIFS('BALANCE 2024'!$H:$H,'BALANCE 2024'!$A:$A,A77)/HYPOTHESES!$C$56),0)))))),MAX(0,D77-E77)),0)</f>
        <v>5887245</v>
      </c>
      <c r="I77" s="21" t="n">
        <v>0</v>
      </c>
      <c r="J77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7" s="43" t="n">
        <f aca="false">T_BAL_2028[[#This Row],[Clôture Débit]]-T_BAL_2028[[#This Row],[Clôture Crédit]]</f>
        <v>5887245</v>
      </c>
    </row>
    <row r="78" customFormat="false" ht="15" hidden="false" customHeight="false" outlineLevel="0" collapsed="false">
      <c r="A78" s="42" t="n">
        <v>638800</v>
      </c>
      <c r="B78" s="12" t="s">
        <v>373</v>
      </c>
      <c r="C78" s="13" t="s">
        <v>365</v>
      </c>
      <c r="D78" s="15" t="n">
        <f aca="false">IF(LEFT(A78,1)&gt;="6",0,SUMIFS('BALANCE 2027'!$H:$H,'BALANCE 2027'!$A:$A,A78))</f>
        <v>0</v>
      </c>
      <c r="E78" s="15" t="n">
        <f aca="false">IF(LEFT(A78,1)&gt;="6",0,SUMIFS('BALANCE 2027'!$I:$I,'BALANCE 2027'!$A:$A,A78))</f>
        <v>0</v>
      </c>
      <c r="F78" s="21" t="n">
        <f aca="false">MAX(0,(H78-I78)-(D78-E78))</f>
        <v>28628530</v>
      </c>
      <c r="G78" s="21" t="n">
        <f aca="false">MAX(0,(D78-E78)-(H78-I78))</f>
        <v>0</v>
      </c>
      <c r="H78" s="15" t="n">
        <f aca="false">ROUND(IF(LEFT(A78,1)&gt;="6",IF(C78="RE",IF(HYPOTHESES!$C$51=0,0,HYPOTHESES!G$51*SUMIFS('BALANCE 2024'!$H:$H,'BALANCE 2024'!$A:$A,A78)/HYPOTHESES!$C$51),IF(C78="RG",IF(HYPOTHESES!$C$52=0,0,HYPOTHESES!G$52*SUMIFS('BALANCE 2024'!$H:$H,'BALANCE 2024'!$A:$A,A78)/HYPOTHESES!$C$52),IF(C78="RH",IF(HYPOTHESES!$C$53=0,0,HYPOTHESES!G$53*SUMIFS('BALANCE 2024'!$H:$H,'BALANCE 2024'!$A:$A,A78)/HYPOTHESES!$C$53),IF(C78="RI",IF(HYPOTHESES!$C$54=0,0,HYPOTHESES!G$54*SUMIFS('BALANCE 2024'!$H:$H,'BALANCE 2024'!$A:$A,A78)/HYPOTHESES!$C$54),IF(C78="RJ",IF(HYPOTHESES!$C$55=0,0,HYPOTHESES!G$55*SUMIFS('BALANCE 2024'!$H:$H,'BALANCE 2024'!$A:$A,A78)/HYPOTHESES!$C$55),IF(C78="RK",IF(HYPOTHESES!$C$56=0,0,HYPOTHESES!G$56*SUMIFS('BALANCE 2024'!$H:$H,'BALANCE 2024'!$A:$A,A78)/HYPOTHESES!$C$56),0)))))),MAX(0,D78-E78)),0)</f>
        <v>28628530</v>
      </c>
      <c r="I78" s="21" t="n">
        <v>0</v>
      </c>
      <c r="J78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8" s="43" t="n">
        <f aca="false">T_BAL_2028[[#This Row],[Clôture Débit]]-T_BAL_2028[[#This Row],[Clôture Crédit]]</f>
        <v>28628530</v>
      </c>
    </row>
    <row r="79" customFormat="false" ht="15" hidden="false" customHeight="false" outlineLevel="0" collapsed="false">
      <c r="A79" s="42" t="n">
        <v>641100</v>
      </c>
      <c r="B79" s="12" t="s">
        <v>374</v>
      </c>
      <c r="C79" s="13" t="s">
        <v>375</v>
      </c>
      <c r="D79" s="15" t="n">
        <f aca="false">IF(LEFT(A79,1)&gt;="6",0,SUMIFS('BALANCE 2027'!$H:$H,'BALANCE 2027'!$A:$A,A79))</f>
        <v>0</v>
      </c>
      <c r="E79" s="15" t="n">
        <f aca="false">IF(LEFT(A79,1)&gt;="6",0,SUMIFS('BALANCE 2027'!$I:$I,'BALANCE 2027'!$A:$A,A79))</f>
        <v>0</v>
      </c>
      <c r="F79" s="21" t="n">
        <f aca="false">MAX(0,(H79-I79)-(D79-E79))</f>
        <v>445680</v>
      </c>
      <c r="G79" s="21" t="n">
        <f aca="false">MAX(0,(D79-E79)-(H79-I79))</f>
        <v>0</v>
      </c>
      <c r="H79" s="15" t="n">
        <f aca="false">ROUND(IF(LEFT(A79,1)&gt;="6",IF(C79="RE",IF(HYPOTHESES!$C$51=0,0,HYPOTHESES!G$51*SUMIFS('BALANCE 2024'!$H:$H,'BALANCE 2024'!$A:$A,A79)/HYPOTHESES!$C$51),IF(C79="RG",IF(HYPOTHESES!$C$52=0,0,HYPOTHESES!G$52*SUMIFS('BALANCE 2024'!$H:$H,'BALANCE 2024'!$A:$A,A79)/HYPOTHESES!$C$52),IF(C79="RH",IF(HYPOTHESES!$C$53=0,0,HYPOTHESES!G$53*SUMIFS('BALANCE 2024'!$H:$H,'BALANCE 2024'!$A:$A,A79)/HYPOTHESES!$C$53),IF(C79="RI",IF(HYPOTHESES!$C$54=0,0,HYPOTHESES!G$54*SUMIFS('BALANCE 2024'!$H:$H,'BALANCE 2024'!$A:$A,A79)/HYPOTHESES!$C$54),IF(C79="RJ",IF(HYPOTHESES!$C$55=0,0,HYPOTHESES!G$55*SUMIFS('BALANCE 2024'!$H:$H,'BALANCE 2024'!$A:$A,A79)/HYPOTHESES!$C$55),IF(C79="RK",IF(HYPOTHESES!$C$56=0,0,HYPOTHESES!G$56*SUMIFS('BALANCE 2024'!$H:$H,'BALANCE 2024'!$A:$A,A79)/HYPOTHESES!$C$56),0)))))),MAX(0,D79-E79)),0)</f>
        <v>445680</v>
      </c>
      <c r="I79" s="21" t="n">
        <v>0</v>
      </c>
      <c r="J79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9" s="43" t="n">
        <f aca="false">T_BAL_2028[[#This Row],[Clôture Débit]]-T_BAL_2028[[#This Row],[Clôture Crédit]]</f>
        <v>445680</v>
      </c>
    </row>
    <row r="80" customFormat="false" ht="15" hidden="false" customHeight="false" outlineLevel="0" collapsed="false">
      <c r="A80" s="42" t="n">
        <v>641201</v>
      </c>
      <c r="B80" s="12" t="s">
        <v>376</v>
      </c>
      <c r="C80" s="13" t="s">
        <v>375</v>
      </c>
      <c r="D80" s="15" t="n">
        <f aca="false">IF(LEFT(A80,1)&gt;="6",0,SUMIFS('BALANCE 2027'!$H:$H,'BALANCE 2027'!$A:$A,A80))</f>
        <v>0</v>
      </c>
      <c r="E80" s="15" t="n">
        <f aca="false">IF(LEFT(A80,1)&gt;="6",0,SUMIFS('BALANCE 2027'!$I:$I,'BALANCE 2027'!$A:$A,A80))</f>
        <v>0</v>
      </c>
      <c r="F80" s="21" t="n">
        <f aca="false">MAX(0,(H80-I80)-(D80-E80))</f>
        <v>11210257</v>
      </c>
      <c r="G80" s="21" t="n">
        <f aca="false">MAX(0,(D80-E80)-(H80-I80))</f>
        <v>0</v>
      </c>
      <c r="H80" s="15" t="n">
        <f aca="false">ROUND(IF(HYPOTHESES!$C$54=0,0,HYPOTHESES!G$54-SUMPRODUCT((T_BAL_2028[Poste]="RI")*(T_BAL_2028[Compte]&lt;&gt;641201)*ROUND(HYPOTHESES!G$54*SUMIFS('BALANCE 2024'!$H:$H,'BALANCE 2024'!$A:$A,T_BAL_2028[Compte])/HYPOTHESES!$C$54,0))),0)</f>
        <v>11210257</v>
      </c>
      <c r="I80" s="21" t="n">
        <v>0</v>
      </c>
      <c r="J80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0" s="43" t="n">
        <f aca="false">T_BAL_2028[[#This Row],[Clôture Débit]]-T_BAL_2028[[#This Row],[Clôture Crédit]]</f>
        <v>11210257</v>
      </c>
    </row>
    <row r="81" customFormat="false" ht="15" hidden="false" customHeight="false" outlineLevel="0" collapsed="false">
      <c r="A81" s="42" t="n">
        <v>641202</v>
      </c>
      <c r="B81" s="12" t="s">
        <v>377</v>
      </c>
      <c r="C81" s="13" t="s">
        <v>375</v>
      </c>
      <c r="D81" s="15" t="n">
        <f aca="false">IF(LEFT(A81,1)&gt;="6",0,SUMIFS('BALANCE 2027'!$H:$H,'BALANCE 2027'!$A:$A,A81))</f>
        <v>0</v>
      </c>
      <c r="E81" s="15" t="n">
        <f aca="false">IF(LEFT(A81,1)&gt;="6",0,SUMIFS('BALANCE 2027'!$I:$I,'BALANCE 2027'!$A:$A,A81))</f>
        <v>0</v>
      </c>
      <c r="F81" s="21" t="n">
        <f aca="false">MAX(0,(H81-I81)-(D81-E81))</f>
        <v>1917285</v>
      </c>
      <c r="G81" s="21" t="n">
        <f aca="false">MAX(0,(D81-E81)-(H81-I81))</f>
        <v>0</v>
      </c>
      <c r="H81" s="15" t="n">
        <f aca="false">ROUND(IF(LEFT(A81,1)&gt;="6",IF(C81="RE",IF(HYPOTHESES!$C$51=0,0,HYPOTHESES!G$51*SUMIFS('BALANCE 2024'!$H:$H,'BALANCE 2024'!$A:$A,A81)/HYPOTHESES!$C$51),IF(C81="RG",IF(HYPOTHESES!$C$52=0,0,HYPOTHESES!G$52*SUMIFS('BALANCE 2024'!$H:$H,'BALANCE 2024'!$A:$A,A81)/HYPOTHESES!$C$52),IF(C81="RH",IF(HYPOTHESES!$C$53=0,0,HYPOTHESES!G$53*SUMIFS('BALANCE 2024'!$H:$H,'BALANCE 2024'!$A:$A,A81)/HYPOTHESES!$C$53),IF(C81="RI",IF(HYPOTHESES!$C$54=0,0,HYPOTHESES!G$54*SUMIFS('BALANCE 2024'!$H:$H,'BALANCE 2024'!$A:$A,A81)/HYPOTHESES!$C$54),IF(C81="RJ",IF(HYPOTHESES!$C$55=0,0,HYPOTHESES!G$55*SUMIFS('BALANCE 2024'!$H:$H,'BALANCE 2024'!$A:$A,A81)/HYPOTHESES!$C$55),IF(C81="RK",IF(HYPOTHESES!$C$56=0,0,HYPOTHESES!G$56*SUMIFS('BALANCE 2024'!$H:$H,'BALANCE 2024'!$A:$A,A81)/HYPOTHESES!$C$56),0)))))),MAX(0,D81-E81)),0)</f>
        <v>1917285</v>
      </c>
      <c r="I81" s="21" t="n">
        <v>0</v>
      </c>
      <c r="J81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1" s="43" t="n">
        <f aca="false">T_BAL_2028[[#This Row],[Clôture Débit]]-T_BAL_2028[[#This Row],[Clôture Crédit]]</f>
        <v>1917285</v>
      </c>
    </row>
    <row r="82" customFormat="false" ht="15" hidden="false" customHeight="false" outlineLevel="0" collapsed="false">
      <c r="A82" s="42" t="n">
        <v>641300</v>
      </c>
      <c r="B82" s="12" t="s">
        <v>378</v>
      </c>
      <c r="C82" s="13" t="s">
        <v>375</v>
      </c>
      <c r="D82" s="15" t="n">
        <f aca="false">IF(LEFT(A82,1)&gt;="6",0,SUMIFS('BALANCE 2027'!$H:$H,'BALANCE 2027'!$A:$A,A82))</f>
        <v>0</v>
      </c>
      <c r="E82" s="15" t="n">
        <f aca="false">IF(LEFT(A82,1)&gt;="6",0,SUMIFS('BALANCE 2027'!$I:$I,'BALANCE 2027'!$A:$A,A82))</f>
        <v>0</v>
      </c>
      <c r="F82" s="21" t="n">
        <f aca="false">MAX(0,(H82-I82)-(D82-E82))</f>
        <v>1023300</v>
      </c>
      <c r="G82" s="21" t="n">
        <f aca="false">MAX(0,(D82-E82)-(H82-I82))</f>
        <v>0</v>
      </c>
      <c r="H82" s="15" t="n">
        <f aca="false">ROUND(IF(LEFT(A82,1)&gt;="6",IF(C82="RE",IF(HYPOTHESES!$C$51=0,0,HYPOTHESES!G$51*SUMIFS('BALANCE 2024'!$H:$H,'BALANCE 2024'!$A:$A,A82)/HYPOTHESES!$C$51),IF(C82="RG",IF(HYPOTHESES!$C$52=0,0,HYPOTHESES!G$52*SUMIFS('BALANCE 2024'!$H:$H,'BALANCE 2024'!$A:$A,A82)/HYPOTHESES!$C$52),IF(C82="RH",IF(HYPOTHESES!$C$53=0,0,HYPOTHESES!G$53*SUMIFS('BALANCE 2024'!$H:$H,'BALANCE 2024'!$A:$A,A82)/HYPOTHESES!$C$53),IF(C82="RI",IF(HYPOTHESES!$C$54=0,0,HYPOTHESES!G$54*SUMIFS('BALANCE 2024'!$H:$H,'BALANCE 2024'!$A:$A,A82)/HYPOTHESES!$C$54),IF(C82="RJ",IF(HYPOTHESES!$C$55=0,0,HYPOTHESES!G$55*SUMIFS('BALANCE 2024'!$H:$H,'BALANCE 2024'!$A:$A,A82)/HYPOTHESES!$C$55),IF(C82="RK",IF(HYPOTHESES!$C$56=0,0,HYPOTHESES!G$56*SUMIFS('BALANCE 2024'!$H:$H,'BALANCE 2024'!$A:$A,A82)/HYPOTHESES!$C$56),0)))))),MAX(0,D82-E82)),0)</f>
        <v>1023300</v>
      </c>
      <c r="I82" s="21" t="n">
        <v>0</v>
      </c>
      <c r="J82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2" s="43" t="n">
        <f aca="false">T_BAL_2028[[#This Row],[Clôture Débit]]-T_BAL_2028[[#This Row],[Clôture Crédit]]</f>
        <v>1023300</v>
      </c>
    </row>
    <row r="83" customFormat="false" ht="15" hidden="false" customHeight="false" outlineLevel="0" collapsed="false">
      <c r="A83" s="42" t="n">
        <v>641400</v>
      </c>
      <c r="B83" s="12" t="s">
        <v>379</v>
      </c>
      <c r="C83" s="13" t="s">
        <v>375</v>
      </c>
      <c r="D83" s="15" t="n">
        <f aca="false">IF(LEFT(A83,1)&gt;="6",0,SUMIFS('BALANCE 2027'!$H:$H,'BALANCE 2027'!$A:$A,A83))</f>
        <v>0</v>
      </c>
      <c r="E83" s="15" t="n">
        <f aca="false">IF(LEFT(A83,1)&gt;="6",0,SUMIFS('BALANCE 2027'!$I:$I,'BALANCE 2027'!$A:$A,A83))</f>
        <v>0</v>
      </c>
      <c r="F83" s="21" t="n">
        <f aca="false">MAX(0,(H83-I83)-(D83-E83))</f>
        <v>128834</v>
      </c>
      <c r="G83" s="21" t="n">
        <f aca="false">MAX(0,(D83-E83)-(H83-I83))</f>
        <v>0</v>
      </c>
      <c r="H83" s="15" t="n">
        <f aca="false">ROUND(IF(LEFT(A83,1)&gt;="6",IF(C83="RE",IF(HYPOTHESES!$C$51=0,0,HYPOTHESES!G$51*SUMIFS('BALANCE 2024'!$H:$H,'BALANCE 2024'!$A:$A,A83)/HYPOTHESES!$C$51),IF(C83="RG",IF(HYPOTHESES!$C$52=0,0,HYPOTHESES!G$52*SUMIFS('BALANCE 2024'!$H:$H,'BALANCE 2024'!$A:$A,A83)/HYPOTHESES!$C$52),IF(C83="RH",IF(HYPOTHESES!$C$53=0,0,HYPOTHESES!G$53*SUMIFS('BALANCE 2024'!$H:$H,'BALANCE 2024'!$A:$A,A83)/HYPOTHESES!$C$53),IF(C83="RI",IF(HYPOTHESES!$C$54=0,0,HYPOTHESES!G$54*SUMIFS('BALANCE 2024'!$H:$H,'BALANCE 2024'!$A:$A,A83)/HYPOTHESES!$C$54),IF(C83="RJ",IF(HYPOTHESES!$C$55=0,0,HYPOTHESES!G$55*SUMIFS('BALANCE 2024'!$H:$H,'BALANCE 2024'!$A:$A,A83)/HYPOTHESES!$C$55),IF(C83="RK",IF(HYPOTHESES!$C$56=0,0,HYPOTHESES!G$56*SUMIFS('BALANCE 2024'!$H:$H,'BALANCE 2024'!$A:$A,A83)/HYPOTHESES!$C$56),0)))))),MAX(0,D83-E83)),0)</f>
        <v>128834</v>
      </c>
      <c r="I83" s="21" t="n">
        <v>0</v>
      </c>
      <c r="J83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3" s="43" t="n">
        <f aca="false">T_BAL_2028[[#This Row],[Clôture Débit]]-T_BAL_2028[[#This Row],[Clôture Crédit]]</f>
        <v>128834</v>
      </c>
    </row>
    <row r="84" customFormat="false" ht="15" hidden="false" customHeight="false" outlineLevel="0" collapsed="false">
      <c r="A84" s="42" t="n">
        <v>641500</v>
      </c>
      <c r="B84" s="12" t="s">
        <v>380</v>
      </c>
      <c r="C84" s="13" t="s">
        <v>375</v>
      </c>
      <c r="D84" s="15" t="n">
        <f aca="false">IF(LEFT(A84,1)&gt;="6",0,SUMIFS('BALANCE 2027'!$H:$H,'BALANCE 2027'!$A:$A,A84))</f>
        <v>0</v>
      </c>
      <c r="E84" s="15" t="n">
        <f aca="false">IF(LEFT(A84,1)&gt;="6",0,SUMIFS('BALANCE 2027'!$I:$I,'BALANCE 2027'!$A:$A,A84))</f>
        <v>0</v>
      </c>
      <c r="F84" s="21" t="n">
        <f aca="false">MAX(0,(H84-I84)-(D84-E84))</f>
        <v>386517</v>
      </c>
      <c r="G84" s="21" t="n">
        <f aca="false">MAX(0,(D84-E84)-(H84-I84))</f>
        <v>0</v>
      </c>
      <c r="H84" s="15" t="n">
        <f aca="false">ROUND(IF(LEFT(A84,1)&gt;="6",IF(C84="RE",IF(HYPOTHESES!$C$51=0,0,HYPOTHESES!G$51*SUMIFS('BALANCE 2024'!$H:$H,'BALANCE 2024'!$A:$A,A84)/HYPOTHESES!$C$51),IF(C84="RG",IF(HYPOTHESES!$C$52=0,0,HYPOTHESES!G$52*SUMIFS('BALANCE 2024'!$H:$H,'BALANCE 2024'!$A:$A,A84)/HYPOTHESES!$C$52),IF(C84="RH",IF(HYPOTHESES!$C$53=0,0,HYPOTHESES!G$53*SUMIFS('BALANCE 2024'!$H:$H,'BALANCE 2024'!$A:$A,A84)/HYPOTHESES!$C$53),IF(C84="RI",IF(HYPOTHESES!$C$54=0,0,HYPOTHESES!G$54*SUMIFS('BALANCE 2024'!$H:$H,'BALANCE 2024'!$A:$A,A84)/HYPOTHESES!$C$54),IF(C84="RJ",IF(HYPOTHESES!$C$55=0,0,HYPOTHESES!G$55*SUMIFS('BALANCE 2024'!$H:$H,'BALANCE 2024'!$A:$A,A84)/HYPOTHESES!$C$55),IF(C84="RK",IF(HYPOTHESES!$C$56=0,0,HYPOTHESES!G$56*SUMIFS('BALANCE 2024'!$H:$H,'BALANCE 2024'!$A:$A,A84)/HYPOTHESES!$C$56),0)))))),MAX(0,D84-E84)),0)</f>
        <v>386517</v>
      </c>
      <c r="I84" s="21" t="n">
        <v>0</v>
      </c>
      <c r="J84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4" s="43" t="n">
        <f aca="false">T_BAL_2028[[#This Row],[Clôture Débit]]-T_BAL_2028[[#This Row],[Clôture Crédit]]</f>
        <v>386517</v>
      </c>
    </row>
    <row r="85" customFormat="false" ht="15" hidden="false" customHeight="false" outlineLevel="0" collapsed="false">
      <c r="A85" s="42" t="n">
        <v>641830</v>
      </c>
      <c r="B85" s="12" t="s">
        <v>381</v>
      </c>
      <c r="C85" s="13" t="s">
        <v>375</v>
      </c>
      <c r="D85" s="15" t="n">
        <f aca="false">IF(LEFT(A85,1)&gt;="6",0,SUMIFS('BALANCE 2027'!$H:$H,'BALANCE 2027'!$A:$A,A85))</f>
        <v>0</v>
      </c>
      <c r="E85" s="15" t="n">
        <f aca="false">IF(LEFT(A85,1)&gt;="6",0,SUMIFS('BALANCE 2027'!$I:$I,'BALANCE 2027'!$A:$A,A85))</f>
        <v>0</v>
      </c>
      <c r="F85" s="21" t="n">
        <f aca="false">MAX(0,(H85-I85)-(D85-E85))</f>
        <v>262066</v>
      </c>
      <c r="G85" s="21" t="n">
        <f aca="false">MAX(0,(D85-E85)-(H85-I85))</f>
        <v>0</v>
      </c>
      <c r="H85" s="15" t="n">
        <f aca="false">ROUND(IF(LEFT(A85,1)&gt;="6",IF(C85="RE",IF(HYPOTHESES!$C$51=0,0,HYPOTHESES!G$51*SUMIFS('BALANCE 2024'!$H:$H,'BALANCE 2024'!$A:$A,A85)/HYPOTHESES!$C$51),IF(C85="RG",IF(HYPOTHESES!$C$52=0,0,HYPOTHESES!G$52*SUMIFS('BALANCE 2024'!$H:$H,'BALANCE 2024'!$A:$A,A85)/HYPOTHESES!$C$52),IF(C85="RH",IF(HYPOTHESES!$C$53=0,0,HYPOTHESES!G$53*SUMIFS('BALANCE 2024'!$H:$H,'BALANCE 2024'!$A:$A,A85)/HYPOTHESES!$C$53),IF(C85="RI",IF(HYPOTHESES!$C$54=0,0,HYPOTHESES!G$54*SUMIFS('BALANCE 2024'!$H:$H,'BALANCE 2024'!$A:$A,A85)/HYPOTHESES!$C$54),IF(C85="RJ",IF(HYPOTHESES!$C$55=0,0,HYPOTHESES!G$55*SUMIFS('BALANCE 2024'!$H:$H,'BALANCE 2024'!$A:$A,A85)/HYPOTHESES!$C$55),IF(C85="RK",IF(HYPOTHESES!$C$56=0,0,HYPOTHESES!G$56*SUMIFS('BALANCE 2024'!$H:$H,'BALANCE 2024'!$A:$A,A85)/HYPOTHESES!$C$56),0)))))),MAX(0,D85-E85)),0)</f>
        <v>262066</v>
      </c>
      <c r="I85" s="21" t="n">
        <v>0</v>
      </c>
      <c r="J85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5" s="43" t="n">
        <f aca="false">T_BAL_2028[[#This Row],[Clôture Débit]]-T_BAL_2028[[#This Row],[Clôture Crédit]]</f>
        <v>262066</v>
      </c>
    </row>
    <row r="86" customFormat="false" ht="15" hidden="false" customHeight="false" outlineLevel="0" collapsed="false">
      <c r="A86" s="42" t="n">
        <v>646200</v>
      </c>
      <c r="B86" s="12" t="s">
        <v>382</v>
      </c>
      <c r="C86" s="13" t="s">
        <v>375</v>
      </c>
      <c r="D86" s="15" t="n">
        <f aca="false">IF(LEFT(A86,1)&gt;="6",0,SUMIFS('BALANCE 2027'!$H:$H,'BALANCE 2027'!$A:$A,A86))</f>
        <v>0</v>
      </c>
      <c r="E86" s="15" t="n">
        <f aca="false">IF(LEFT(A86,1)&gt;="6",0,SUMIFS('BALANCE 2027'!$I:$I,'BALANCE 2027'!$A:$A,A86))</f>
        <v>0</v>
      </c>
      <c r="F86" s="21" t="n">
        <f aca="false">MAX(0,(H86-I86)-(D86-E86))</f>
        <v>2136352</v>
      </c>
      <c r="G86" s="21" t="n">
        <f aca="false">MAX(0,(D86-E86)-(H86-I86))</f>
        <v>0</v>
      </c>
      <c r="H86" s="15" t="n">
        <f aca="false">ROUND(IF(LEFT(A86,1)&gt;="6",IF(C86="RE",IF(HYPOTHESES!$C$51=0,0,HYPOTHESES!G$51*SUMIFS('BALANCE 2024'!$H:$H,'BALANCE 2024'!$A:$A,A86)/HYPOTHESES!$C$51),IF(C86="RG",IF(HYPOTHESES!$C$52=0,0,HYPOTHESES!G$52*SUMIFS('BALANCE 2024'!$H:$H,'BALANCE 2024'!$A:$A,A86)/HYPOTHESES!$C$52),IF(C86="RH",IF(HYPOTHESES!$C$53=0,0,HYPOTHESES!G$53*SUMIFS('BALANCE 2024'!$H:$H,'BALANCE 2024'!$A:$A,A86)/HYPOTHESES!$C$53),IF(C86="RI",IF(HYPOTHESES!$C$54=0,0,HYPOTHESES!G$54*SUMIFS('BALANCE 2024'!$H:$H,'BALANCE 2024'!$A:$A,A86)/HYPOTHESES!$C$54),IF(C86="RJ",IF(HYPOTHESES!$C$55=0,0,HYPOTHESES!G$55*SUMIFS('BALANCE 2024'!$H:$H,'BALANCE 2024'!$A:$A,A86)/HYPOTHESES!$C$55),IF(C86="RK",IF(HYPOTHESES!$C$56=0,0,HYPOTHESES!G$56*SUMIFS('BALANCE 2024'!$H:$H,'BALANCE 2024'!$A:$A,A86)/HYPOTHESES!$C$56),0)))))),MAX(0,D86-E86)),0)</f>
        <v>2136352</v>
      </c>
      <c r="I86" s="21" t="n">
        <v>0</v>
      </c>
      <c r="J86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6" s="43" t="n">
        <f aca="false">T_BAL_2028[[#This Row],[Clôture Débit]]-T_BAL_2028[[#This Row],[Clôture Crédit]]</f>
        <v>2136352</v>
      </c>
    </row>
    <row r="87" customFormat="false" ht="15" hidden="false" customHeight="false" outlineLevel="0" collapsed="false">
      <c r="A87" s="42" t="n">
        <v>648000</v>
      </c>
      <c r="B87" s="12" t="s">
        <v>383</v>
      </c>
      <c r="C87" s="13" t="s">
        <v>375</v>
      </c>
      <c r="D87" s="15" t="n">
        <f aca="false">IF(LEFT(A87,1)&gt;="6",0,SUMIFS('BALANCE 2027'!$H:$H,'BALANCE 2027'!$A:$A,A87))</f>
        <v>0</v>
      </c>
      <c r="E87" s="15" t="n">
        <f aca="false">IF(LEFT(A87,1)&gt;="6",0,SUMIFS('BALANCE 2027'!$I:$I,'BALANCE 2027'!$A:$A,A87))</f>
        <v>0</v>
      </c>
      <c r="F87" s="21" t="n">
        <f aca="false">MAX(0,(H87-I87)-(D87-E87))</f>
        <v>898365</v>
      </c>
      <c r="G87" s="21" t="n">
        <f aca="false">MAX(0,(D87-E87)-(H87-I87))</f>
        <v>0</v>
      </c>
      <c r="H87" s="15" t="n">
        <f aca="false">ROUND(IF(LEFT(A87,1)&gt;="6",IF(C87="RE",IF(HYPOTHESES!$C$51=0,0,HYPOTHESES!G$51*SUMIFS('BALANCE 2024'!$H:$H,'BALANCE 2024'!$A:$A,A87)/HYPOTHESES!$C$51),IF(C87="RG",IF(HYPOTHESES!$C$52=0,0,HYPOTHESES!G$52*SUMIFS('BALANCE 2024'!$H:$H,'BALANCE 2024'!$A:$A,A87)/HYPOTHESES!$C$52),IF(C87="RH",IF(HYPOTHESES!$C$53=0,0,HYPOTHESES!G$53*SUMIFS('BALANCE 2024'!$H:$H,'BALANCE 2024'!$A:$A,A87)/HYPOTHESES!$C$53),IF(C87="RI",IF(HYPOTHESES!$C$54=0,0,HYPOTHESES!G$54*SUMIFS('BALANCE 2024'!$H:$H,'BALANCE 2024'!$A:$A,A87)/HYPOTHESES!$C$54),IF(C87="RJ",IF(HYPOTHESES!$C$55=0,0,HYPOTHESES!G$55*SUMIFS('BALANCE 2024'!$H:$H,'BALANCE 2024'!$A:$A,A87)/HYPOTHESES!$C$55),IF(C87="RK",IF(HYPOTHESES!$C$56=0,0,HYPOTHESES!G$56*SUMIFS('BALANCE 2024'!$H:$H,'BALANCE 2024'!$A:$A,A87)/HYPOTHESES!$C$56),0)))))),MAX(0,D87-E87)),0)</f>
        <v>898365</v>
      </c>
      <c r="I87" s="21" t="n">
        <v>0</v>
      </c>
      <c r="J87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7" s="43" t="n">
        <f aca="false">T_BAL_2028[[#This Row],[Clôture Débit]]-T_BAL_2028[[#This Row],[Clôture Crédit]]</f>
        <v>898365</v>
      </c>
    </row>
    <row r="88" customFormat="false" ht="15" hidden="false" customHeight="false" outlineLevel="0" collapsed="false">
      <c r="A88" s="42" t="n">
        <v>658800</v>
      </c>
      <c r="B88" s="12" t="s">
        <v>384</v>
      </c>
      <c r="C88" s="13" t="s">
        <v>385</v>
      </c>
      <c r="D88" s="15" t="n">
        <f aca="false">IF(LEFT(A88,1)&gt;="6",0,SUMIFS('BALANCE 2027'!$H:$H,'BALANCE 2027'!$A:$A,A88))</f>
        <v>0</v>
      </c>
      <c r="E88" s="15" t="n">
        <f aca="false">IF(LEFT(A88,1)&gt;="6",0,SUMIFS('BALANCE 2027'!$I:$I,'BALANCE 2027'!$A:$A,A88))</f>
        <v>0</v>
      </c>
      <c r="F88" s="21" t="n">
        <f aca="false">MAX(0,(H88-I88)-(D88-E88))</f>
        <v>1649832</v>
      </c>
      <c r="G88" s="21" t="n">
        <f aca="false">MAX(0,(D88-E88)-(H88-I88))</f>
        <v>0</v>
      </c>
      <c r="H88" s="15" t="n">
        <f aca="false">ROUND(IF(HYPOTHESES!$C$55=0,0,HYPOTHESES!G$55-SUMPRODUCT((T_BAL_2028[Poste]="RJ")*(T_BAL_2028[Compte]&lt;&gt;658800)*ROUND(HYPOTHESES!G$55*SUMIFS('BALANCE 2024'!$H:$H,'BALANCE 2024'!$A:$A,T_BAL_2028[Compte])/HYPOTHESES!$C$55,0))),0)</f>
        <v>1649832</v>
      </c>
      <c r="I88" s="21" t="n">
        <v>0</v>
      </c>
      <c r="J88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8" s="43" t="n">
        <f aca="false">T_BAL_2028[[#This Row],[Clôture Débit]]-T_BAL_2028[[#This Row],[Clôture Crédit]]</f>
        <v>1649832</v>
      </c>
    </row>
    <row r="89" customFormat="false" ht="15" hidden="false" customHeight="false" outlineLevel="0" collapsed="false">
      <c r="A89" s="42" t="n">
        <v>661100</v>
      </c>
      <c r="B89" s="12" t="s">
        <v>386</v>
      </c>
      <c r="C89" s="13" t="s">
        <v>387</v>
      </c>
      <c r="D89" s="15" t="n">
        <f aca="false">IF(LEFT(A89,1)&gt;="6",0,SUMIFS('BALANCE 2027'!$H:$H,'BALANCE 2027'!$A:$A,A89))</f>
        <v>0</v>
      </c>
      <c r="E89" s="15" t="n">
        <f aca="false">IF(LEFT(A89,1)&gt;="6",0,SUMIFS('BALANCE 2027'!$I:$I,'BALANCE 2027'!$A:$A,A89))</f>
        <v>0</v>
      </c>
      <c r="F89" s="21" t="n">
        <f aca="false">MAX(0,(H89-I89)-(D89-E89))</f>
        <v>73080991</v>
      </c>
      <c r="G89" s="21" t="n">
        <f aca="false">MAX(0,(D89-E89)-(H89-I89))</f>
        <v>0</v>
      </c>
      <c r="H89" s="15" t="n">
        <f aca="false">ROUND(IF(HYPOTHESES!$C$56=0,0,HYPOTHESES!G$56-SUMPRODUCT((T_BAL_2028[Poste]="RK")*(T_BAL_2028[Compte]&lt;&gt;661100)*(LEFT(T_BAL_2028[Compte],3)&lt;&gt;"664")*ROUND(HYPOTHESES!G$56*SUMIFS('BALANCE 2024'!$H:$H,'BALANCE 2024'!$A:$A,T_BAL_2028[Compte])/HYPOTHESES!$C$56,0))),0)</f>
        <v>73080991</v>
      </c>
      <c r="I89" s="21" t="n">
        <v>0</v>
      </c>
      <c r="J89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9" s="43" t="n">
        <f aca="false">T_BAL_2028[[#This Row],[Clôture Débit]]-T_BAL_2028[[#This Row],[Clôture Crédit]]</f>
        <v>73080991</v>
      </c>
    </row>
    <row r="90" customFormat="false" ht="15" hidden="false" customHeight="false" outlineLevel="0" collapsed="false">
      <c r="A90" s="42" t="n">
        <v>661200</v>
      </c>
      <c r="B90" s="12" t="s">
        <v>388</v>
      </c>
      <c r="C90" s="13" t="s">
        <v>387</v>
      </c>
      <c r="D90" s="15" t="n">
        <f aca="false">IF(LEFT(A90,1)&gt;="6",0,SUMIFS('BALANCE 2027'!$H:$H,'BALANCE 2027'!$A:$A,A90))</f>
        <v>0</v>
      </c>
      <c r="E90" s="15" t="n">
        <f aca="false">IF(LEFT(A90,1)&gt;="6",0,SUMIFS('BALANCE 2027'!$I:$I,'BALANCE 2027'!$A:$A,A90))</f>
        <v>0</v>
      </c>
      <c r="F90" s="21" t="n">
        <f aca="false">MAX(0,(H90-I90)-(D90-E90))</f>
        <v>24705064</v>
      </c>
      <c r="G90" s="21" t="n">
        <f aca="false">MAX(0,(D90-E90)-(H90-I90))</f>
        <v>0</v>
      </c>
      <c r="H90" s="15" t="n">
        <f aca="false">ROUND(IF(LEFT(A90,1)&gt;="6",IF(C90="RE",IF(HYPOTHESES!$C$51=0,0,HYPOTHESES!G$51*SUMIFS('BALANCE 2024'!$H:$H,'BALANCE 2024'!$A:$A,A90)/HYPOTHESES!$C$51),IF(C90="RG",IF(HYPOTHESES!$C$52=0,0,HYPOTHESES!G$52*SUMIFS('BALANCE 2024'!$H:$H,'BALANCE 2024'!$A:$A,A90)/HYPOTHESES!$C$52),IF(C90="RH",IF(HYPOTHESES!$C$53=0,0,HYPOTHESES!G$53*SUMIFS('BALANCE 2024'!$H:$H,'BALANCE 2024'!$A:$A,A90)/HYPOTHESES!$C$53),IF(C90="RI",IF(HYPOTHESES!$C$54=0,0,HYPOTHESES!G$54*SUMIFS('BALANCE 2024'!$H:$H,'BALANCE 2024'!$A:$A,A90)/HYPOTHESES!$C$54),IF(C90="RJ",IF(HYPOTHESES!$C$55=0,0,HYPOTHESES!G$55*SUMIFS('BALANCE 2024'!$H:$H,'BALANCE 2024'!$A:$A,A90)/HYPOTHESES!$C$55),IF(C90="RK",IF(HYPOTHESES!$C$56=0,0,HYPOTHESES!G$56*SUMIFS('BALANCE 2024'!$H:$H,'BALANCE 2024'!$A:$A,A90)/HYPOTHESES!$C$56),0)))))),MAX(0,D90-E90)),0)</f>
        <v>24705064</v>
      </c>
      <c r="I90" s="21" t="n">
        <v>0</v>
      </c>
      <c r="J90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0" s="43" t="n">
        <f aca="false">T_BAL_2028[[#This Row],[Clôture Débit]]-T_BAL_2028[[#This Row],[Clôture Crédit]]</f>
        <v>24705064</v>
      </c>
    </row>
    <row r="91" customFormat="false" ht="15" hidden="false" customHeight="false" outlineLevel="0" collapsed="false">
      <c r="A91" s="42" t="n">
        <v>661300</v>
      </c>
      <c r="B91" s="12" t="s">
        <v>389</v>
      </c>
      <c r="C91" s="13" t="s">
        <v>387</v>
      </c>
      <c r="D91" s="15" t="n">
        <f aca="false">IF(LEFT(A91,1)&gt;="6",0,SUMIFS('BALANCE 2027'!$H:$H,'BALANCE 2027'!$A:$A,A91))</f>
        <v>0</v>
      </c>
      <c r="E91" s="15" t="n">
        <f aca="false">IF(LEFT(A91,1)&gt;="6",0,SUMIFS('BALANCE 2027'!$I:$I,'BALANCE 2027'!$A:$A,A91))</f>
        <v>0</v>
      </c>
      <c r="F91" s="21" t="n">
        <f aca="false">MAX(0,(H91-I91)-(D91-E91))</f>
        <v>8151479</v>
      </c>
      <c r="G91" s="21" t="n">
        <f aca="false">MAX(0,(D91-E91)-(H91-I91))</f>
        <v>0</v>
      </c>
      <c r="H91" s="15" t="n">
        <f aca="false">ROUND(IF(LEFT(A91,1)&gt;="6",IF(C91="RE",IF(HYPOTHESES!$C$51=0,0,HYPOTHESES!G$51*SUMIFS('BALANCE 2024'!$H:$H,'BALANCE 2024'!$A:$A,A91)/HYPOTHESES!$C$51),IF(C91="RG",IF(HYPOTHESES!$C$52=0,0,HYPOTHESES!G$52*SUMIFS('BALANCE 2024'!$H:$H,'BALANCE 2024'!$A:$A,A91)/HYPOTHESES!$C$52),IF(C91="RH",IF(HYPOTHESES!$C$53=0,0,HYPOTHESES!G$53*SUMIFS('BALANCE 2024'!$H:$H,'BALANCE 2024'!$A:$A,A91)/HYPOTHESES!$C$53),IF(C91="RI",IF(HYPOTHESES!$C$54=0,0,HYPOTHESES!G$54*SUMIFS('BALANCE 2024'!$H:$H,'BALANCE 2024'!$A:$A,A91)/HYPOTHESES!$C$54),IF(C91="RJ",IF(HYPOTHESES!$C$55=0,0,HYPOTHESES!G$55*SUMIFS('BALANCE 2024'!$H:$H,'BALANCE 2024'!$A:$A,A91)/HYPOTHESES!$C$55),IF(C91="RK",IF(HYPOTHESES!$C$56=0,0,HYPOTHESES!G$56*SUMIFS('BALANCE 2024'!$H:$H,'BALANCE 2024'!$A:$A,A91)/HYPOTHESES!$C$56),0)))))),MAX(0,D91-E91)),0)</f>
        <v>8151479</v>
      </c>
      <c r="I91" s="21" t="n">
        <v>0</v>
      </c>
      <c r="J91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1" s="43" t="n">
        <f aca="false">T_BAL_2028[[#This Row],[Clôture Débit]]-T_BAL_2028[[#This Row],[Clôture Crédit]]</f>
        <v>8151479</v>
      </c>
    </row>
    <row r="92" customFormat="false" ht="15" hidden="false" customHeight="false" outlineLevel="0" collapsed="false">
      <c r="A92" s="42" t="n">
        <v>661400</v>
      </c>
      <c r="B92" s="12" t="s">
        <v>390</v>
      </c>
      <c r="C92" s="13" t="s">
        <v>387</v>
      </c>
      <c r="D92" s="15" t="n">
        <f aca="false">IF(LEFT(A92,1)&gt;="6",0,SUMIFS('BALANCE 2027'!$H:$H,'BALANCE 2027'!$A:$A,A92))</f>
        <v>0</v>
      </c>
      <c r="E92" s="15" t="n">
        <f aca="false">IF(LEFT(A92,1)&gt;="6",0,SUMIFS('BALANCE 2027'!$I:$I,'BALANCE 2027'!$A:$A,A92))</f>
        <v>0</v>
      </c>
      <c r="F92" s="21" t="n">
        <f aca="false">MAX(0,(H92-I92)-(D92-E92))</f>
        <v>8231941</v>
      </c>
      <c r="G92" s="21" t="n">
        <f aca="false">MAX(0,(D92-E92)-(H92-I92))</f>
        <v>0</v>
      </c>
      <c r="H92" s="15" t="n">
        <f aca="false">ROUND(IF(LEFT(A92,1)&gt;="6",IF(C92="RE",IF(HYPOTHESES!$C$51=0,0,HYPOTHESES!G$51*SUMIFS('BALANCE 2024'!$H:$H,'BALANCE 2024'!$A:$A,A92)/HYPOTHESES!$C$51),IF(C92="RG",IF(HYPOTHESES!$C$52=0,0,HYPOTHESES!G$52*SUMIFS('BALANCE 2024'!$H:$H,'BALANCE 2024'!$A:$A,A92)/HYPOTHESES!$C$52),IF(C92="RH",IF(HYPOTHESES!$C$53=0,0,HYPOTHESES!G$53*SUMIFS('BALANCE 2024'!$H:$H,'BALANCE 2024'!$A:$A,A92)/HYPOTHESES!$C$53),IF(C92="RI",IF(HYPOTHESES!$C$54=0,0,HYPOTHESES!G$54*SUMIFS('BALANCE 2024'!$H:$H,'BALANCE 2024'!$A:$A,A92)/HYPOTHESES!$C$54),IF(C92="RJ",IF(HYPOTHESES!$C$55=0,0,HYPOTHESES!G$55*SUMIFS('BALANCE 2024'!$H:$H,'BALANCE 2024'!$A:$A,A92)/HYPOTHESES!$C$55),IF(C92="RK",IF(HYPOTHESES!$C$56=0,0,HYPOTHESES!G$56*SUMIFS('BALANCE 2024'!$H:$H,'BALANCE 2024'!$A:$A,A92)/HYPOTHESES!$C$56),0)))))),MAX(0,D92-E92)),0)</f>
        <v>8231941</v>
      </c>
      <c r="I92" s="21" t="n">
        <v>0</v>
      </c>
      <c r="J92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2" s="43" t="n">
        <f aca="false">T_BAL_2028[[#This Row],[Clôture Débit]]-T_BAL_2028[[#This Row],[Clôture Crédit]]</f>
        <v>8231941</v>
      </c>
    </row>
    <row r="93" customFormat="false" ht="15" hidden="false" customHeight="false" outlineLevel="0" collapsed="false">
      <c r="A93" s="42" t="n">
        <v>663400</v>
      </c>
      <c r="B93" s="12" t="s">
        <v>391</v>
      </c>
      <c r="C93" s="13" t="s">
        <v>387</v>
      </c>
      <c r="D93" s="15" t="n">
        <f aca="false">IF(LEFT(A93,1)&gt;="6",0,SUMIFS('BALANCE 2027'!$H:$H,'BALANCE 2027'!$A:$A,A93))</f>
        <v>0</v>
      </c>
      <c r="E93" s="15" t="n">
        <f aca="false">IF(LEFT(A93,1)&gt;="6",0,SUMIFS('BALANCE 2027'!$I:$I,'BALANCE 2027'!$A:$A,A93))</f>
        <v>0</v>
      </c>
      <c r="F93" s="21" t="n">
        <f aca="false">MAX(0,(H93-I93)-(D93-E93))</f>
        <v>8525957</v>
      </c>
      <c r="G93" s="21" t="n">
        <f aca="false">MAX(0,(D93-E93)-(H93-I93))</f>
        <v>0</v>
      </c>
      <c r="H93" s="15" t="n">
        <f aca="false">ROUND(IF(LEFT(A93,1)&gt;="6",IF(C93="RE",IF(HYPOTHESES!$C$51=0,0,HYPOTHESES!G$51*SUMIFS('BALANCE 2024'!$H:$H,'BALANCE 2024'!$A:$A,A93)/HYPOTHESES!$C$51),IF(C93="RG",IF(HYPOTHESES!$C$52=0,0,HYPOTHESES!G$52*SUMIFS('BALANCE 2024'!$H:$H,'BALANCE 2024'!$A:$A,A93)/HYPOTHESES!$C$52),IF(C93="RH",IF(HYPOTHESES!$C$53=0,0,HYPOTHESES!G$53*SUMIFS('BALANCE 2024'!$H:$H,'BALANCE 2024'!$A:$A,A93)/HYPOTHESES!$C$53),IF(C93="RI",IF(HYPOTHESES!$C$54=0,0,HYPOTHESES!G$54*SUMIFS('BALANCE 2024'!$H:$H,'BALANCE 2024'!$A:$A,A93)/HYPOTHESES!$C$54),IF(C93="RJ",IF(HYPOTHESES!$C$55=0,0,HYPOTHESES!G$55*SUMIFS('BALANCE 2024'!$H:$H,'BALANCE 2024'!$A:$A,A93)/HYPOTHESES!$C$55),IF(C93="RK",IF(HYPOTHESES!$C$56=0,0,HYPOTHESES!G$56*SUMIFS('BALANCE 2024'!$H:$H,'BALANCE 2024'!$A:$A,A93)/HYPOTHESES!$C$56),0)))))),MAX(0,D93-E93)),0)</f>
        <v>8525957</v>
      </c>
      <c r="I93" s="21" t="n">
        <v>0</v>
      </c>
      <c r="J93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3" s="43" t="n">
        <f aca="false">T_BAL_2028[[#This Row],[Clôture Débit]]-T_BAL_2028[[#This Row],[Clôture Crédit]]</f>
        <v>8525957</v>
      </c>
    </row>
    <row r="94" customFormat="false" ht="15" hidden="false" customHeight="false" outlineLevel="0" collapsed="false">
      <c r="A94" s="42" t="n">
        <v>664101</v>
      </c>
      <c r="B94" s="12" t="s">
        <v>392</v>
      </c>
      <c r="C94" s="13" t="s">
        <v>387</v>
      </c>
      <c r="D94" s="15" t="n">
        <f aca="false">IF(LEFT(A94,1)&gt;="6",0,SUMIFS('BALANCE 2027'!$H:$H,'BALANCE 2027'!$A:$A,A94))</f>
        <v>0</v>
      </c>
      <c r="E94" s="15" t="n">
        <f aca="false">IF(LEFT(A94,1)&gt;="6",0,SUMIFS('BALANCE 2027'!$I:$I,'BALANCE 2027'!$A:$A,A94))</f>
        <v>0</v>
      </c>
      <c r="F94" s="21" t="n">
        <f aca="false">MAX(0,(H94-I94)-(D94-E94))</f>
        <v>540000</v>
      </c>
      <c r="G94" s="21" t="n">
        <f aca="false">MAX(0,(D94-E94)-(H94-I94))</f>
        <v>0</v>
      </c>
      <c r="H94" s="15" t="n">
        <f aca="false">ROUND(HYPOTHESES!G$62,0)</f>
        <v>540000</v>
      </c>
      <c r="I94" s="21" t="n">
        <v>0</v>
      </c>
      <c r="J94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4" s="43" t="n">
        <f aca="false">T_BAL_2028[[#This Row],[Clôture Débit]]-T_BAL_2028[[#This Row],[Clôture Crédit]]</f>
        <v>540000</v>
      </c>
    </row>
    <row r="95" customFormat="false" ht="15" hidden="false" customHeight="false" outlineLevel="0" collapsed="false">
      <c r="A95" s="42" t="n">
        <v>664102</v>
      </c>
      <c r="B95" s="12" t="s">
        <v>393</v>
      </c>
      <c r="C95" s="13" t="s">
        <v>387</v>
      </c>
      <c r="D95" s="15" t="n">
        <f aca="false">IF(LEFT(A95,1)&gt;="6",0,SUMIFS('BALANCE 2027'!$H:$H,'BALANCE 2027'!$A:$A,A95))</f>
        <v>0</v>
      </c>
      <c r="E95" s="15" t="n">
        <f aca="false">IF(LEFT(A95,1)&gt;="6",0,SUMIFS('BALANCE 2027'!$I:$I,'BALANCE 2027'!$A:$A,A95))</f>
        <v>0</v>
      </c>
      <c r="F95" s="21" t="n">
        <f aca="false">MAX(0,(H95-I95)-(D95-E95))</f>
        <v>4657500</v>
      </c>
      <c r="G95" s="21" t="n">
        <f aca="false">MAX(0,(D95-E95)-(H95-I95))</f>
        <v>0</v>
      </c>
      <c r="H95" s="15" t="n">
        <f aca="false">ROUND(HYPOTHESES!G$60,0)</f>
        <v>4657500</v>
      </c>
      <c r="I95" s="21" t="n">
        <v>0</v>
      </c>
      <c r="J95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5" s="43" t="n">
        <f aca="false">T_BAL_2028[[#This Row],[Clôture Débit]]-T_BAL_2028[[#This Row],[Clôture Crédit]]</f>
        <v>4657500</v>
      </c>
    </row>
    <row r="96" customFormat="false" ht="15" hidden="false" customHeight="false" outlineLevel="0" collapsed="false">
      <c r="A96" s="42" t="n">
        <v>664103</v>
      </c>
      <c r="B96" s="12" t="s">
        <v>394</v>
      </c>
      <c r="C96" s="13" t="s">
        <v>387</v>
      </c>
      <c r="D96" s="15" t="n">
        <f aca="false">IF(LEFT(A96,1)&gt;="6",0,SUMIFS('BALANCE 2027'!$H:$H,'BALANCE 2027'!$A:$A,A96))</f>
        <v>0</v>
      </c>
      <c r="E96" s="15" t="n">
        <f aca="false">IF(LEFT(A96,1)&gt;="6",0,SUMIFS('BALANCE 2027'!$I:$I,'BALANCE 2027'!$A:$A,A96))</f>
        <v>0</v>
      </c>
      <c r="F96" s="21" t="n">
        <f aca="false">MAX(0,(H96-I96)-(D96-E96))</f>
        <v>4050000</v>
      </c>
      <c r="G96" s="21" t="n">
        <f aca="false">MAX(0,(D96-E96)-(H96-I96))</f>
        <v>0</v>
      </c>
      <c r="H96" s="15" t="n">
        <f aca="false">ROUND(HYPOTHESES!G$61,0)</f>
        <v>4050000</v>
      </c>
      <c r="I96" s="21" t="n">
        <v>0</v>
      </c>
      <c r="J96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6" s="43" t="n">
        <f aca="false">T_BAL_2028[[#This Row],[Clôture Débit]]-T_BAL_2028[[#This Row],[Clôture Crédit]]</f>
        <v>4050000</v>
      </c>
    </row>
    <row r="97" customFormat="false" ht="15" hidden="false" customHeight="false" outlineLevel="0" collapsed="false">
      <c r="A97" s="42" t="n">
        <v>664104</v>
      </c>
      <c r="B97" s="12" t="s">
        <v>395</v>
      </c>
      <c r="C97" s="13" t="s">
        <v>387</v>
      </c>
      <c r="D97" s="15" t="n">
        <f aca="false">IF(LEFT(A97,1)&gt;="6",0,SUMIFS('BALANCE 2027'!$H:$H,'BALANCE 2027'!$A:$A,A97))</f>
        <v>0</v>
      </c>
      <c r="E97" s="15" t="n">
        <f aca="false">IF(LEFT(A97,1)&gt;="6",0,SUMIFS('BALANCE 2027'!$I:$I,'BALANCE 2027'!$A:$A,A97))</f>
        <v>0</v>
      </c>
      <c r="F97" s="21" t="n">
        <f aca="false">MAX(0,(H97-I97)-(D97-E97))</f>
        <v>8791050</v>
      </c>
      <c r="G97" s="21" t="n">
        <f aca="false">MAX(0,(D97-E97)-(H97-I97))</f>
        <v>0</v>
      </c>
      <c r="H97" s="15" t="n">
        <f aca="false">ROUND(HYPOTHESES!G$59,0)</f>
        <v>8791050</v>
      </c>
      <c r="I97" s="21" t="n">
        <v>0</v>
      </c>
      <c r="J97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7" s="43" t="n">
        <f aca="false">T_BAL_2028[[#This Row],[Clôture Débit]]-T_BAL_2028[[#This Row],[Clôture Crédit]]</f>
        <v>8791050</v>
      </c>
    </row>
    <row r="98" customFormat="false" ht="15" hidden="false" customHeight="false" outlineLevel="0" collapsed="false">
      <c r="A98" s="42" t="n">
        <v>671201</v>
      </c>
      <c r="B98" s="12" t="s">
        <v>396</v>
      </c>
      <c r="C98" s="13" t="s">
        <v>397</v>
      </c>
      <c r="D98" s="15" t="n">
        <f aca="false">IF(LEFT(A98,1)&gt;="6",0,SUMIFS('BALANCE 2027'!$H:$H,'BALANCE 2027'!$A:$A,A98))</f>
        <v>0</v>
      </c>
      <c r="E98" s="15" t="n">
        <f aca="false">IF(LEFT(A98,1)&gt;="6",0,SUMIFS('BALANCE 2027'!$I:$I,'BALANCE 2027'!$A:$A,A98))</f>
        <v>0</v>
      </c>
      <c r="F98" s="21" t="n">
        <f aca="false">MAX(0,(H98-I98)-(D98-E98))</f>
        <v>0</v>
      </c>
      <c r="G98" s="21" t="n">
        <f aca="false">MAX(0,(D98-E98)-(H98-I98))</f>
        <v>0</v>
      </c>
      <c r="H98" s="15" t="n">
        <f aca="false">ROUND('INVEST ET FINANCEMENT'!G$65,0)</f>
        <v>0</v>
      </c>
      <c r="I98" s="21" t="n">
        <v>0</v>
      </c>
      <c r="J98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8" s="43" t="n">
        <f aca="false">T_BAL_2028[[#This Row],[Clôture Débit]]-T_BAL_2028[[#This Row],[Clôture Crédit]]</f>
        <v>0</v>
      </c>
    </row>
    <row r="99" customFormat="false" ht="15" hidden="false" customHeight="false" outlineLevel="0" collapsed="false">
      <c r="A99" s="42" t="n">
        <v>672301</v>
      </c>
      <c r="B99" s="12" t="s">
        <v>398</v>
      </c>
      <c r="C99" s="13" t="s">
        <v>397</v>
      </c>
      <c r="D99" s="15" t="n">
        <f aca="false">IF(LEFT(A99,1)&gt;="6",0,SUMIFS('BALANCE 2027'!$H:$H,'BALANCE 2027'!$A:$A,A99))</f>
        <v>0</v>
      </c>
      <c r="E99" s="15" t="n">
        <f aca="false">IF(LEFT(A99,1)&gt;="6",0,SUMIFS('BALANCE 2027'!$I:$I,'BALANCE 2027'!$A:$A,A99))</f>
        <v>0</v>
      </c>
      <c r="F99" s="21" t="n">
        <f aca="false">MAX(0,(H99-I99)-(D99-E99))</f>
        <v>0</v>
      </c>
      <c r="G99" s="21" t="n">
        <f aca="false">MAX(0,(D99-E99)-(H99-I99))</f>
        <v>0</v>
      </c>
      <c r="H99" s="15" t="n">
        <f aca="false">ROUND('INVEST ET FINANCEMENT'!G$66,0)</f>
        <v>0</v>
      </c>
      <c r="I99" s="21" t="n">
        <v>0</v>
      </c>
      <c r="J99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9" s="43" t="n">
        <f aca="false">T_BAL_2028[[#This Row],[Clôture Débit]]-T_BAL_2028[[#This Row],[Clôture Crédit]]</f>
        <v>0</v>
      </c>
    </row>
    <row r="100" customFormat="false" ht="15" hidden="false" customHeight="false" outlineLevel="0" collapsed="false">
      <c r="A100" s="42" t="n">
        <v>681301</v>
      </c>
      <c r="B100" s="12" t="s">
        <v>399</v>
      </c>
      <c r="C100" s="13" t="s">
        <v>400</v>
      </c>
      <c r="D100" s="15" t="n">
        <f aca="false">IF(LEFT(A100,1)&gt;="6",0,SUMIFS('BALANCE 2027'!$H:$H,'BALANCE 2027'!$A:$A,A100))</f>
        <v>0</v>
      </c>
      <c r="E100" s="15" t="n">
        <f aca="false">IF(LEFT(A100,1)&gt;="6",0,SUMIFS('BALANCE 2027'!$I:$I,'BALANCE 2027'!$A:$A,A100))</f>
        <v>0</v>
      </c>
      <c r="F100" s="21" t="n">
        <f aca="false">MAX(0,(H100-I100)-(D100-E100))</f>
        <v>3916481</v>
      </c>
      <c r="G100" s="21" t="n">
        <f aca="false">MAX(0,(D100-E100)-(H100-I100))</f>
        <v>0</v>
      </c>
      <c r="H100" s="15" t="n">
        <f aca="false">ROUND('INVEST ET FINANCEMENT'!G$32,0)</f>
        <v>3916481</v>
      </c>
      <c r="I100" s="21" t="n">
        <v>0</v>
      </c>
      <c r="J100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0" s="43" t="n">
        <f aca="false">T_BAL_2028[[#This Row],[Clôture Débit]]-T_BAL_2028[[#This Row],[Clôture Crédit]]</f>
        <v>3916481</v>
      </c>
    </row>
    <row r="101" customFormat="false" ht="15" hidden="false" customHeight="false" outlineLevel="0" collapsed="false">
      <c r="A101" s="42" t="n">
        <v>681302</v>
      </c>
      <c r="B101" s="12" t="s">
        <v>401</v>
      </c>
      <c r="C101" s="13" t="s">
        <v>400</v>
      </c>
      <c r="D101" s="15" t="n">
        <f aca="false">IF(LEFT(A101,1)&gt;="6",0,SUMIFS('BALANCE 2027'!$H:$H,'BALANCE 2027'!$A:$A,A101))</f>
        <v>0</v>
      </c>
      <c r="E101" s="15" t="n">
        <f aca="false">IF(LEFT(A101,1)&gt;="6",0,SUMIFS('BALANCE 2027'!$I:$I,'BALANCE 2027'!$A:$A,A101))</f>
        <v>0</v>
      </c>
      <c r="F101" s="21" t="n">
        <f aca="false">MAX(0,(H101-I101)-(D101-E101))</f>
        <v>62854932</v>
      </c>
      <c r="G101" s="21" t="n">
        <f aca="false">MAX(0,(D101-E101)-(H101-I101))</f>
        <v>0</v>
      </c>
      <c r="H101" s="15" t="n">
        <f aca="false">ROUND('INVEST ET FINANCEMENT'!G$35,0)</f>
        <v>62854932</v>
      </c>
      <c r="I101" s="21" t="n">
        <v>0</v>
      </c>
      <c r="J101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1" s="43" t="n">
        <f aca="false">T_BAL_2028[[#This Row],[Clôture Débit]]-T_BAL_2028[[#This Row],[Clôture Crédit]]</f>
        <v>62854932</v>
      </c>
    </row>
    <row r="102" customFormat="false" ht="15" hidden="false" customHeight="false" outlineLevel="0" collapsed="false">
      <c r="A102" s="42" t="n">
        <v>681303</v>
      </c>
      <c r="B102" s="12" t="s">
        <v>402</v>
      </c>
      <c r="C102" s="13" t="s">
        <v>400</v>
      </c>
      <c r="D102" s="15" t="n">
        <f aca="false">IF(LEFT(A102,1)&gt;="6",0,SUMIFS('BALANCE 2027'!$H:$H,'BALANCE 2027'!$A:$A,A102))</f>
        <v>0</v>
      </c>
      <c r="E102" s="15" t="n">
        <f aca="false">IF(LEFT(A102,1)&gt;="6",0,SUMIFS('BALANCE 2027'!$I:$I,'BALANCE 2027'!$A:$A,A102))</f>
        <v>0</v>
      </c>
      <c r="F102" s="21" t="n">
        <f aca="false">MAX(0,(H102-I102)-(D102-E102))</f>
        <v>5000000</v>
      </c>
      <c r="G102" s="21" t="n">
        <f aca="false">MAX(0,(D102-E102)-(H102-I102))</f>
        <v>0</v>
      </c>
      <c r="H102" s="15" t="n">
        <f aca="false">ROUND('INVEST ET FINANCEMENT'!G$38,0)</f>
        <v>5000000</v>
      </c>
      <c r="I102" s="21" t="n">
        <v>0</v>
      </c>
      <c r="J102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2" s="43" t="n">
        <f aca="false">T_BAL_2028[[#This Row],[Clôture Débit]]-T_BAL_2028[[#This Row],[Clôture Crédit]]</f>
        <v>5000000</v>
      </c>
    </row>
    <row r="103" customFormat="false" ht="15" hidden="false" customHeight="false" outlineLevel="0" collapsed="false">
      <c r="A103" s="42" t="n">
        <v>681304</v>
      </c>
      <c r="B103" s="12" t="s">
        <v>403</v>
      </c>
      <c r="C103" s="13" t="s">
        <v>400</v>
      </c>
      <c r="D103" s="15" t="n">
        <f aca="false">IF(LEFT(A103,1)&gt;="6",0,SUMIFS('BALANCE 2027'!$H:$H,'BALANCE 2027'!$A:$A,A103))</f>
        <v>0</v>
      </c>
      <c r="E103" s="15" t="n">
        <f aca="false">IF(LEFT(A103,1)&gt;="6",0,SUMIFS('BALANCE 2027'!$I:$I,'BALANCE 2027'!$A:$A,A103))</f>
        <v>0</v>
      </c>
      <c r="F103" s="21" t="n">
        <f aca="false">MAX(0,(H103-I103)-(D103-E103))</f>
        <v>24093971</v>
      </c>
      <c r="G103" s="21" t="n">
        <f aca="false">MAX(0,(D103-E103)-(H103-I103))</f>
        <v>0</v>
      </c>
      <c r="H103" s="15" t="n">
        <f aca="false">ROUND('INVEST ET FINANCEMENT'!G$41,0)</f>
        <v>24093971</v>
      </c>
      <c r="I103" s="21" t="n">
        <v>0</v>
      </c>
      <c r="J103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3" s="43" t="n">
        <f aca="false">T_BAL_2028[[#This Row],[Clôture Débit]]-T_BAL_2028[[#This Row],[Clôture Crédit]]</f>
        <v>24093971</v>
      </c>
    </row>
    <row r="104" customFormat="false" ht="15" hidden="false" customHeight="false" outlineLevel="0" collapsed="false">
      <c r="A104" s="42" t="n">
        <v>691100</v>
      </c>
      <c r="B104" s="12" t="s">
        <v>404</v>
      </c>
      <c r="C104" s="13" t="s">
        <v>400</v>
      </c>
      <c r="D104" s="15" t="n">
        <f aca="false">IF(LEFT(A104,1)&gt;="6",0,SUMIFS('BALANCE 2027'!$H:$H,'BALANCE 2027'!$A:$A,A104))</f>
        <v>0</v>
      </c>
      <c r="E104" s="15" t="n">
        <f aca="false">IF(LEFT(A104,1)&gt;="6",0,SUMIFS('BALANCE 2027'!$I:$I,'BALANCE 2027'!$A:$A,A104))</f>
        <v>0</v>
      </c>
      <c r="F104" s="21" t="n">
        <f aca="false">MAX(0,(H104-I104)-(D104-E104))</f>
        <v>7508960</v>
      </c>
      <c r="G104" s="21" t="n">
        <f aca="false">MAX(0,(D104-E104)-(H104-I104))</f>
        <v>0</v>
      </c>
      <c r="H104" s="15" t="n">
        <f aca="false">ROUND(HYPOTHESES!G$65,0)</f>
        <v>7508960</v>
      </c>
      <c r="I104" s="21" t="n">
        <v>0</v>
      </c>
      <c r="J104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4" s="43" t="n">
        <f aca="false">T_BAL_2028[[#This Row],[Clôture Débit]]-T_BAL_2028[[#This Row],[Clôture Crédit]]</f>
        <v>7508960</v>
      </c>
    </row>
    <row r="105" customFormat="false" ht="15" hidden="false" customHeight="false" outlineLevel="0" collapsed="false">
      <c r="A105" s="35" t="n">
        <v>705100</v>
      </c>
      <c r="B105" s="36" t="s">
        <v>405</v>
      </c>
      <c r="C105" s="37" t="s">
        <v>406</v>
      </c>
      <c r="D105" s="44" t="n">
        <f aca="false">IF(LEFT(A105,1)&gt;="6",0,SUMIFS('BALANCE 2027'!$H:$H,'BALANCE 2027'!$A:$A,A105))</f>
        <v>0</v>
      </c>
      <c r="E105" s="44" t="n">
        <f aca="false">IF(LEFT(A105,1)&gt;="6",0,SUMIFS('BALANCE 2027'!$I:$I,'BALANCE 2027'!$A:$A,A105))</f>
        <v>0</v>
      </c>
      <c r="F105" s="39" t="n">
        <f aca="false">MAX(0,(H105-I105)-(D105-E105))</f>
        <v>0</v>
      </c>
      <c r="G105" s="39" t="n">
        <f aca="false">MAX(0,(D105-E105)-(H105-I105))</f>
        <v>868332850</v>
      </c>
      <c r="H105" s="39" t="n">
        <v>0</v>
      </c>
      <c r="I105" s="44" t="n">
        <f aca="false">ROUND(HYPOTHESES!G$50,0)</f>
        <v>868332850</v>
      </c>
      <c r="J105" s="39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5" s="40" t="n">
        <f aca="false">T_BAL_2028[[#This Row],[Clôture Débit]]-T_BAL_2028[[#This Row],[Clôture Crédit]]</f>
        <v>-868332850</v>
      </c>
    </row>
    <row r="106" customFormat="false" ht="15" hidden="false" customHeight="false" outlineLevel="0" collapsed="false">
      <c r="A106" s="42" t="n">
        <v>771200</v>
      </c>
      <c r="B106" s="12" t="s">
        <v>407</v>
      </c>
      <c r="C106" s="13" t="s">
        <v>408</v>
      </c>
      <c r="D106" s="15" t="n">
        <f aca="false">IF(LEFT(A106,1)&gt;="6",0,SUMIFS('BALANCE 2027'!$H:$H,'BALANCE 2027'!$A:$A,A106))</f>
        <v>0</v>
      </c>
      <c r="E106" s="15" t="n">
        <f aca="false">IF(LEFT(A106,1)&gt;="6",0,SUMIFS('BALANCE 2027'!$I:$I,'BALANCE 2027'!$A:$A,A106))</f>
        <v>0</v>
      </c>
      <c r="F106" s="21" t="n">
        <f aca="false">MAX(0,(H106-I106)-(D106-E106))</f>
        <v>0</v>
      </c>
      <c r="G106" s="21" t="n">
        <f aca="false">MAX(0,(D106-E106)-(H106-I106))</f>
        <v>848594</v>
      </c>
      <c r="H106" s="21" t="n">
        <v>0</v>
      </c>
      <c r="I106" s="15" t="n">
        <f aca="false">ROUND(HYPOTHESES!G$66,0)</f>
        <v>848594</v>
      </c>
      <c r="J106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6" s="43" t="n">
        <f aca="false">T_BAL_2028[[#This Row],[Clôture Débit]]-T_BAL_2028[[#This Row],[Clôture Crédit]]</f>
        <v>-848594</v>
      </c>
    </row>
    <row r="107" customFormat="false" ht="15" hidden="false" customHeight="false" outlineLevel="0" collapsed="false">
      <c r="A107" s="35" t="n">
        <v>891100</v>
      </c>
      <c r="B107" s="36" t="s">
        <v>409</v>
      </c>
      <c r="C107" s="37" t="s">
        <v>410</v>
      </c>
      <c r="D107" s="44" t="n">
        <f aca="false">IF(LEFT(A107,1)&gt;="6",0,SUMIFS('BALANCE 2027'!$H:$H,'BALANCE 2027'!$A:$A,A107))</f>
        <v>0</v>
      </c>
      <c r="E107" s="44" t="n">
        <f aca="false">IF(LEFT(A107,1)&gt;="6",0,SUMIFS('BALANCE 2027'!$I:$I,'BALANCE 2027'!$A:$A,A107))</f>
        <v>0</v>
      </c>
      <c r="F107" s="39" t="n">
        <f aca="false">MAX(0,(H107-I107)-(D107-E107))</f>
        <v>33384003</v>
      </c>
      <c r="G107" s="39" t="n">
        <f aca="false">MAX(0,(D107-E107)-(H107-I107))</f>
        <v>0</v>
      </c>
      <c r="H107" s="44" t="n">
        <f aca="false">ROUND(IF(HYPOTHESES!G$70&gt;=HYPOTHESES!G$71,HYPOTHESES!G$72,0),0)</f>
        <v>33384003</v>
      </c>
      <c r="I107" s="39" t="n">
        <v>0</v>
      </c>
      <c r="J107" s="39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7" s="40" t="n">
        <f aca="false">T_BAL_2028[[#This Row],[Clôture Débit]]-T_BAL_2028[[#This Row],[Clôture Crédit]]</f>
        <v>33384003</v>
      </c>
    </row>
    <row r="108" customFormat="false" ht="15" hidden="false" customHeight="false" outlineLevel="0" collapsed="false">
      <c r="A108" s="42" t="n">
        <v>895000</v>
      </c>
      <c r="B108" s="12" t="s">
        <v>411</v>
      </c>
      <c r="C108" s="13" t="s">
        <v>410</v>
      </c>
      <c r="D108" s="15" t="n">
        <f aca="false">IF(LEFT(A108,1)&gt;="6",0,SUMIFS('BALANCE 2027'!$H:$H,'BALANCE 2027'!$A:$A,A108))</f>
        <v>0</v>
      </c>
      <c r="E108" s="15" t="n">
        <f aca="false">IF(LEFT(A108,1)&gt;="6",0,SUMIFS('BALANCE 2027'!$I:$I,'BALANCE 2027'!$A:$A,A108))</f>
        <v>0</v>
      </c>
      <c r="F108" s="21" t="n">
        <f aca="false">MAX(0,(H108-I108)-(D108-E108))</f>
        <v>0</v>
      </c>
      <c r="G108" s="21" t="n">
        <f aca="false">MAX(0,(D108-E108)-(H108-I108))</f>
        <v>0</v>
      </c>
      <c r="H108" s="15" t="n">
        <f aca="false">ROUND(IF(HYPOTHESES!G$70&lt;HYPOTHESES!G$71,HYPOTHESES!G$72,0),0)</f>
        <v>0</v>
      </c>
      <c r="I108" s="21" t="n">
        <v>0</v>
      </c>
      <c r="J108" s="21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8" s="43" t="n">
        <f aca="false">T_BAL_2028[[#This Row],[Clôture Débit]]-T_BAL_2028[[#This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420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413</v>
      </c>
    </row>
    <row r="3" customFormat="false" ht="15" hidden="false" customHeight="false" outlineLevel="0" collapsed="false">
      <c r="A3" s="27"/>
      <c r="B3" s="27"/>
      <c r="C3" s="27"/>
      <c r="D3" s="28" t="s">
        <v>237</v>
      </c>
      <c r="E3" s="28"/>
      <c r="F3" s="28" t="s">
        <v>238</v>
      </c>
      <c r="G3" s="28"/>
      <c r="H3" s="28" t="s">
        <v>239</v>
      </c>
      <c r="I3" s="28"/>
      <c r="J3" s="29" t="s">
        <v>240</v>
      </c>
      <c r="K3" s="29" t="s">
        <v>241</v>
      </c>
      <c r="M3" s="30" t="s">
        <v>242</v>
      </c>
      <c r="N3" s="30"/>
    </row>
    <row r="4" customFormat="false" ht="15" hidden="false" customHeight="false" outlineLevel="0" collapsed="false">
      <c r="A4" s="8" t="s">
        <v>243</v>
      </c>
      <c r="B4" s="8" t="s">
        <v>244</v>
      </c>
      <c r="C4" s="8" t="s">
        <v>245</v>
      </c>
      <c r="D4" s="8" t="s">
        <v>246</v>
      </c>
      <c r="E4" s="8" t="s">
        <v>247</v>
      </c>
      <c r="F4" s="8" t="s">
        <v>246</v>
      </c>
      <c r="G4" s="8" t="s">
        <v>247</v>
      </c>
      <c r="H4" s="8" t="s">
        <v>246</v>
      </c>
      <c r="I4" s="8" t="s">
        <v>247</v>
      </c>
      <c r="J4" s="8" t="s">
        <v>248</v>
      </c>
      <c r="M4" s="31" t="s">
        <v>249</v>
      </c>
    </row>
    <row r="5" customFormat="false" ht="15" hidden="false" customHeight="false" outlineLevel="0" collapsed="false">
      <c r="A5" s="32"/>
      <c r="B5" s="33" t="s">
        <v>250</v>
      </c>
      <c r="C5" s="32"/>
      <c r="D5" s="34" t="n">
        <f aca="false">SUBTOTAL(109,T_BAL_2029[Ouverture Débit])</f>
        <v>2369808971</v>
      </c>
      <c r="E5" s="34" t="n">
        <f aca="false">SUBTOTAL(109,T_BAL_2029[Ouverture Crédit])</f>
        <v>2369808971</v>
      </c>
      <c r="F5" s="34" t="n">
        <f aca="false">SUBTOTAL(109,T_BAL_2029[Mouvements Débit])</f>
        <v>4462344585</v>
      </c>
      <c r="G5" s="34" t="n">
        <f aca="false">SUBTOTAL(109,T_BAL_2029[Mouvements Crédit])</f>
        <v>4462344585</v>
      </c>
      <c r="H5" s="34" t="n">
        <f aca="false">SUBTOTAL(109,T_BAL_2029[Clôture Débit])</f>
        <v>3358418232</v>
      </c>
      <c r="I5" s="34" t="n">
        <f aca="false">SUBTOTAL(109,T_BAL_2029[Clôture Crédit])</f>
        <v>3358418232</v>
      </c>
      <c r="J5" s="34" t="n">
        <f aca="false">SUBTOTAL(109,T_BAL_2029[Contrôle])</f>
        <v>0</v>
      </c>
      <c r="M5" s="31" t="s">
        <v>251</v>
      </c>
    </row>
    <row r="6" customFormat="false" ht="15" hidden="false" customHeight="false" outlineLevel="0" collapsed="false">
      <c r="B6" s="4" t="s">
        <v>252</v>
      </c>
      <c r="D6" s="24" t="n">
        <f aca="false">D5-E5</f>
        <v>0</v>
      </c>
      <c r="F6" s="24" t="n">
        <f aca="false">F5-G5</f>
        <v>0</v>
      </c>
      <c r="H6" s="24" t="n">
        <f aca="false">H5-I5</f>
        <v>0</v>
      </c>
      <c r="M6" s="31" t="s">
        <v>253</v>
      </c>
    </row>
    <row r="7" customFormat="false" ht="15" hidden="false" customHeight="false" outlineLevel="0" collapsed="false">
      <c r="B7" s="7" t="s">
        <v>414</v>
      </c>
      <c r="H7" s="21" t="n">
        <f aca="false">-SUM(T_BAL_2029[Hors trésorerie])</f>
        <v>626592872</v>
      </c>
      <c r="M7" s="31" t="s">
        <v>254</v>
      </c>
    </row>
    <row r="8" customFormat="false" ht="15" hidden="false" customHeight="false" outlineLevel="0" collapsed="false">
      <c r="B8" s="7" t="s">
        <v>415</v>
      </c>
      <c r="H8" s="21" t="n">
        <f aca="false">ROUND((G34+HYPOTHESES!H$66+'INVEST ET FINANCEMENT'!H$48+'INVEST ET FINANCEMENT'!H$52+(D56-E56)+(D57-E57)-H7)/(1-HYPOTHESES!H$37*(1-HYPOTHESES!H$38)),0)</f>
        <v>938727429</v>
      </c>
      <c r="M8" s="31" t="s">
        <v>255</v>
      </c>
    </row>
    <row r="9" customFormat="false" ht="15" hidden="false" customHeight="false" outlineLevel="0" collapsed="false">
      <c r="B9" s="7" t="s">
        <v>416</v>
      </c>
      <c r="H9" s="21" t="n">
        <f aca="false">ROUND(HYPOTHESES!H$37*H8,0)</f>
        <v>187745486</v>
      </c>
      <c r="M9" s="31" t="s">
        <v>256</v>
      </c>
    </row>
    <row r="10" customFormat="false" ht="15" hidden="false" customHeight="false" outlineLevel="0" collapsed="false">
      <c r="M10" s="31" t="s">
        <v>257</v>
      </c>
    </row>
    <row r="11" customFormat="false" ht="15" hidden="false" customHeight="false" outlineLevel="0" collapsed="false">
      <c r="A11" s="27"/>
      <c r="B11" s="29" t="s">
        <v>258</v>
      </c>
      <c r="C11" s="27"/>
      <c r="D11" s="28" t="s">
        <v>237</v>
      </c>
      <c r="E11" s="28"/>
      <c r="F11" s="28" t="s">
        <v>238</v>
      </c>
      <c r="G11" s="28"/>
      <c r="H11" s="28" t="s">
        <v>239</v>
      </c>
      <c r="I11" s="28"/>
      <c r="J11" s="29" t="s">
        <v>240</v>
      </c>
      <c r="K11" s="29" t="s">
        <v>241</v>
      </c>
      <c r="M11" s="31" t="s">
        <v>259</v>
      </c>
    </row>
    <row r="12" customFormat="false" ht="15" hidden="false" customHeight="false" outlineLevel="0" collapsed="false">
      <c r="A12" s="8" t="s">
        <v>243</v>
      </c>
      <c r="B12" s="8" t="s">
        <v>244</v>
      </c>
      <c r="C12" s="8" t="s">
        <v>245</v>
      </c>
      <c r="D12" s="8" t="s">
        <v>260</v>
      </c>
      <c r="E12" s="8" t="s">
        <v>261</v>
      </c>
      <c r="F12" s="8" t="s">
        <v>262</v>
      </c>
      <c r="G12" s="8" t="s">
        <v>263</v>
      </c>
      <c r="H12" s="8" t="s">
        <v>264</v>
      </c>
      <c r="I12" s="8" t="s">
        <v>265</v>
      </c>
      <c r="J12" s="8" t="s">
        <v>240</v>
      </c>
      <c r="K12" s="8" t="s">
        <v>266</v>
      </c>
      <c r="M12" s="29" t="s">
        <v>267</v>
      </c>
      <c r="N12" s="29" t="s">
        <v>268</v>
      </c>
    </row>
    <row r="13" customFormat="false" ht="15" hidden="false" customHeight="false" outlineLevel="0" collapsed="false">
      <c r="A13" s="35" t="n">
        <v>101000</v>
      </c>
      <c r="B13" s="36" t="s">
        <v>269</v>
      </c>
      <c r="C13" s="37" t="s">
        <v>270</v>
      </c>
      <c r="D13" s="44" t="n">
        <f aca="false">IF(LEFT(A13,1)&gt;="6",0,SUMIFS('BALANCE 2028'!$H:$H,'BALANCE 2028'!$A:$A,A13))</f>
        <v>0</v>
      </c>
      <c r="E13" s="44" t="n">
        <f aca="false">IF(LEFT(A13,1)&gt;="6",0,SUMIFS('BALANCE 2028'!$I:$I,'BALANCE 2028'!$A:$A,A13))</f>
        <v>10000000</v>
      </c>
      <c r="F13" s="44" t="n">
        <f aca="false">ROUND('INVEST ET FINANCEMENT'!H$52,0)+(H13-I13)-(D13-E13)</f>
        <v>0</v>
      </c>
      <c r="G13" s="44" t="n">
        <f aca="false">ROUND('INVEST ET FINANCEMENT'!H$52,0)</f>
        <v>0</v>
      </c>
      <c r="H13" s="39" t="n">
        <v>0</v>
      </c>
      <c r="I13" s="44" t="n">
        <f aca="false">ROUND(E13+'INVEST ET FINANCEMENT'!H$52,0)</f>
        <v>10000000</v>
      </c>
      <c r="J13" s="39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3" s="40" t="n">
        <f aca="false">T_BAL_2029[[#This Row],[Clôture Débit]]-T_BAL_2029[[#This Row],[Clôture Crédit]]</f>
        <v>-10000000</v>
      </c>
      <c r="M13" s="41" t="s">
        <v>271</v>
      </c>
      <c r="N13" s="31" t="s">
        <v>272</v>
      </c>
    </row>
    <row r="14" customFormat="false" ht="15" hidden="false" customHeight="false" outlineLevel="0" collapsed="false">
      <c r="A14" s="42" t="n">
        <v>111000</v>
      </c>
      <c r="B14" s="12" t="s">
        <v>273</v>
      </c>
      <c r="C14" s="13" t="s">
        <v>274</v>
      </c>
      <c r="D14" s="15" t="n">
        <f aca="false">IF(LEFT(A14,1)&gt;="6",0,SUMIFS('BALANCE 2028'!$H:$H,'BALANCE 2028'!$A:$A,A14))</f>
        <v>0</v>
      </c>
      <c r="E14" s="15" t="n">
        <f aca="false">IF(LEFT(A14,1)&gt;="6",0,SUMIFS('BALANCE 2028'!$I:$I,'BALANCE 2028'!$A:$A,A14))</f>
        <v>2000000</v>
      </c>
      <c r="F14" s="15" t="n">
        <f aca="false">ROUND(HYPOTHESES!H$74,0)+(H14-I14)-(D14-E14)</f>
        <v>0</v>
      </c>
      <c r="G14" s="15" t="n">
        <f aca="false">ROUND(HYPOTHESES!H$74,0)</f>
        <v>0</v>
      </c>
      <c r="H14" s="21" t="n">
        <v>0</v>
      </c>
      <c r="I14" s="15" t="n">
        <f aca="false">ROUND(E14+HYPOTHESES!H$74,0)</f>
        <v>2000000</v>
      </c>
      <c r="J14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4" s="43" t="n">
        <f aca="false">T_BAL_2029[[#This Row],[Clôture Débit]]-T_BAL_2029[[#This Row],[Clôture Crédit]]</f>
        <v>-2000000</v>
      </c>
      <c r="M14" s="41" t="s">
        <v>275</v>
      </c>
      <c r="N14" s="31" t="s">
        <v>276</v>
      </c>
    </row>
    <row r="15" customFormat="false" ht="15" hidden="false" customHeight="false" outlineLevel="0" collapsed="false">
      <c r="A15" s="42" t="n">
        <v>121000</v>
      </c>
      <c r="B15" s="12" t="s">
        <v>277</v>
      </c>
      <c r="C15" s="13" t="s">
        <v>278</v>
      </c>
      <c r="D15" s="15" t="n">
        <f aca="false">IF(LEFT(A15,1)&gt;="6",0,SUMIFS('BALANCE 2028'!$H:$H,'BALANCE 2028'!$A:$A,A15))</f>
        <v>0</v>
      </c>
      <c r="E15" s="15" t="n">
        <f aca="false">IF(LEFT(A15,1)&gt;="6",0,SUMIFS('BALANCE 2028'!$I:$I,'BALANCE 2028'!$A:$A,A15))</f>
        <v>1100519406</v>
      </c>
      <c r="F15" s="21" t="n">
        <f aca="false">MAX(0,(H15-I15)-(D15-E15))</f>
        <v>0</v>
      </c>
      <c r="G15" s="21" t="n">
        <f aca="false">MAX(0,(D15-E15)-(H15-I15))</f>
        <v>92643049</v>
      </c>
      <c r="H15" s="15" t="n">
        <f aca="false">ROUND(MAX(0,-(E15-D15+HYPOTHESES!H$76)),0)</f>
        <v>0</v>
      </c>
      <c r="I15" s="15" t="n">
        <f aca="false">ROUND(MAX(0,(E15-D15+HYPOTHESES!H$76)),0)</f>
        <v>1193162455</v>
      </c>
      <c r="J15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5" s="43" t="n">
        <f aca="false">T_BAL_2029[[#This Row],[Clôture Débit]]-T_BAL_2029[[#This Row],[Clôture Crédit]]</f>
        <v>-1193162455</v>
      </c>
      <c r="M15" s="41" t="s">
        <v>279</v>
      </c>
      <c r="N15" s="31" t="s">
        <v>280</v>
      </c>
    </row>
    <row r="16" customFormat="false" ht="15" hidden="false" customHeight="false" outlineLevel="0" collapsed="false">
      <c r="A16" s="42" t="n">
        <v>130100</v>
      </c>
      <c r="B16" s="12" t="s">
        <v>281</v>
      </c>
      <c r="C16" s="13" t="s">
        <v>282</v>
      </c>
      <c r="D16" s="21" t="n">
        <f aca="false">MAX(0,-SUMPRODUCT((LEFT(T_BAL_2028[Compte],1)&gt;="6")*(T_BAL_2028[Clôture Crédit]-T_BAL_2028[Clôture Débit])))</f>
        <v>0</v>
      </c>
      <c r="E16" s="21" t="n">
        <f aca="false">MAX(0,SUMPRODUCT((LEFT(T_BAL_2028[Compte],1)&gt;="6")*(T_BAL_2028[Clôture Crédit]-T_BAL_2028[Clôture Débit])))</f>
        <v>92643049</v>
      </c>
      <c r="F16" s="21" t="n">
        <f aca="false">MAX(0,(H16-I16)-(D16-E16))</f>
        <v>92643049</v>
      </c>
      <c r="G16" s="21" t="n">
        <f aca="false">MAX(0,(D16-E16)-(H16-I16))</f>
        <v>0</v>
      </c>
      <c r="H16" s="21" t="n">
        <v>0</v>
      </c>
      <c r="I16" s="21" t="n">
        <v>0</v>
      </c>
      <c r="J16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6" s="43" t="n">
        <f aca="false">T_BAL_2029[[#This Row],[Clôture Débit]]-T_BAL_2029[[#This Row],[Clôture Crédit]]</f>
        <v>0</v>
      </c>
      <c r="M16" s="41" t="s">
        <v>283</v>
      </c>
      <c r="N16" s="31" t="s">
        <v>284</v>
      </c>
    </row>
    <row r="17" customFormat="false" ht="15" hidden="false" customHeight="false" outlineLevel="0" collapsed="false">
      <c r="A17" s="42" t="n">
        <v>162002</v>
      </c>
      <c r="B17" s="12" t="s">
        <v>285</v>
      </c>
      <c r="C17" s="13" t="s">
        <v>213</v>
      </c>
      <c r="D17" s="15" t="n">
        <f aca="false">IF(LEFT(A17,1)&gt;="6",0,SUMIFS('BALANCE 2028'!$H:$H,'BALANCE 2028'!$A:$A,A17))</f>
        <v>0</v>
      </c>
      <c r="E17" s="15" t="n">
        <f aca="false">IF(LEFT(A17,1)&gt;="6",0,SUMIFS('BALANCE 2028'!$I:$I,'BALANCE 2028'!$A:$A,A17))</f>
        <v>0</v>
      </c>
      <c r="F17" s="15" t="n">
        <f aca="false">ROUND('INVEST ET FINANCEMENT'!H$48,0)+(H17-I17)-(D17-E17)</f>
        <v>0</v>
      </c>
      <c r="G17" s="15" t="n">
        <f aca="false">ROUND('INVEST ET FINANCEMENT'!H$48,0)</f>
        <v>0</v>
      </c>
      <c r="H17" s="21" t="n">
        <v>0</v>
      </c>
      <c r="I17" s="15" t="n">
        <f aca="false">ROUND(E17+'INVEST ET FINANCEMENT'!H$48-'INVEST ET FINANCEMENT'!H$49,0)</f>
        <v>0</v>
      </c>
      <c r="J17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7" s="43" t="n">
        <f aca="false">T_BAL_2029[[#This Row],[Clôture Débit]]-T_BAL_2029[[#This Row],[Clôture Crédit]]</f>
        <v>0</v>
      </c>
      <c r="M17" s="41" t="s">
        <v>286</v>
      </c>
      <c r="N17" s="31" t="s">
        <v>287</v>
      </c>
    </row>
    <row r="18" customFormat="false" ht="15" hidden="false" customHeight="false" outlineLevel="0" collapsed="false">
      <c r="A18" s="42" t="n">
        <v>173060</v>
      </c>
      <c r="B18" s="12" t="s">
        <v>288</v>
      </c>
      <c r="C18" s="13" t="s">
        <v>216</v>
      </c>
      <c r="D18" s="15" t="n">
        <f aca="false">IF(LEFT(A18,1)&gt;="6",0,SUMIFS('BALANCE 2028'!$H:$H,'BALANCE 2028'!$A:$A,A18))</f>
        <v>0</v>
      </c>
      <c r="E18" s="15" t="n">
        <f aca="false">IF(LEFT(A18,1)&gt;="6",0,SUMIFS('BALANCE 2028'!$I:$I,'BALANCE 2028'!$A:$A,A18))</f>
        <v>0</v>
      </c>
      <c r="F18" s="15" t="n">
        <f aca="false">ROUND('INVEST ET FINANCEMENT'!H$50,0)</f>
        <v>0</v>
      </c>
      <c r="G18" s="15" t="n">
        <f aca="false">ROUND('INVEST ET FINANCEMENT'!H$50,0)+(D18-E18)-(H18-I18)</f>
        <v>0</v>
      </c>
      <c r="H18" s="21" t="n">
        <v>0</v>
      </c>
      <c r="I18" s="15" t="n">
        <f aca="false">ROUND(E18-'INVEST ET FINANCEMENT'!H$50,0)</f>
        <v>0</v>
      </c>
      <c r="J18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8" s="43" t="n">
        <f aca="false">T_BAL_2029[[#This Row],[Clôture Débit]]-T_BAL_2029[[#This Row],[Clôture Crédit]]</f>
        <v>0</v>
      </c>
      <c r="M18" s="41" t="s">
        <v>289</v>
      </c>
      <c r="N18" s="31" t="s">
        <v>290</v>
      </c>
    </row>
    <row r="19" customFormat="false" ht="15" hidden="false" customHeight="false" outlineLevel="0" collapsed="false">
      <c r="A19" s="42" t="n">
        <v>196100</v>
      </c>
      <c r="B19" s="12" t="s">
        <v>291</v>
      </c>
      <c r="C19" s="13" t="s">
        <v>292</v>
      </c>
      <c r="D19" s="15" t="n">
        <f aca="false">IF(LEFT(A19,1)&gt;="6",0,SUMIFS('BALANCE 2028'!$H:$H,'BALANCE 2028'!$A:$A,A19))</f>
        <v>0</v>
      </c>
      <c r="E19" s="15" t="n">
        <f aca="false">IF(LEFT(A19,1)&gt;="6",0,SUMIFS('BALANCE 2028'!$I:$I,'BALANCE 2028'!$A:$A,A19))</f>
        <v>49690678</v>
      </c>
      <c r="F19" s="15" t="n">
        <f aca="false">ROUND(HYPOTHESES!H$28,0)+(H19-I19)-(D19-E19)</f>
        <v>0</v>
      </c>
      <c r="G19" s="15" t="n">
        <f aca="false">ROUND(HYPOTHESES!H$28,0)</f>
        <v>7884408</v>
      </c>
      <c r="H19" s="21" t="n">
        <v>0</v>
      </c>
      <c r="I19" s="15" t="n">
        <f aca="false">ROUND(E19+HYPOTHESES!H$28,0)</f>
        <v>57575086</v>
      </c>
      <c r="J19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9" s="43" t="n">
        <f aca="false">T_BAL_2029[[#This Row],[Clôture Débit]]-T_BAL_2029[[#This Row],[Clôture Crédit]]</f>
        <v>-57575086</v>
      </c>
      <c r="M19" s="41" t="s">
        <v>293</v>
      </c>
      <c r="N19" s="31" t="s">
        <v>294</v>
      </c>
    </row>
    <row r="20" customFormat="false" ht="15" hidden="false" customHeight="false" outlineLevel="0" collapsed="false">
      <c r="A20" s="35" t="n">
        <v>234100</v>
      </c>
      <c r="B20" s="36" t="s">
        <v>295</v>
      </c>
      <c r="C20" s="37" t="s">
        <v>296</v>
      </c>
      <c r="D20" s="44" t="n">
        <f aca="false">IF(LEFT(A20,1)&gt;="6",0,SUMIFS('BALANCE 2028'!$H:$H,'BALANCE 2028'!$A:$A,A20))</f>
        <v>103601492</v>
      </c>
      <c r="E20" s="44" t="n">
        <f aca="false">IF(LEFT(A20,1)&gt;="6",0,SUMIFS('BALANCE 2028'!$I:$I,'BALANCE 2028'!$A:$A,A20))</f>
        <v>0</v>
      </c>
      <c r="F20" s="44" t="n">
        <f aca="false">ROUND('INVEST ET FINANCEMENT'!H$9,0)</f>
        <v>0</v>
      </c>
      <c r="G20" s="44" t="n">
        <f aca="false">ROUND('INVEST ET FINANCEMENT'!H$9,0)+(D20-E20)-(H20-I20)</f>
        <v>0</v>
      </c>
      <c r="H20" s="44" t="n">
        <f aca="false">ROUND(D20+'INVEST ET FINANCEMENT'!H$9,0)</f>
        <v>103601492</v>
      </c>
      <c r="I20" s="39" t="n">
        <v>0</v>
      </c>
      <c r="J20" s="39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0" s="40" t="n">
        <f aca="false">T_BAL_2029[[#This Row],[Clôture Débit]]-T_BAL_2029[[#This Row],[Clôture Crédit]]</f>
        <v>103601492</v>
      </c>
      <c r="M20" s="41" t="s">
        <v>297</v>
      </c>
      <c r="N20" s="31" t="s">
        <v>298</v>
      </c>
    </row>
    <row r="21" customFormat="false" ht="15" hidden="false" customHeight="false" outlineLevel="0" collapsed="false">
      <c r="A21" s="42" t="n">
        <v>241100</v>
      </c>
      <c r="B21" s="12" t="s">
        <v>299</v>
      </c>
      <c r="C21" s="13" t="s">
        <v>300</v>
      </c>
      <c r="D21" s="15" t="n">
        <f aca="false">IF(LEFT(A21,1)&gt;="6",0,SUMIFS('BALANCE 2028'!$H:$H,'BALANCE 2028'!$A:$A,A21))</f>
        <v>403845268</v>
      </c>
      <c r="E21" s="15" t="n">
        <f aca="false">IF(LEFT(A21,1)&gt;="6",0,SUMIFS('BALANCE 2028'!$I:$I,'BALANCE 2028'!$A:$A,A21))</f>
        <v>0</v>
      </c>
      <c r="F21" s="15" t="n">
        <f aca="false">ROUND('INVEST ET FINANCEMENT'!H$10,0)</f>
        <v>30000000</v>
      </c>
      <c r="G21" s="15" t="n">
        <f aca="false">ROUND('INVEST ET FINANCEMENT'!H$10,0)+(D21-E21)-(H21-I21)</f>
        <v>0</v>
      </c>
      <c r="H21" s="15" t="n">
        <f aca="false">ROUND(D21+'INVEST ET FINANCEMENT'!H$10,0)</f>
        <v>433845268</v>
      </c>
      <c r="I21" s="21" t="n">
        <v>0</v>
      </c>
      <c r="J21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1" s="43" t="n">
        <f aca="false">T_BAL_2029[[#This Row],[Clôture Débit]]-T_BAL_2029[[#This Row],[Clôture Crédit]]</f>
        <v>433845268</v>
      </c>
      <c r="M21" s="41" t="s">
        <v>301</v>
      </c>
      <c r="N21" s="31" t="s">
        <v>302</v>
      </c>
    </row>
    <row r="22" customFormat="false" ht="15" hidden="false" customHeight="false" outlineLevel="0" collapsed="false">
      <c r="A22" s="42" t="n">
        <v>244100</v>
      </c>
      <c r="B22" s="12" t="s">
        <v>303</v>
      </c>
      <c r="C22" s="13" t="s">
        <v>300</v>
      </c>
      <c r="D22" s="15" t="n">
        <f aca="false">IF(LEFT(A22,1)&gt;="6",0,SUMIFS('BALANCE 2028'!$H:$H,'BALANCE 2028'!$A:$A,A22))</f>
        <v>9306956</v>
      </c>
      <c r="E22" s="15" t="n">
        <f aca="false">IF(LEFT(A22,1)&gt;="6",0,SUMIFS('BALANCE 2028'!$I:$I,'BALANCE 2028'!$A:$A,A22))</f>
        <v>0</v>
      </c>
      <c r="F22" s="21" t="n">
        <f aca="false">MAX(0,(H22-I22)-(D22-E22))</f>
        <v>0</v>
      </c>
      <c r="G22" s="21" t="n">
        <f aca="false">MAX(0,(D22-E22)-(H22-I22))</f>
        <v>0</v>
      </c>
      <c r="H22" s="21" t="n">
        <f aca="false">ROUND(D22,0)</f>
        <v>9306956</v>
      </c>
      <c r="I22" s="21" t="n">
        <v>0</v>
      </c>
      <c r="J22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2" s="43" t="n">
        <f aca="false">T_BAL_2029[[#This Row],[Clôture Débit]]-T_BAL_2029[[#This Row],[Clôture Crédit]]</f>
        <v>9306956</v>
      </c>
    </row>
    <row r="23" customFormat="false" ht="15" hidden="false" customHeight="false" outlineLevel="0" collapsed="false">
      <c r="A23" s="42" t="n">
        <v>244200</v>
      </c>
      <c r="B23" s="12" t="s">
        <v>304</v>
      </c>
      <c r="C23" s="13" t="s">
        <v>300</v>
      </c>
      <c r="D23" s="15" t="n">
        <f aca="false">IF(LEFT(A23,1)&gt;="6",0,SUMIFS('BALANCE 2028'!$H:$H,'BALANCE 2028'!$A:$A,A23))</f>
        <v>28910459</v>
      </c>
      <c r="E23" s="15" t="n">
        <f aca="false">IF(LEFT(A23,1)&gt;="6",0,SUMIFS('BALANCE 2028'!$I:$I,'BALANCE 2028'!$A:$A,A23))</f>
        <v>0</v>
      </c>
      <c r="F23" s="15" t="n">
        <f aca="false">ROUND('INVEST ET FINANCEMENT'!H$11,0)</f>
        <v>5000000</v>
      </c>
      <c r="G23" s="15" t="n">
        <f aca="false">ROUND('INVEST ET FINANCEMENT'!H$11,0)+(D23-E23)-(H23-I23)</f>
        <v>0</v>
      </c>
      <c r="H23" s="15" t="n">
        <f aca="false">ROUND(D23+'INVEST ET FINANCEMENT'!H$11,0)</f>
        <v>33910459</v>
      </c>
      <c r="I23" s="21" t="n">
        <v>0</v>
      </c>
      <c r="J23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3" s="43" t="n">
        <f aca="false">T_BAL_2029[[#This Row],[Clôture Débit]]-T_BAL_2029[[#This Row],[Clôture Crédit]]</f>
        <v>33910459</v>
      </c>
    </row>
    <row r="24" customFormat="false" ht="15" hidden="false" customHeight="false" outlineLevel="0" collapsed="false">
      <c r="A24" s="42" t="n">
        <v>245100</v>
      </c>
      <c r="B24" s="12" t="s">
        <v>305</v>
      </c>
      <c r="C24" s="13" t="s">
        <v>306</v>
      </c>
      <c r="D24" s="15" t="n">
        <f aca="false">IF(LEFT(A24,1)&gt;="6",0,SUMIFS('BALANCE 2028'!$H:$H,'BALANCE 2028'!$A:$A,A24))</f>
        <v>492257899</v>
      </c>
      <c r="E24" s="15" t="n">
        <f aca="false">IF(LEFT(A24,1)&gt;="6",0,SUMIFS('BALANCE 2028'!$I:$I,'BALANCE 2028'!$A:$A,A24))</f>
        <v>0</v>
      </c>
      <c r="F24" s="15" t="n">
        <f aca="false">ROUND('INVEST ET FINANCEMENT'!H$12+'INVEST ET FINANCEMENT'!H$14,0)</f>
        <v>0</v>
      </c>
      <c r="G24" s="15" t="n">
        <f aca="false">ROUND('INVEST ET FINANCEMENT'!H$12+'INVEST ET FINANCEMENT'!H$14,0)+(D24-E24)-(H24-I24)</f>
        <v>0</v>
      </c>
      <c r="H24" s="15" t="n">
        <f aca="false">ROUND(D24+'INVEST ET FINANCEMENT'!H$12+'INVEST ET FINANCEMENT'!H$14,0)</f>
        <v>492257899</v>
      </c>
      <c r="I24" s="21" t="n">
        <v>0</v>
      </c>
      <c r="J24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4" s="43" t="n">
        <f aca="false">T_BAL_2029[[#This Row],[Clôture Débit]]-T_BAL_2029[[#This Row],[Clôture Crédit]]</f>
        <v>492257899</v>
      </c>
    </row>
    <row r="25" customFormat="false" ht="15" hidden="false" customHeight="false" outlineLevel="0" collapsed="false">
      <c r="A25" s="42" t="n">
        <v>245600</v>
      </c>
      <c r="B25" s="12" t="s">
        <v>307</v>
      </c>
      <c r="C25" s="13" t="s">
        <v>306</v>
      </c>
      <c r="D25" s="15" t="n">
        <f aca="false">IF(LEFT(A25,1)&gt;="6",0,SUMIFS('BALANCE 2028'!$H:$H,'BALANCE 2028'!$A:$A,A25))</f>
        <v>0</v>
      </c>
      <c r="E25" s="15" t="n">
        <f aca="false">IF(LEFT(A25,1)&gt;="6",0,SUMIFS('BALANCE 2028'!$I:$I,'BALANCE 2028'!$A:$A,A25))</f>
        <v>0</v>
      </c>
      <c r="F25" s="15" t="n">
        <f aca="false">ROUND('INVEST ET FINANCEMENT'!H$14,0)+(H25-I25)-(D25-E25)</f>
        <v>0</v>
      </c>
      <c r="G25" s="15" t="n">
        <f aca="false">ROUND('INVEST ET FINANCEMENT'!H$14,0)</f>
        <v>0</v>
      </c>
      <c r="H25" s="15" t="n">
        <f aca="false">ROUND(D25-'INVEST ET FINANCEMENT'!H$14,0)</f>
        <v>0</v>
      </c>
      <c r="I25" s="21" t="n">
        <v>0</v>
      </c>
      <c r="J25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5" s="43" t="n">
        <f aca="false">T_BAL_2029[[#This Row],[Clôture Débit]]-T_BAL_2029[[#This Row],[Clôture Crédit]]</f>
        <v>0</v>
      </c>
    </row>
    <row r="26" customFormat="false" ht="15" hidden="false" customHeight="false" outlineLevel="0" collapsed="false">
      <c r="A26" s="42" t="n">
        <v>271800</v>
      </c>
      <c r="B26" s="12" t="s">
        <v>308</v>
      </c>
      <c r="C26" s="13" t="s">
        <v>309</v>
      </c>
      <c r="D26" s="15" t="n">
        <f aca="false">IF(LEFT(A26,1)&gt;="6",0,SUMIFS('BALANCE 2028'!$H:$H,'BALANCE 2028'!$A:$A,A26))</f>
        <v>25000000</v>
      </c>
      <c r="E26" s="15" t="n">
        <f aca="false">IF(LEFT(A26,1)&gt;="6",0,SUMIFS('BALANCE 2028'!$I:$I,'BALANCE 2028'!$A:$A,A26))</f>
        <v>0</v>
      </c>
      <c r="F26" s="21" t="n">
        <f aca="false">MAX(0,(H26-I26)-(D26-E26))</f>
        <v>0</v>
      </c>
      <c r="G26" s="21" t="n">
        <f aca="false">MAX(0,(D26-E26)-(H26-I26))</f>
        <v>0</v>
      </c>
      <c r="H26" s="21" t="n">
        <f aca="false">ROUND(D26,0)</f>
        <v>25000000</v>
      </c>
      <c r="I26" s="21" t="n">
        <v>0</v>
      </c>
      <c r="J26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6" s="43" t="n">
        <f aca="false">T_BAL_2029[[#This Row],[Clôture Débit]]-T_BAL_2029[[#This Row],[Clôture Crédit]]</f>
        <v>25000000</v>
      </c>
    </row>
    <row r="27" customFormat="false" ht="15" hidden="false" customHeight="false" outlineLevel="0" collapsed="false">
      <c r="A27" s="42" t="n">
        <v>275100</v>
      </c>
      <c r="B27" s="12" t="s">
        <v>310</v>
      </c>
      <c r="C27" s="13" t="s">
        <v>309</v>
      </c>
      <c r="D27" s="15" t="n">
        <f aca="false">IF(LEFT(A27,1)&gt;="6",0,SUMIFS('BALANCE 2028'!$H:$H,'BALANCE 2028'!$A:$A,A27))</f>
        <v>231420138</v>
      </c>
      <c r="E27" s="15" t="n">
        <f aca="false">IF(LEFT(A27,1)&gt;="6",0,SUMIFS('BALANCE 2028'!$I:$I,'BALANCE 2028'!$A:$A,A27))</f>
        <v>0</v>
      </c>
      <c r="F27" s="15" t="n">
        <f aca="false">ROUND('INVEST ET FINANCEMENT'!H$13,0)</f>
        <v>0</v>
      </c>
      <c r="G27" s="15" t="n">
        <f aca="false">ROUND('INVEST ET FINANCEMENT'!H$13,0)+(D27-E27)-(H27-I27)</f>
        <v>0</v>
      </c>
      <c r="H27" s="15" t="n">
        <f aca="false">ROUND(D27+'INVEST ET FINANCEMENT'!H$13,0)</f>
        <v>231420138</v>
      </c>
      <c r="I27" s="21" t="n">
        <v>0</v>
      </c>
      <c r="J27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7" s="43" t="n">
        <f aca="false">T_BAL_2029[[#This Row],[Clôture Débit]]-T_BAL_2029[[#This Row],[Clôture Crédit]]</f>
        <v>231420138</v>
      </c>
    </row>
    <row r="28" customFormat="false" ht="15" hidden="false" customHeight="false" outlineLevel="0" collapsed="false">
      <c r="A28" s="42" t="n">
        <v>283400</v>
      </c>
      <c r="B28" s="12" t="s">
        <v>311</v>
      </c>
      <c r="C28" s="13" t="s">
        <v>296</v>
      </c>
      <c r="D28" s="15" t="n">
        <f aca="false">IF(LEFT(A28,1)&gt;="6",0,SUMIFS('BALANCE 2028'!$H:$H,'BALANCE 2028'!$A:$A,A28))</f>
        <v>0</v>
      </c>
      <c r="E28" s="15" t="n">
        <f aca="false">IF(LEFT(A28,1)&gt;="6",0,SUMIFS('BALANCE 2028'!$I:$I,'BALANCE 2028'!$A:$A,A28))</f>
        <v>103601492</v>
      </c>
      <c r="F28" s="15" t="n">
        <f aca="false">ROUND('INVEST ET FINANCEMENT'!H$32,0)+(H28-I28)-(D28-E28)</f>
        <v>0</v>
      </c>
      <c r="G28" s="15" t="n">
        <f aca="false">ROUND('INVEST ET FINANCEMENT'!H$32,0)</f>
        <v>0</v>
      </c>
      <c r="H28" s="21" t="n">
        <v>0</v>
      </c>
      <c r="I28" s="15" t="n">
        <f aca="false">ROUND(E28+'INVEST ET FINANCEMENT'!H$32,0)</f>
        <v>103601492</v>
      </c>
      <c r="J28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8" s="43" t="n">
        <f aca="false">T_BAL_2029[[#This Row],[Clôture Débit]]-T_BAL_2029[[#This Row],[Clôture Crédit]]</f>
        <v>-103601492</v>
      </c>
    </row>
    <row r="29" customFormat="false" ht="15" hidden="false" customHeight="false" outlineLevel="0" collapsed="false">
      <c r="A29" s="42" t="n">
        <v>284100</v>
      </c>
      <c r="B29" s="12" t="s">
        <v>312</v>
      </c>
      <c r="C29" s="13" t="s">
        <v>300</v>
      </c>
      <c r="D29" s="15" t="n">
        <f aca="false">IF(LEFT(A29,1)&gt;="6",0,SUMIFS('BALANCE 2028'!$H:$H,'BALANCE 2028'!$A:$A,A29))</f>
        <v>0</v>
      </c>
      <c r="E29" s="15" t="n">
        <f aca="false">IF(LEFT(A29,1)&gt;="6",0,SUMIFS('BALANCE 2028'!$I:$I,'BALANCE 2028'!$A:$A,A29))</f>
        <v>272086027</v>
      </c>
      <c r="F29" s="15" t="n">
        <f aca="false">ROUND('INVEST ET FINANCEMENT'!H$35,0)+(H29-I29)-(D29-E29)</f>
        <v>0</v>
      </c>
      <c r="G29" s="15" t="n">
        <f aca="false">ROUND('INVEST ET FINANCEMENT'!H$35,0)</f>
        <v>68854932</v>
      </c>
      <c r="H29" s="21" t="n">
        <v>0</v>
      </c>
      <c r="I29" s="15" t="n">
        <f aca="false">ROUND(E29+'INVEST ET FINANCEMENT'!H$35,0)</f>
        <v>340940959</v>
      </c>
      <c r="J29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9" s="43" t="n">
        <f aca="false">T_BAL_2029[[#This Row],[Clôture Débit]]-T_BAL_2029[[#This Row],[Clôture Crédit]]</f>
        <v>-340940959</v>
      </c>
    </row>
    <row r="30" customFormat="false" ht="15" hidden="false" customHeight="false" outlineLevel="0" collapsed="false">
      <c r="A30" s="42" t="n">
        <v>284400</v>
      </c>
      <c r="B30" s="12" t="s">
        <v>313</v>
      </c>
      <c r="C30" s="13" t="s">
        <v>300</v>
      </c>
      <c r="D30" s="15" t="n">
        <f aca="false">IF(LEFT(A30,1)&gt;="6",0,SUMIFS('BALANCE 2028'!$H:$H,'BALANCE 2028'!$A:$A,A30))</f>
        <v>0</v>
      </c>
      <c r="E30" s="15" t="n">
        <f aca="false">IF(LEFT(A30,1)&gt;="6",0,SUMIFS('BALANCE 2028'!$I:$I,'BALANCE 2028'!$A:$A,A30))</f>
        <v>35717415</v>
      </c>
      <c r="F30" s="15" t="n">
        <f aca="false">ROUND('INVEST ET FINANCEMENT'!H$38,0)+(H30-I30)-(D30-E30)</f>
        <v>0</v>
      </c>
      <c r="G30" s="15" t="n">
        <f aca="false">ROUND('INVEST ET FINANCEMENT'!H$38,0)</f>
        <v>5000000</v>
      </c>
      <c r="H30" s="21" t="n">
        <v>0</v>
      </c>
      <c r="I30" s="15" t="n">
        <f aca="false">ROUND(E30+'INVEST ET FINANCEMENT'!H$38,0)</f>
        <v>40717415</v>
      </c>
      <c r="J30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0" s="43" t="n">
        <f aca="false">T_BAL_2029[[#This Row],[Clôture Débit]]-T_BAL_2029[[#This Row],[Clôture Crédit]]</f>
        <v>-40717415</v>
      </c>
    </row>
    <row r="31" customFormat="false" ht="15" hidden="false" customHeight="false" outlineLevel="0" collapsed="false">
      <c r="A31" s="42" t="n">
        <v>284500</v>
      </c>
      <c r="B31" s="12" t="s">
        <v>314</v>
      </c>
      <c r="C31" s="13" t="s">
        <v>306</v>
      </c>
      <c r="D31" s="15" t="n">
        <f aca="false">IF(LEFT(A31,1)&gt;="6",0,SUMIFS('BALANCE 2028'!$H:$H,'BALANCE 2028'!$A:$A,A31))</f>
        <v>0</v>
      </c>
      <c r="E31" s="15" t="n">
        <f aca="false">IF(LEFT(A31,1)&gt;="6",0,SUMIFS('BALANCE 2028'!$I:$I,'BALANCE 2028'!$A:$A,A31))</f>
        <v>434878181</v>
      </c>
      <c r="F31" s="15" t="n">
        <f aca="false">ROUND('INVEST ET FINANCEMENT'!H$41,0)+(H31-I31)-(D31-E31)</f>
        <v>0</v>
      </c>
      <c r="G31" s="15" t="n">
        <f aca="false">ROUND('INVEST ET FINANCEMENT'!H$41,0)</f>
        <v>24093971</v>
      </c>
      <c r="H31" s="21" t="n">
        <v>0</v>
      </c>
      <c r="I31" s="15" t="n">
        <f aca="false">ROUND(E31+'INVEST ET FINANCEMENT'!H$41,0)</f>
        <v>458972152</v>
      </c>
      <c r="J31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1" s="43" t="n">
        <f aca="false">T_BAL_2029[[#This Row],[Clôture Débit]]-T_BAL_2029[[#This Row],[Clôture Crédit]]</f>
        <v>-458972152</v>
      </c>
    </row>
    <row r="32" customFormat="false" ht="15" hidden="false" customHeight="false" outlineLevel="0" collapsed="false">
      <c r="A32" s="35" t="n">
        <v>401100</v>
      </c>
      <c r="B32" s="36" t="s">
        <v>315</v>
      </c>
      <c r="C32" s="37" t="s">
        <v>316</v>
      </c>
      <c r="D32" s="44" t="n">
        <f aca="false">IF(LEFT(A32,1)&gt;="6",0,SUMIFS('BALANCE 2028'!$H:$H,'BALANCE 2028'!$A:$A,A32))</f>
        <v>0</v>
      </c>
      <c r="E32" s="44" t="n">
        <f aca="false">IF(LEFT(A32,1)&gt;="6",0,SUMIFS('BALANCE 2028'!$I:$I,'BALANCE 2028'!$A:$A,A32))</f>
        <v>89490846</v>
      </c>
      <c r="F32" s="44" t="n">
        <f aca="false">ROUND(HYPOTHESES!H$64*(1+HYPOTHESES!H$10),0)+(H32-I32)-(D32-E32)</f>
        <v>588991068</v>
      </c>
      <c r="G32" s="44" t="n">
        <f aca="false">ROUND(HYPOTHESES!H$64*(1+HYPOTHESES!H$10),0)</f>
        <v>593465610</v>
      </c>
      <c r="H32" s="39" t="n">
        <v>0</v>
      </c>
      <c r="I32" s="44" t="n">
        <f aca="false">ROUND(HYPOTHESES!H$64*(1+HYPOTHESES!H$10)*HYPOTHESES!H$31/360,0)</f>
        <v>93965388</v>
      </c>
      <c r="J32" s="39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2" s="40" t="n">
        <f aca="false">T_BAL_2029[[#This Row],[Clôture Débit]]-T_BAL_2029[[#This Row],[Clôture Crédit]]</f>
        <v>-93965388</v>
      </c>
    </row>
    <row r="33" customFormat="false" ht="15" hidden="false" customHeight="false" outlineLevel="0" collapsed="false">
      <c r="A33" s="42" t="n">
        <v>409100</v>
      </c>
      <c r="B33" s="12" t="s">
        <v>317</v>
      </c>
      <c r="C33" s="13" t="s">
        <v>318</v>
      </c>
      <c r="D33" s="15" t="n">
        <f aca="false">IF(LEFT(A33,1)&gt;="6",0,SUMIFS('BALANCE 2028'!$H:$H,'BALANCE 2028'!$A:$A,A33))</f>
        <v>0</v>
      </c>
      <c r="E33" s="15" t="n">
        <f aca="false">IF(LEFT(A33,1)&gt;="6",0,SUMIFS('BALANCE 2028'!$I:$I,'BALANCE 2028'!$A:$A,A33))</f>
        <v>0</v>
      </c>
      <c r="F33" s="21" t="n">
        <f aca="false">MAX(0,(H33-I33)-(D33-E33))</f>
        <v>0</v>
      </c>
      <c r="G33" s="21" t="n">
        <f aca="false">MAX(0,(D33-E33)-(H33-I33))</f>
        <v>0</v>
      </c>
      <c r="H33" s="15" t="n">
        <f aca="false">ROUND(IF(LEFT(A33,1)&gt;="6",IF(C33="RE",IF(HYPOTHESES!$C$51=0,0,HYPOTHESES!H$51*SUMIFS('BALANCE 2024'!$H:$H,'BALANCE 2024'!$A:$A,A33)/HYPOTHESES!$C$51),IF(C33="RG",IF(HYPOTHESES!$C$52=0,0,HYPOTHESES!H$52*SUMIFS('BALANCE 2024'!$H:$H,'BALANCE 2024'!$A:$A,A33)/HYPOTHESES!$C$52),IF(C33="RH",IF(HYPOTHESES!$C$53=0,0,HYPOTHESES!H$53*SUMIFS('BALANCE 2024'!$H:$H,'BALANCE 2024'!$A:$A,A33)/HYPOTHESES!$C$53),IF(C33="RI",IF(HYPOTHESES!$C$54=0,0,HYPOTHESES!H$54*SUMIFS('BALANCE 2024'!$H:$H,'BALANCE 2024'!$A:$A,A33)/HYPOTHESES!$C$54),IF(C33="RJ",IF(HYPOTHESES!$C$55=0,0,HYPOTHESES!H$55*SUMIFS('BALANCE 2024'!$H:$H,'BALANCE 2024'!$A:$A,A33)/HYPOTHESES!$C$55),IF(C33="RK",IF(HYPOTHESES!$C$56=0,0,HYPOTHESES!H$56*SUMIFS('BALANCE 2024'!$H:$H,'BALANCE 2024'!$A:$A,A33)/HYPOTHESES!$C$56),0)))))),MAX(0,D33-E33)),0)</f>
        <v>0</v>
      </c>
      <c r="I33" s="21" t="n">
        <f aca="false">ROUND(IF(LEFT(A33,1)&gt;="6",0,MAX(0,E33-D33)),0)</f>
        <v>0</v>
      </c>
      <c r="J33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3" s="43" t="n">
        <f aca="false">T_BAL_2029[[#This Row],[Clôture Débit]]-T_BAL_2029[[#This Row],[Clôture Crédit]]</f>
        <v>0</v>
      </c>
    </row>
    <row r="34" customFormat="false" ht="15" hidden="false" customHeight="false" outlineLevel="0" collapsed="false">
      <c r="A34" s="42" t="n">
        <v>411100</v>
      </c>
      <c r="B34" s="12" t="s">
        <v>319</v>
      </c>
      <c r="C34" s="13" t="s">
        <v>320</v>
      </c>
      <c r="D34" s="15" t="n">
        <f aca="false">IF(LEFT(A34,1)&gt;="6",0,SUMIFS('BALANCE 2028'!$H:$H,'BALANCE 2028'!$A:$A,A34))</f>
        <v>560701818</v>
      </c>
      <c r="E34" s="15" t="n">
        <f aca="false">IF(LEFT(A34,1)&gt;="6",0,SUMIFS('BALANCE 2028'!$I:$I,'BALANCE 2028'!$A:$A,A34))</f>
        <v>0</v>
      </c>
      <c r="F34" s="15" t="n">
        <f aca="false">ROUND(HYPOTHESES!H$50*(1+HYPOTHESES!H$10),0)</f>
        <v>1075864402</v>
      </c>
      <c r="G34" s="15" t="n">
        <f aca="false">ROUND(HYPOTHESES!H$50*(1+HYPOTHESES!H$10),0)+(D34-E34)-(H34-I34)</f>
        <v>1047829311</v>
      </c>
      <c r="H34" s="15" t="n">
        <f aca="false">ROUND(HYPOTHESES!H$50*(1+HYPOTHESES!H$10)*HYPOTHESES!H$30/360,0)</f>
        <v>588736909</v>
      </c>
      <c r="I34" s="21" t="n">
        <v>0</v>
      </c>
      <c r="J34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4" s="43" t="n">
        <f aca="false">T_BAL_2029[[#This Row],[Clôture Débit]]-T_BAL_2029[[#This Row],[Clôture Crédit]]</f>
        <v>588736909</v>
      </c>
    </row>
    <row r="35" customFormat="false" ht="15" hidden="false" customHeight="false" outlineLevel="0" collapsed="false">
      <c r="A35" s="42" t="n">
        <v>422000</v>
      </c>
      <c r="B35" s="12" t="s">
        <v>321</v>
      </c>
      <c r="C35" s="13" t="s">
        <v>322</v>
      </c>
      <c r="D35" s="15" t="n">
        <f aca="false">IF(LEFT(A35,1)&gt;="6",0,SUMIFS('BALANCE 2028'!$H:$H,'BALANCE 2028'!$A:$A,A35))</f>
        <v>0</v>
      </c>
      <c r="E35" s="15" t="n">
        <f aca="false">IF(LEFT(A35,1)&gt;="6",0,SUMIFS('BALANCE 2028'!$I:$I,'BALANCE 2028'!$A:$A,A35))</f>
        <v>8391988</v>
      </c>
      <c r="F35" s="15" t="n">
        <f aca="false">ROUND(IF(HYPOTHESES!$C$56=0,0,'BALANCE 2024'!$G$35*HYPOTHESES!H$56/HYPOTHESES!$C$56),0)+(H35-I35)-(D35-E35)</f>
        <v>105319448</v>
      </c>
      <c r="G35" s="15" t="n">
        <f aca="false">ROUND(IF(HYPOTHESES!$C$56=0,0,'BALANCE 2024'!$G$35*HYPOTHESES!H$56/HYPOTHESES!$C$56),0)</f>
        <v>105739047</v>
      </c>
      <c r="H35" s="21" t="n">
        <v>0</v>
      </c>
      <c r="I35" s="15" t="n">
        <f aca="false">ROUND(IF(HYPOTHESES!$C$56=0,0,'BALANCE 2024'!$G$35*HYPOTHESES!H$56/HYPOTHESES!$C$56)*HYPOTHESES!H$26/12,0)</f>
        <v>8811587</v>
      </c>
      <c r="J35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5" s="43" t="n">
        <f aca="false">T_BAL_2029[[#This Row],[Clôture Débit]]-T_BAL_2029[[#This Row],[Clôture Crédit]]</f>
        <v>-8811587</v>
      </c>
    </row>
    <row r="36" customFormat="false" ht="15" hidden="false" customHeight="false" outlineLevel="0" collapsed="false">
      <c r="A36" s="42" t="n">
        <v>431100</v>
      </c>
      <c r="B36" s="12" t="s">
        <v>323</v>
      </c>
      <c r="C36" s="13" t="s">
        <v>322</v>
      </c>
      <c r="D36" s="15" t="n">
        <f aca="false">IF(LEFT(A36,1)&gt;="6",0,SUMIFS('BALANCE 2028'!$H:$H,'BALANCE 2028'!$A:$A,A36))</f>
        <v>0</v>
      </c>
      <c r="E36" s="15" t="n">
        <f aca="false">IF(LEFT(A36,1)&gt;="6",0,SUMIFS('BALANCE 2028'!$I:$I,'BALANCE 2028'!$A:$A,A36))</f>
        <v>388125</v>
      </c>
      <c r="F36" s="15" t="n">
        <f aca="false">ROUND(HYPOTHESES!H$60,0)+(H36-I36)-(D36-E36)</f>
        <v>5131875</v>
      </c>
      <c r="G36" s="15" t="n">
        <f aca="false">ROUND(HYPOTHESES!H$60,0)</f>
        <v>5175000</v>
      </c>
      <c r="H36" s="21" t="n">
        <v>0</v>
      </c>
      <c r="I36" s="15" t="n">
        <f aca="false">ROUND(HYPOTHESES!H$60/12,0)</f>
        <v>431250</v>
      </c>
      <c r="J36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6" s="43" t="n">
        <f aca="false">T_BAL_2029[[#This Row],[Clôture Débit]]-T_BAL_2029[[#This Row],[Clôture Crédit]]</f>
        <v>-431250</v>
      </c>
    </row>
    <row r="37" customFormat="false" ht="15" hidden="false" customHeight="false" outlineLevel="0" collapsed="false">
      <c r="A37" s="42" t="n">
        <v>431200</v>
      </c>
      <c r="B37" s="12" t="s">
        <v>324</v>
      </c>
      <c r="C37" s="13" t="s">
        <v>322</v>
      </c>
      <c r="D37" s="15" t="n">
        <f aca="false">IF(LEFT(A37,1)&gt;="6",0,SUMIFS('BALANCE 2028'!$H:$H,'BALANCE 2028'!$A:$A,A37))</f>
        <v>0</v>
      </c>
      <c r="E37" s="15" t="n">
        <f aca="false">IF(LEFT(A37,1)&gt;="6",0,SUMIFS('BALANCE 2028'!$I:$I,'BALANCE 2028'!$A:$A,A37))</f>
        <v>337500</v>
      </c>
      <c r="F37" s="15" t="n">
        <f aca="false">ROUND(HYPOTHESES!H$61,0)+(H37-I37)-(D37-E37)</f>
        <v>4462500</v>
      </c>
      <c r="G37" s="15" t="n">
        <f aca="false">ROUND(HYPOTHESES!H$61,0)</f>
        <v>4500000</v>
      </c>
      <c r="H37" s="21" t="n">
        <v>0</v>
      </c>
      <c r="I37" s="15" t="n">
        <f aca="false">ROUND(HYPOTHESES!H$61/12,0)</f>
        <v>375000</v>
      </c>
      <c r="J37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7" s="43" t="n">
        <f aca="false">T_BAL_2029[[#This Row],[Clôture Débit]]-T_BAL_2029[[#This Row],[Clôture Crédit]]</f>
        <v>-375000</v>
      </c>
    </row>
    <row r="38" customFormat="false" ht="15" hidden="false" customHeight="false" outlineLevel="0" collapsed="false">
      <c r="A38" s="42" t="n">
        <v>431301</v>
      </c>
      <c r="B38" s="12" t="s">
        <v>325</v>
      </c>
      <c r="C38" s="13" t="s">
        <v>322</v>
      </c>
      <c r="D38" s="15" t="n">
        <f aca="false">IF(LEFT(A38,1)&gt;="6",0,SUMIFS('BALANCE 2028'!$H:$H,'BALANCE 2028'!$A:$A,A38))</f>
        <v>0</v>
      </c>
      <c r="E38" s="15" t="n">
        <f aca="false">IF(LEFT(A38,1)&gt;="6",0,SUMIFS('BALANCE 2028'!$I:$I,'BALANCE 2028'!$A:$A,A38))</f>
        <v>6098124</v>
      </c>
      <c r="F38" s="15" t="n">
        <f aca="false">ROUND(IF(HYPOTHESES!$C$59=0,0,'BALANCE 2024'!$G$38*HYPOTHESES!H$59/HYPOTHESES!$C$59),0)+(H38-I38)-(D38-E38)</f>
        <v>8925696</v>
      </c>
      <c r="G38" s="15" t="n">
        <f aca="false">ROUND(IF(HYPOTHESES!$C$59=0,0,'BALANCE 2024'!$G$38*HYPOTHESES!H$59/HYPOTHESES!$C$59),0)</f>
        <v>9230602</v>
      </c>
      <c r="H38" s="21" t="n">
        <v>0</v>
      </c>
      <c r="I38" s="15" t="n">
        <f aca="false">ROUND(IF(HYPOTHESES!$C$59=0,0,'BALANCE 2024'!$I$38*HYPOTHESES!H$59/HYPOTHESES!$C$59),0)</f>
        <v>6403030</v>
      </c>
      <c r="J38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8" s="43" t="n">
        <f aca="false">T_BAL_2029[[#This Row],[Clôture Débit]]-T_BAL_2029[[#This Row],[Clôture Crédit]]</f>
        <v>-6403030</v>
      </c>
    </row>
    <row r="39" customFormat="false" ht="15" hidden="false" customHeight="false" outlineLevel="0" collapsed="false">
      <c r="A39" s="42" t="n">
        <v>431302</v>
      </c>
      <c r="B39" s="12" t="s">
        <v>326</v>
      </c>
      <c r="C39" s="13" t="s">
        <v>322</v>
      </c>
      <c r="D39" s="15" t="n">
        <f aca="false">IF(LEFT(A39,1)&gt;="6",0,SUMIFS('BALANCE 2028'!$H:$H,'BALANCE 2028'!$A:$A,A39))</f>
        <v>0</v>
      </c>
      <c r="E39" s="15" t="n">
        <f aca="false">IF(LEFT(A39,1)&gt;="6",0,SUMIFS('BALANCE 2028'!$I:$I,'BALANCE 2028'!$A:$A,A39))</f>
        <v>1489893</v>
      </c>
      <c r="F39" s="15" t="n">
        <f aca="false">ROUND(IF(HYPOTHESES!$C$56=0,0,'BALANCE 2024'!$G$39*HYPOTHESES!H$56/HYPOTHESES!$C$56),0)+(H39-I39)-(D39-E39)</f>
        <v>14834735</v>
      </c>
      <c r="G39" s="15" t="n">
        <f aca="false">ROUND(IF(HYPOTHESES!$C$56=0,0,'BALANCE 2024'!$G$39*HYPOTHESES!H$56/HYPOTHESES!$C$56),0)</f>
        <v>14909230</v>
      </c>
      <c r="H39" s="21" t="n">
        <v>0</v>
      </c>
      <c r="I39" s="15" t="n">
        <f aca="false">ROUND(IF(HYPOTHESES!$C$56=0,0,'BALANCE 2024'!$I$39*HYPOTHESES!H$56/HYPOTHESES!$C$56),0)</f>
        <v>1564388</v>
      </c>
      <c r="J39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9" s="43" t="n">
        <f aca="false">T_BAL_2029[[#This Row],[Clôture Débit]]-T_BAL_2029[[#This Row],[Clôture Crédit]]</f>
        <v>-1564388</v>
      </c>
    </row>
    <row r="40" customFormat="false" ht="15" hidden="false" customHeight="false" outlineLevel="0" collapsed="false">
      <c r="A40" s="42" t="n">
        <v>431802</v>
      </c>
      <c r="B40" s="12" t="s">
        <v>327</v>
      </c>
      <c r="C40" s="13" t="s">
        <v>322</v>
      </c>
      <c r="D40" s="15" t="n">
        <f aca="false">IF(LEFT(A40,1)&gt;="6",0,SUMIFS('BALANCE 2028'!$H:$H,'BALANCE 2028'!$A:$A,A40))</f>
        <v>0</v>
      </c>
      <c r="E40" s="15" t="n">
        <f aca="false">IF(LEFT(A40,1)&gt;="6",0,SUMIFS('BALANCE 2028'!$I:$I,'BALANCE 2028'!$A:$A,A40))</f>
        <v>200656</v>
      </c>
      <c r="F40" s="15" t="n">
        <f aca="false">ROUND(IF(HYPOTHESES!$C$56=0,0,'BALANCE 2024'!$G$40*HYPOTHESES!H$56/HYPOTHESES!$C$56),0)+(H40-I40)-(D40-E40)</f>
        <v>494280</v>
      </c>
      <c r="G40" s="15" t="n">
        <f aca="false">ROUND(IF(HYPOTHESES!$C$56=0,0,'BALANCE 2024'!$G$40*HYPOTHESES!H$56/HYPOTHESES!$C$56),0)</f>
        <v>504313</v>
      </c>
      <c r="H40" s="21" t="n">
        <v>0</v>
      </c>
      <c r="I40" s="15" t="n">
        <f aca="false">ROUND(IF(HYPOTHESES!$C$56=0,0,'BALANCE 2024'!$I$40*HYPOTHESES!H$56/HYPOTHESES!$C$56),0)</f>
        <v>210689</v>
      </c>
      <c r="J40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0" s="43" t="n">
        <f aca="false">T_BAL_2029[[#This Row],[Clôture Débit]]-T_BAL_2029[[#This Row],[Clôture Crédit]]</f>
        <v>-210689</v>
      </c>
    </row>
    <row r="41" customFormat="false" ht="15" hidden="false" customHeight="false" outlineLevel="0" collapsed="false">
      <c r="A41" s="42" t="n">
        <v>431803</v>
      </c>
      <c r="B41" s="12" t="s">
        <v>328</v>
      </c>
      <c r="C41" s="13" t="s">
        <v>322</v>
      </c>
      <c r="D41" s="15" t="n">
        <f aca="false">IF(LEFT(A41,1)&gt;="6",0,SUMIFS('BALANCE 2028'!$H:$H,'BALANCE 2028'!$A:$A,A41))</f>
        <v>0</v>
      </c>
      <c r="E41" s="15" t="n">
        <f aca="false">IF(LEFT(A41,1)&gt;="6",0,SUMIFS('BALANCE 2028'!$I:$I,'BALANCE 2028'!$A:$A,A41))</f>
        <v>45000</v>
      </c>
      <c r="F41" s="15" t="n">
        <f aca="false">ROUND(HYPOTHESES!H$62,0)+(H41-I41)-(D41-E41)</f>
        <v>595000</v>
      </c>
      <c r="G41" s="15" t="n">
        <f aca="false">ROUND(HYPOTHESES!H$62,0)</f>
        <v>600000</v>
      </c>
      <c r="H41" s="21" t="n">
        <v>0</v>
      </c>
      <c r="I41" s="15" t="n">
        <f aca="false">ROUND(HYPOTHESES!H$62/12,0)</f>
        <v>50000</v>
      </c>
      <c r="J41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1" s="43" t="n">
        <f aca="false">T_BAL_2029[[#This Row],[Clôture Débit]]-T_BAL_2029[[#This Row],[Clôture Crédit]]</f>
        <v>-50000</v>
      </c>
    </row>
    <row r="42" customFormat="false" ht="15" hidden="false" customHeight="false" outlineLevel="0" collapsed="false">
      <c r="A42" s="42" t="n">
        <v>433300</v>
      </c>
      <c r="B42" s="12" t="s">
        <v>329</v>
      </c>
      <c r="C42" s="13" t="s">
        <v>322</v>
      </c>
      <c r="D42" s="15" t="n">
        <f aca="false">IF(LEFT(A42,1)&gt;="6",0,SUMIFS('BALANCE 2028'!$H:$H,'BALANCE 2028'!$A:$A,A42))</f>
        <v>0</v>
      </c>
      <c r="E42" s="15" t="n">
        <f aca="false">IF(LEFT(A42,1)&gt;="6",0,SUMIFS('BALANCE 2028'!$I:$I,'BALANCE 2028'!$A:$A,A42))</f>
        <v>0</v>
      </c>
      <c r="F42" s="15" t="n">
        <f aca="false">ROUND(IF(HYPOTHESES!$C$56=0,0,'BALANCE 2024'!$G$42*HYPOTHESES!H$56/HYPOTHESES!$C$56),0)+(H42-I42)-(D42-E42)</f>
        <v>0</v>
      </c>
      <c r="G42" s="15" t="n">
        <f aca="false">ROUND(IF(HYPOTHESES!$C$56=0,0,'BALANCE 2024'!$G$42*HYPOTHESES!H$56/HYPOTHESES!$C$56),0)</f>
        <v>0</v>
      </c>
      <c r="H42" s="21" t="n">
        <v>0</v>
      </c>
      <c r="I42" s="15" t="n">
        <f aca="false">ROUND(IF(HYPOTHESES!$C$56=0,0,'BALANCE 2024'!$I$42*HYPOTHESES!H$56/HYPOTHESES!$C$56),0)</f>
        <v>0</v>
      </c>
      <c r="J42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2" s="43" t="n">
        <f aca="false">T_BAL_2029[[#This Row],[Clôture Débit]]-T_BAL_2029[[#This Row],[Clôture Crédit]]</f>
        <v>0</v>
      </c>
    </row>
    <row r="43" customFormat="false" ht="15" hidden="false" customHeight="false" outlineLevel="0" collapsed="false">
      <c r="A43" s="42" t="n">
        <v>441000</v>
      </c>
      <c r="B43" s="12" t="s">
        <v>330</v>
      </c>
      <c r="C43" s="13" t="s">
        <v>322</v>
      </c>
      <c r="D43" s="15" t="n">
        <f aca="false">IF(LEFT(A43,1)&gt;="6",0,SUMIFS('BALANCE 2028'!$H:$H,'BALANCE 2028'!$A:$A,A43))</f>
        <v>0</v>
      </c>
      <c r="E43" s="15" t="n">
        <f aca="false">IF(LEFT(A43,1)&gt;="6",0,SUMIFS('BALANCE 2028'!$I:$I,'BALANCE 2028'!$A:$A,A43))</f>
        <v>33384003</v>
      </c>
      <c r="F43" s="15" t="n">
        <f aca="false">ROUND(HYPOTHESES!H$72,0)+(H43-I43)-(D43-E43)</f>
        <v>33384003</v>
      </c>
      <c r="G43" s="15" t="n">
        <f aca="false">ROUND(HYPOTHESES!H$72,0)</f>
        <v>35578752</v>
      </c>
      <c r="H43" s="21" t="n">
        <v>0</v>
      </c>
      <c r="I43" s="15" t="n">
        <f aca="false">ROUND(HYPOTHESES!H$72,0)</f>
        <v>35578752</v>
      </c>
      <c r="J43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3" s="43" t="n">
        <f aca="false">T_BAL_2029[[#This Row],[Clôture Débit]]-T_BAL_2029[[#This Row],[Clôture Crédit]]</f>
        <v>-35578752</v>
      </c>
    </row>
    <row r="44" customFormat="false" ht="15" hidden="false" customHeight="false" outlineLevel="0" collapsed="false">
      <c r="A44" s="42" t="n">
        <v>442800</v>
      </c>
      <c r="B44" s="12" t="s">
        <v>331</v>
      </c>
      <c r="C44" s="13" t="s">
        <v>322</v>
      </c>
      <c r="D44" s="15" t="n">
        <f aca="false">IF(LEFT(A44,1)&gt;="6",0,SUMIFS('BALANCE 2028'!$H:$H,'BALANCE 2028'!$A:$A,A44))</f>
        <v>0</v>
      </c>
      <c r="E44" s="15" t="n">
        <f aca="false">IF(LEFT(A44,1)&gt;="6",0,SUMIFS('BALANCE 2028'!$I:$I,'BALANCE 2028'!$A:$A,A44))</f>
        <v>898365</v>
      </c>
      <c r="F44" s="15" t="n">
        <f aca="false">ROUND(IF(HYPOTHESES!$C$54=0,0,'BALANCE 2024'!$G$44*HYPOTHESES!H$54/HYPOTHESES!$C$54),0)+(H44-I44)-(D44-E44)</f>
        <v>898365</v>
      </c>
      <c r="G44" s="15" t="n">
        <f aca="false">ROUND(IF(HYPOTHESES!$C$54=0,0,'BALANCE 2024'!$G$44*HYPOTHESES!H$54/HYPOTHESES!$C$54),0)</f>
        <v>943283</v>
      </c>
      <c r="H44" s="21" t="n">
        <v>0</v>
      </c>
      <c r="I44" s="15" t="n">
        <f aca="false">ROUND(IF(HYPOTHESES!$C$54=0,0,'BALANCE 2024'!$I$44*HYPOTHESES!H$54/HYPOTHESES!$C$54),0)</f>
        <v>943283</v>
      </c>
      <c r="J44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4" s="43" t="n">
        <f aca="false">T_BAL_2029[[#This Row],[Clôture Débit]]-T_BAL_2029[[#This Row],[Clôture Crédit]]</f>
        <v>-943283</v>
      </c>
    </row>
    <row r="45" customFormat="false" ht="15" hidden="false" customHeight="false" outlineLevel="0" collapsed="false">
      <c r="A45" s="42" t="n">
        <v>442801</v>
      </c>
      <c r="B45" s="12" t="s">
        <v>332</v>
      </c>
      <c r="C45" s="13" t="s">
        <v>322</v>
      </c>
      <c r="D45" s="15" t="n">
        <f aca="false">IF(LEFT(A45,1)&gt;="6",0,SUMIFS('BALANCE 2028'!$H:$H,'BALANCE 2028'!$A:$A,A45))</f>
        <v>0</v>
      </c>
      <c r="E45" s="15" t="n">
        <f aca="false">IF(LEFT(A45,1)&gt;="6",0,SUMIFS('BALANCE 2028'!$I:$I,'BALANCE 2028'!$A:$A,A45))</f>
        <v>128834</v>
      </c>
      <c r="F45" s="15" t="n">
        <f aca="false">ROUND(IF(HYPOTHESES!$C$54=0,0,'BALANCE 2024'!$G$45*HYPOTHESES!H$54/HYPOTHESES!$C$54),0)+(H45-I45)-(D45-E45)</f>
        <v>128834</v>
      </c>
      <c r="G45" s="15" t="n">
        <f aca="false">ROUND(IF(HYPOTHESES!$C$54=0,0,'BALANCE 2024'!$G$45*HYPOTHESES!H$54/HYPOTHESES!$C$54),0)</f>
        <v>135275</v>
      </c>
      <c r="H45" s="21" t="n">
        <v>0</v>
      </c>
      <c r="I45" s="15" t="n">
        <f aca="false">ROUND(IF(HYPOTHESES!$C$54=0,0,'BALANCE 2024'!$I$45*HYPOTHESES!H$54/HYPOTHESES!$C$54),0)</f>
        <v>135275</v>
      </c>
      <c r="J45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5" s="43" t="n">
        <f aca="false">T_BAL_2029[[#This Row],[Clôture Débit]]-T_BAL_2029[[#This Row],[Clôture Crédit]]</f>
        <v>-135275</v>
      </c>
    </row>
    <row r="46" customFormat="false" ht="15" hidden="false" customHeight="false" outlineLevel="0" collapsed="false">
      <c r="A46" s="42" t="n">
        <v>442802</v>
      </c>
      <c r="B46" s="12" t="s">
        <v>333</v>
      </c>
      <c r="C46" s="13" t="s">
        <v>322</v>
      </c>
      <c r="D46" s="15" t="n">
        <f aca="false">IF(LEFT(A46,1)&gt;="6",0,SUMIFS('BALANCE 2028'!$H:$H,'BALANCE 2028'!$A:$A,A46))</f>
        <v>0</v>
      </c>
      <c r="E46" s="15" t="n">
        <f aca="false">IF(LEFT(A46,1)&gt;="6",0,SUMIFS('BALANCE 2028'!$I:$I,'BALANCE 2028'!$A:$A,A46))</f>
        <v>193259</v>
      </c>
      <c r="F46" s="15" t="n">
        <f aca="false">ROUND(IF(HYPOTHESES!$C$54=0,0,'BALANCE 2024'!$G$46*HYPOTHESES!H$54/HYPOTHESES!$C$54),0)+(H46-I46)-(D46-E46)</f>
        <v>193259</v>
      </c>
      <c r="G46" s="15" t="n">
        <f aca="false">ROUND(IF(HYPOTHESES!$C$54=0,0,'BALANCE 2024'!$G$46*HYPOTHESES!H$54/HYPOTHESES!$C$54),0)</f>
        <v>202922</v>
      </c>
      <c r="H46" s="21" t="n">
        <v>0</v>
      </c>
      <c r="I46" s="15" t="n">
        <f aca="false">ROUND(IF(HYPOTHESES!$C$54=0,0,'BALANCE 2024'!$I$46*HYPOTHESES!H$54/HYPOTHESES!$C$54),0)</f>
        <v>202922</v>
      </c>
      <c r="J46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6" s="43" t="n">
        <f aca="false">T_BAL_2029[[#This Row],[Clôture Débit]]-T_BAL_2029[[#This Row],[Clôture Crédit]]</f>
        <v>-202922</v>
      </c>
    </row>
    <row r="47" customFormat="false" ht="15" hidden="false" customHeight="false" outlineLevel="0" collapsed="false">
      <c r="A47" s="42" t="n">
        <v>442803</v>
      </c>
      <c r="B47" s="12" t="s">
        <v>334</v>
      </c>
      <c r="C47" s="13" t="s">
        <v>322</v>
      </c>
      <c r="D47" s="15" t="n">
        <f aca="false">IF(LEFT(A47,1)&gt;="6",0,SUMIFS('BALANCE 2028'!$H:$H,'BALANCE 2028'!$A:$A,A47))</f>
        <v>0</v>
      </c>
      <c r="E47" s="15" t="n">
        <f aca="false">IF(LEFT(A47,1)&gt;="6",0,SUMIFS('BALANCE 2028'!$I:$I,'BALANCE 2028'!$A:$A,A47))</f>
        <v>193258</v>
      </c>
      <c r="F47" s="15" t="n">
        <f aca="false">ROUND(IF(HYPOTHESES!$C$54=0,0,'BALANCE 2024'!$G$47*HYPOTHESES!H$54/HYPOTHESES!$C$54),0)+(H47-I47)-(D47-E47)</f>
        <v>193258</v>
      </c>
      <c r="G47" s="15" t="n">
        <f aca="false">ROUND(IF(HYPOTHESES!$C$54=0,0,'BALANCE 2024'!$G$47*HYPOTHESES!H$54/HYPOTHESES!$C$54),0)</f>
        <v>202921</v>
      </c>
      <c r="H47" s="21" t="n">
        <v>0</v>
      </c>
      <c r="I47" s="15" t="n">
        <f aca="false">ROUND(IF(HYPOTHESES!$C$54=0,0,'BALANCE 2024'!$I$47*HYPOTHESES!H$54/HYPOTHESES!$C$54),0)</f>
        <v>202921</v>
      </c>
      <c r="J47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7" s="43" t="n">
        <f aca="false">T_BAL_2029[[#This Row],[Clôture Débit]]-T_BAL_2029[[#This Row],[Clôture Crédit]]</f>
        <v>-202921</v>
      </c>
    </row>
    <row r="48" customFormat="false" ht="15" hidden="false" customHeight="false" outlineLevel="0" collapsed="false">
      <c r="A48" s="42" t="n">
        <v>442820</v>
      </c>
      <c r="B48" s="12" t="s">
        <v>335</v>
      </c>
      <c r="C48" s="13" t="s">
        <v>322</v>
      </c>
      <c r="D48" s="15" t="n">
        <f aca="false">IF(LEFT(A48,1)&gt;="6",0,SUMIFS('BALANCE 2028'!$H:$H,'BALANCE 2028'!$A:$A,A48))</f>
        <v>0</v>
      </c>
      <c r="E48" s="15" t="n">
        <f aca="false">IF(LEFT(A48,1)&gt;="6",0,SUMIFS('BALANCE 2028'!$I:$I,'BALANCE 2028'!$A:$A,A48))</f>
        <v>455101</v>
      </c>
      <c r="F48" s="15" t="n">
        <f aca="false">ROUND(IF(HYPOTHESES!$C$54=0,0,'BALANCE 2024'!$G$48*HYPOTHESES!H$54/HYPOTHESES!$C$54),0)+(H48-I48)-(D48-E48)</f>
        <v>1051710</v>
      </c>
      <c r="G48" s="15" t="n">
        <f aca="false">ROUND(IF(HYPOTHESES!$C$54=0,0,'BALANCE 2024'!$G$48*HYPOTHESES!H$54/HYPOTHESES!$C$54),0)</f>
        <v>1074465</v>
      </c>
      <c r="H48" s="21" t="n">
        <v>0</v>
      </c>
      <c r="I48" s="15" t="n">
        <f aca="false">ROUND(IF(HYPOTHESES!$C$54=0,0,'BALANCE 2024'!$I$48*HYPOTHESES!H$54/HYPOTHESES!$C$54),0)</f>
        <v>477856</v>
      </c>
      <c r="J48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8" s="43" t="n">
        <f aca="false">T_BAL_2029[[#This Row],[Clôture Débit]]-T_BAL_2029[[#This Row],[Clôture Crédit]]</f>
        <v>-477856</v>
      </c>
    </row>
    <row r="49" customFormat="false" ht="15" hidden="false" customHeight="false" outlineLevel="0" collapsed="false">
      <c r="A49" s="42" t="n">
        <v>442840</v>
      </c>
      <c r="B49" s="12" t="s">
        <v>336</v>
      </c>
      <c r="C49" s="13" t="s">
        <v>322</v>
      </c>
      <c r="D49" s="15" t="n">
        <f aca="false">IF(LEFT(A49,1)&gt;="6",0,SUMIFS('BALANCE 2028'!$H:$H,'BALANCE 2028'!$A:$A,A49))</f>
        <v>0</v>
      </c>
      <c r="E49" s="15" t="n">
        <f aca="false">IF(LEFT(A49,1)&gt;="6",0,SUMIFS('BALANCE 2028'!$I:$I,'BALANCE 2028'!$A:$A,A49))</f>
        <v>6190002</v>
      </c>
      <c r="F49" s="15" t="n">
        <f aca="false">ROUND(IF(HYPOTHESES!$C$54=0,0,'BALANCE 2024'!$G$49*HYPOTHESES!H$54/HYPOTHESES!$C$54),0)+(H49-I49)-(D49-E49)</f>
        <v>11461270</v>
      </c>
      <c r="G49" s="15" t="n">
        <f aca="false">ROUND(IF(HYPOTHESES!$C$54=0,0,'BALANCE 2024'!$G$49*HYPOTHESES!H$54/HYPOTHESES!$C$54),0)</f>
        <v>11770770</v>
      </c>
      <c r="H49" s="21" t="n">
        <v>0</v>
      </c>
      <c r="I49" s="15" t="n">
        <f aca="false">ROUND(IF(HYPOTHESES!$C$54=0,0,'BALANCE 2024'!$I$49*HYPOTHESES!H$54/HYPOTHESES!$C$54),0)</f>
        <v>6499502</v>
      </c>
      <c r="J49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9" s="43" t="n">
        <f aca="false">T_BAL_2029[[#This Row],[Clôture Débit]]-T_BAL_2029[[#This Row],[Clôture Crédit]]</f>
        <v>-6499502</v>
      </c>
    </row>
    <row r="50" customFormat="false" ht="15" hidden="false" customHeight="false" outlineLevel="0" collapsed="false">
      <c r="A50" s="42" t="n">
        <v>443300</v>
      </c>
      <c r="B50" s="12" t="s">
        <v>337</v>
      </c>
      <c r="C50" s="13" t="s">
        <v>322</v>
      </c>
      <c r="D50" s="15" t="n">
        <f aca="false">IF(LEFT(A50,1)&gt;="6",0,SUMIFS('BALANCE 2028'!$H:$H,'BALANCE 2028'!$A:$A,A50))</f>
        <v>0</v>
      </c>
      <c r="E50" s="15" t="n">
        <f aca="false">IF(LEFT(A50,1)&gt;="6",0,SUMIFS('BALANCE 2028'!$I:$I,'BALANCE 2028'!$A:$A,A50))</f>
        <v>64647439</v>
      </c>
      <c r="F50" s="15" t="n">
        <f aca="false">ROUND(HYPOTHESES!H$50*HYPOTHESES!H$10,0)+(H50-I50)-(D50-E50)</f>
        <v>160882537</v>
      </c>
      <c r="G50" s="15" t="n">
        <f aca="false">ROUND(HYPOTHESES!H$50*HYPOTHESES!H$10,0)</f>
        <v>164114909</v>
      </c>
      <c r="H50" s="21" t="n">
        <v>0</v>
      </c>
      <c r="I50" s="15" t="n">
        <f aca="false">ROUND(IF('BALANCE 2024'!$H$34=0,0,'BALANCE 2024'!$I$50*H34/'BALANCE 2024'!$H$34),0)</f>
        <v>67879811</v>
      </c>
      <c r="J50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0" s="43" t="n">
        <f aca="false">T_BAL_2029[[#This Row],[Clôture Débit]]-T_BAL_2029[[#This Row],[Clôture Crédit]]</f>
        <v>-67879811</v>
      </c>
    </row>
    <row r="51" customFormat="false" ht="15" hidden="false" customHeight="false" outlineLevel="0" collapsed="false">
      <c r="A51" s="42" t="n">
        <v>446000</v>
      </c>
      <c r="B51" s="12" t="s">
        <v>338</v>
      </c>
      <c r="C51" s="13" t="s">
        <v>322</v>
      </c>
      <c r="D51" s="15" t="n">
        <f aca="false">IF(LEFT(A51,1)&gt;="6",0,SUMIFS('BALANCE 2028'!$H:$H,'BALANCE 2028'!$A:$A,A51))</f>
        <v>0</v>
      </c>
      <c r="E51" s="15" t="n">
        <f aca="false">IF(LEFT(A51,1)&gt;="6",0,SUMIFS('BALANCE 2028'!$I:$I,'BALANCE 2028'!$A:$A,A51))</f>
        <v>247600</v>
      </c>
      <c r="F51" s="15" t="n">
        <f aca="false">ROUND(IF(HYPOTHESES!$C$54=0,0,'BALANCE 2024'!$G$51*HYPOTHESES!H$54/HYPOTHESES!$C$54),0)+(H51-I51)-(D51-E51)</f>
        <v>262789</v>
      </c>
      <c r="G51" s="15" t="n">
        <f aca="false">ROUND(IF(HYPOTHESES!$C$54=0,0,'BALANCE 2024'!$G$51*HYPOTHESES!H$54/HYPOTHESES!$C$54),0)</f>
        <v>275169</v>
      </c>
      <c r="H51" s="21" t="n">
        <v>0</v>
      </c>
      <c r="I51" s="15" t="n">
        <f aca="false">ROUND(IF(HYPOTHESES!$C$54=0,0,'BALANCE 2024'!$I$51*HYPOTHESES!H$54/HYPOTHESES!$C$54),0)</f>
        <v>259980</v>
      </c>
      <c r="J51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1" s="43" t="n">
        <f aca="false">T_BAL_2029[[#This Row],[Clôture Débit]]-T_BAL_2029[[#This Row],[Clôture Crédit]]</f>
        <v>-259980</v>
      </c>
    </row>
    <row r="52" customFormat="false" ht="15" hidden="false" customHeight="false" outlineLevel="0" collapsed="false">
      <c r="A52" s="42" t="n">
        <v>447201</v>
      </c>
      <c r="B52" s="12" t="s">
        <v>339</v>
      </c>
      <c r="C52" s="13" t="s">
        <v>322</v>
      </c>
      <c r="D52" s="15" t="n">
        <f aca="false">IF(LEFT(A52,1)&gt;="6",0,SUMIFS('BALANCE 2028'!$H:$H,'BALANCE 2028'!$A:$A,A52))</f>
        <v>0</v>
      </c>
      <c r="E52" s="15" t="n">
        <f aca="false">IF(LEFT(A52,1)&gt;="6",0,SUMIFS('BALANCE 2028'!$I:$I,'BALANCE 2028'!$A:$A,A52))</f>
        <v>2021754</v>
      </c>
      <c r="F52" s="15" t="n">
        <f aca="false">ROUND(IF(HYPOTHESES!$C$56=0,0,'BALANCE 2024'!$G$52*HYPOTHESES!H$56/HYPOTHESES!$C$56),0)+(H52-I52)-(D52-E52)</f>
        <v>7576526</v>
      </c>
      <c r="G52" s="15" t="n">
        <f aca="false">ROUND(IF(HYPOTHESES!$C$56=0,0,'BALANCE 2024'!$G$52*HYPOTHESES!H$56/HYPOTHESES!$C$56),0)</f>
        <v>7677613</v>
      </c>
      <c r="H52" s="21" t="n">
        <v>0</v>
      </c>
      <c r="I52" s="15" t="n">
        <f aca="false">ROUND(IF(HYPOTHESES!$C$56=0,0,'BALANCE 2024'!$I$52*HYPOTHESES!H$56/HYPOTHESES!$C$56),0)</f>
        <v>2122841</v>
      </c>
      <c r="J52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2" s="43" t="n">
        <f aca="false">T_BAL_2029[[#This Row],[Clôture Débit]]-T_BAL_2029[[#This Row],[Clôture Crédit]]</f>
        <v>-2122841</v>
      </c>
    </row>
    <row r="53" customFormat="false" ht="15" hidden="false" customHeight="false" outlineLevel="0" collapsed="false">
      <c r="A53" s="42" t="n">
        <v>462100</v>
      </c>
      <c r="B53" s="12" t="s">
        <v>340</v>
      </c>
      <c r="C53" s="13" t="s">
        <v>341</v>
      </c>
      <c r="D53" s="15" t="n">
        <f aca="false">IF(LEFT(A53,1)&gt;="6",0,SUMIFS('BALANCE 2028'!$H:$H,'BALANCE 2028'!$A:$A,A53))</f>
        <v>0</v>
      </c>
      <c r="E53" s="15" t="n">
        <f aca="false">IF(LEFT(A53,1)&gt;="6",0,SUMIFS('BALANCE 2028'!$I:$I,'BALANCE 2028'!$A:$A,A53))</f>
        <v>0</v>
      </c>
      <c r="F53" s="15" t="n">
        <f aca="false">ROUND('INVEST ET FINANCEMENT'!H$54,0)+(H53-I53)-(D53-E53)</f>
        <v>0</v>
      </c>
      <c r="G53" s="15" t="n">
        <f aca="false">ROUND('INVEST ET FINANCEMENT'!H$54,0)</f>
        <v>0</v>
      </c>
      <c r="H53" s="21" t="n">
        <v>0</v>
      </c>
      <c r="I53" s="15" t="n">
        <f aca="false">ROUND('INVEST ET FINANCEMENT'!H$55,0)</f>
        <v>0</v>
      </c>
      <c r="J53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3" s="43" t="n">
        <f aca="false">T_BAL_2029[[#This Row],[Clôture Débit]]-T_BAL_2029[[#This Row],[Clôture Crédit]]</f>
        <v>0</v>
      </c>
    </row>
    <row r="54" customFormat="false" ht="15" hidden="false" customHeight="false" outlineLevel="0" collapsed="false">
      <c r="A54" s="42" t="n">
        <v>471200</v>
      </c>
      <c r="B54" s="12" t="s">
        <v>342</v>
      </c>
      <c r="C54" s="13" t="s">
        <v>343</v>
      </c>
      <c r="D54" s="15" t="n">
        <f aca="false">IF(LEFT(A54,1)&gt;="6",0,SUMIFS('BALANCE 2028'!$H:$H,'BALANCE 2028'!$A:$A,A54))</f>
        <v>0</v>
      </c>
      <c r="E54" s="15" t="n">
        <f aca="false">IF(LEFT(A54,1)&gt;="6",0,SUMIFS('BALANCE 2028'!$I:$I,'BALANCE 2028'!$A:$A,A54))</f>
        <v>0</v>
      </c>
      <c r="F54" s="21" t="n">
        <f aca="false">MAX(0,(H54-I54)-(D54-E54))</f>
        <v>-0</v>
      </c>
      <c r="G54" s="21" t="n">
        <f aca="false">MAX(0,(D54-E54)-(H54-I54))</f>
        <v>0</v>
      </c>
      <c r="H54" s="15" t="n">
        <f aca="false">ROUND(MAX(0,-(E54-D54+HYPOTHESES!H$39)),0)</f>
        <v>-0</v>
      </c>
      <c r="I54" s="15" t="n">
        <f aca="false">ROUND(MAX(0,(E54-D54+HYPOTHESES!H$39)),0)</f>
        <v>0</v>
      </c>
      <c r="J54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4" s="43" t="n">
        <f aca="false">T_BAL_2029[[#This Row],[Clôture Débit]]-T_BAL_2029[[#This Row],[Clôture Crédit]]</f>
        <v>-0</v>
      </c>
    </row>
    <row r="55" customFormat="false" ht="15" hidden="false" customHeight="false" outlineLevel="0" collapsed="false">
      <c r="A55" s="42" t="n">
        <v>481200</v>
      </c>
      <c r="B55" s="12" t="s">
        <v>344</v>
      </c>
      <c r="C55" s="13" t="s">
        <v>345</v>
      </c>
      <c r="D55" s="15" t="n">
        <f aca="false">IF(LEFT(A55,1)&gt;="6",0,SUMIFS('BALANCE 2028'!$H:$H,'BALANCE 2028'!$A:$A,A55))</f>
        <v>0</v>
      </c>
      <c r="E55" s="15" t="n">
        <f aca="false">IF(LEFT(A55,1)&gt;="6",0,SUMIFS('BALANCE 2028'!$I:$I,'BALANCE 2028'!$A:$A,A55))</f>
        <v>53870976</v>
      </c>
      <c r="F55" s="15" t="n">
        <f aca="false">ROUND('INVEST ET FINANCEMENT'!H$42,0)+(H55-I55)-(D55-E55)</f>
        <v>76134865</v>
      </c>
      <c r="G55" s="15" t="n">
        <f aca="false">ROUND('INVEST ET FINANCEMENT'!H$42,0)</f>
        <v>35000000</v>
      </c>
      <c r="H55" s="21" t="n">
        <v>0</v>
      </c>
      <c r="I55" s="15" t="n">
        <f aca="false">ROUND(HYPOTHESES!H$36,0)</f>
        <v>12736111</v>
      </c>
      <c r="J55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5" s="43" t="n">
        <f aca="false">T_BAL_2029[[#This Row],[Clôture Débit]]-T_BAL_2029[[#This Row],[Clôture Crédit]]</f>
        <v>-12736111</v>
      </c>
    </row>
    <row r="56" customFormat="false" ht="15" hidden="false" customHeight="false" outlineLevel="0" collapsed="false">
      <c r="A56" s="35" t="n">
        <v>521101</v>
      </c>
      <c r="B56" s="36" t="s">
        <v>346</v>
      </c>
      <c r="C56" s="37" t="s">
        <v>347</v>
      </c>
      <c r="D56" s="44" t="n">
        <f aca="false">IF(LEFT(A56,1)&gt;="6",0,SUMIFS('BALANCE 2028'!$H:$H,'BALANCE 2028'!$A:$A,A56))</f>
        <v>502450330</v>
      </c>
      <c r="E56" s="44" t="n">
        <f aca="false">IF(LEFT(A56,1)&gt;="6",0,SUMIFS('BALANCE 2028'!$I:$I,'BALANCE 2028'!$A:$A,A56))</f>
        <v>0</v>
      </c>
      <c r="F56" s="44" t="n">
        <f aca="false">ROUND(G34+HYPOTHESES!H$66+'INVEST ET FINANCEMENT'!H$48+'INVEST ET FINANCEMENT'!H$52,0)</f>
        <v>1048677905</v>
      </c>
      <c r="G56" s="44" t="n">
        <f aca="false">ROUND(G34+HYPOTHESES!H$66+'INVEST ET FINANCEMENT'!H$48+'INVEST ET FINANCEMENT'!H$52,0)+(D56-E56)-(H56-I56)</f>
        <v>938727429</v>
      </c>
      <c r="H56" s="39" t="n">
        <f aca="false">ROUND(MAX(0,(H7-(H57-I57))),0)</f>
        <v>612400806</v>
      </c>
      <c r="I56" s="39" t="n">
        <f aca="false">ROUND(MAX(0,-(H7-(H57-I57))),0)</f>
        <v>0</v>
      </c>
      <c r="J56" s="39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6" s="40" t="n">
        <v>0</v>
      </c>
    </row>
    <row r="57" customFormat="false" ht="15" hidden="false" customHeight="false" outlineLevel="0" collapsed="false">
      <c r="A57" s="42" t="n">
        <v>571101</v>
      </c>
      <c r="B57" s="12" t="s">
        <v>348</v>
      </c>
      <c r="C57" s="13" t="s">
        <v>349</v>
      </c>
      <c r="D57" s="15" t="n">
        <f aca="false">IF(LEFT(A57,1)&gt;="6",0,SUMIFS('BALANCE 2028'!$H:$H,'BALANCE 2028'!$A:$A,A57))</f>
        <v>12314611</v>
      </c>
      <c r="E57" s="15" t="n">
        <f aca="false">IF(LEFT(A57,1)&gt;="6",0,SUMIFS('BALANCE 2028'!$I:$I,'BALANCE 2028'!$A:$A,A57))</f>
        <v>0</v>
      </c>
      <c r="F57" s="21" t="n">
        <f aca="false">ROUND(H9,0)</f>
        <v>187745486</v>
      </c>
      <c r="G57" s="21" t="n">
        <f aca="false">ROUND(H9,0)+(D57-E57)-(H57-I57)</f>
        <v>185868031</v>
      </c>
      <c r="H57" s="15" t="n">
        <f aca="false">ROUND(MAX(0,((D57-E57)+H9*(1-HYPOTHESES!H$38))),0)</f>
        <v>14192066</v>
      </c>
      <c r="I57" s="15" t="n">
        <f aca="false">ROUND(MAX(0,-((D57-E57)+H9*(1-HYPOTHESES!H$38))),0)</f>
        <v>0</v>
      </c>
      <c r="J57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7" s="43" t="n">
        <v>0</v>
      </c>
    </row>
    <row r="58" customFormat="false" ht="15" hidden="false" customHeight="false" outlineLevel="0" collapsed="false">
      <c r="A58" s="42" t="n">
        <v>585000</v>
      </c>
      <c r="B58" s="12" t="s">
        <v>350</v>
      </c>
      <c r="C58" s="13" t="s">
        <v>349</v>
      </c>
      <c r="D58" s="15" t="n">
        <f aca="false">IF(LEFT(A58,1)&gt;="6",0,SUMIFS('BALANCE 2028'!$H:$H,'BALANCE 2028'!$A:$A,A58))</f>
        <v>0</v>
      </c>
      <c r="E58" s="15" t="n">
        <f aca="false">IF(LEFT(A58,1)&gt;="6",0,SUMIFS('BALANCE 2028'!$I:$I,'BALANCE 2028'!$A:$A,A58))</f>
        <v>0</v>
      </c>
      <c r="F58" s="21" t="n">
        <f aca="false">ROUND(H9,0)</f>
        <v>187745486</v>
      </c>
      <c r="G58" s="21" t="n">
        <f aca="false">ROUND(H9,0)+(D58-E58)-(H58-I58)</f>
        <v>187745486</v>
      </c>
      <c r="H58" s="15" t="n">
        <f aca="false">ROUND(IF(LEFT(A58,1)&gt;="6",IF(C58="RE",IF(HYPOTHESES!$C$51=0,0,HYPOTHESES!H$51*SUMIFS('BALANCE 2024'!$H:$H,'BALANCE 2024'!$A:$A,A58)/HYPOTHESES!$C$51),IF(C58="RG",IF(HYPOTHESES!$C$52=0,0,HYPOTHESES!H$52*SUMIFS('BALANCE 2024'!$H:$H,'BALANCE 2024'!$A:$A,A58)/HYPOTHESES!$C$52),IF(C58="RH",IF(HYPOTHESES!$C$53=0,0,HYPOTHESES!H$53*SUMIFS('BALANCE 2024'!$H:$H,'BALANCE 2024'!$A:$A,A58)/HYPOTHESES!$C$53),IF(C58="RI",IF(HYPOTHESES!$C$54=0,0,HYPOTHESES!H$54*SUMIFS('BALANCE 2024'!$H:$H,'BALANCE 2024'!$A:$A,A58)/HYPOTHESES!$C$54),IF(C58="RJ",IF(HYPOTHESES!$C$55=0,0,HYPOTHESES!H$55*SUMIFS('BALANCE 2024'!$H:$H,'BALANCE 2024'!$A:$A,A58)/HYPOTHESES!$C$55),IF(C58="RK",IF(HYPOTHESES!$C$56=0,0,HYPOTHESES!H$56*SUMIFS('BALANCE 2024'!$H:$H,'BALANCE 2024'!$A:$A,A58)/HYPOTHESES!$C$56),0)))))),MAX(0,D58-E58)),0)</f>
        <v>0</v>
      </c>
      <c r="I58" s="21" t="n">
        <f aca="false">ROUND(IF(LEFT(A58,1)&gt;="6",0,MAX(0,E58-D58)),0)</f>
        <v>0</v>
      </c>
      <c r="J58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8" s="43" t="n">
        <f aca="false">T_BAL_2029[[#This Row],[Clôture Débit]]-T_BAL_2029[[#This Row],[Clôture Crédit]]</f>
        <v>0</v>
      </c>
    </row>
    <row r="59" customFormat="false" ht="15" hidden="false" customHeight="false" outlineLevel="0" collapsed="false">
      <c r="A59" s="35" t="n">
        <v>604300</v>
      </c>
      <c r="B59" s="36" t="s">
        <v>351</v>
      </c>
      <c r="C59" s="37" t="s">
        <v>352</v>
      </c>
      <c r="D59" s="44" t="n">
        <f aca="false">IF(LEFT(A59,1)&gt;="6",0,SUMIFS('BALANCE 2028'!$H:$H,'BALANCE 2028'!$A:$A,A59))</f>
        <v>0</v>
      </c>
      <c r="E59" s="44" t="n">
        <f aca="false">IF(LEFT(A59,1)&gt;="6",0,SUMIFS('BALANCE 2028'!$I:$I,'BALANCE 2028'!$A:$A,A59))</f>
        <v>0</v>
      </c>
      <c r="F59" s="39" t="n">
        <f aca="false">MAX(0,(H59-I59)-(D59-E59))</f>
        <v>1614594</v>
      </c>
      <c r="G59" s="39" t="n">
        <f aca="false">MAX(0,(D59-E59)-(H59-I59))</f>
        <v>0</v>
      </c>
      <c r="H59" s="44" t="n">
        <f aca="false">ROUND(IF(LEFT(A59,1)&gt;="6",IF(C59="RE",IF(HYPOTHESES!$C$51=0,0,HYPOTHESES!H$51*SUMIFS('BALANCE 2024'!$H:$H,'BALANCE 2024'!$A:$A,A59)/HYPOTHESES!$C$51),IF(C59="RG",IF(HYPOTHESES!$C$52=0,0,HYPOTHESES!H$52*SUMIFS('BALANCE 2024'!$H:$H,'BALANCE 2024'!$A:$A,A59)/HYPOTHESES!$C$52),IF(C59="RH",IF(HYPOTHESES!$C$53=0,0,HYPOTHESES!H$53*SUMIFS('BALANCE 2024'!$H:$H,'BALANCE 2024'!$A:$A,A59)/HYPOTHESES!$C$53),IF(C59="RI",IF(HYPOTHESES!$C$54=0,0,HYPOTHESES!H$54*SUMIFS('BALANCE 2024'!$H:$H,'BALANCE 2024'!$A:$A,A59)/HYPOTHESES!$C$54),IF(C59="RJ",IF(HYPOTHESES!$C$55=0,0,HYPOTHESES!H$55*SUMIFS('BALANCE 2024'!$H:$H,'BALANCE 2024'!$A:$A,A59)/HYPOTHESES!$C$55),IF(C59="RK",IF(HYPOTHESES!$C$56=0,0,HYPOTHESES!H$56*SUMIFS('BALANCE 2024'!$H:$H,'BALANCE 2024'!$A:$A,A59)/HYPOTHESES!$C$56),0)))))),MAX(0,D59-E59)),0)</f>
        <v>1614594</v>
      </c>
      <c r="I59" s="39" t="n">
        <v>0</v>
      </c>
      <c r="J59" s="39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9" s="40" t="n">
        <f aca="false">T_BAL_2029[[#This Row],[Clôture Débit]]-T_BAL_2029[[#This Row],[Clôture Crédit]]</f>
        <v>1614594</v>
      </c>
    </row>
    <row r="60" customFormat="false" ht="15" hidden="false" customHeight="false" outlineLevel="0" collapsed="false">
      <c r="A60" s="42" t="n">
        <v>605100</v>
      </c>
      <c r="B60" s="12" t="s">
        <v>353</v>
      </c>
      <c r="C60" s="13" t="s">
        <v>352</v>
      </c>
      <c r="D60" s="15" t="n">
        <f aca="false">IF(LEFT(A60,1)&gt;="6",0,SUMIFS('BALANCE 2028'!$H:$H,'BALANCE 2028'!$A:$A,A60))</f>
        <v>0</v>
      </c>
      <c r="E60" s="15" t="n">
        <f aca="false">IF(LEFT(A60,1)&gt;="6",0,SUMIFS('BALANCE 2028'!$I:$I,'BALANCE 2028'!$A:$A,A60))</f>
        <v>0</v>
      </c>
      <c r="F60" s="21" t="n">
        <f aca="false">MAX(0,(H60-I60)-(D60-E60))</f>
        <v>160861</v>
      </c>
      <c r="G60" s="21" t="n">
        <f aca="false">MAX(0,(D60-E60)-(H60-I60))</f>
        <v>0</v>
      </c>
      <c r="H60" s="15" t="n">
        <f aca="false">ROUND(IF(LEFT(A60,1)&gt;="6",IF(C60="RE",IF(HYPOTHESES!$C$51=0,0,HYPOTHESES!H$51*SUMIFS('BALANCE 2024'!$H:$H,'BALANCE 2024'!$A:$A,A60)/HYPOTHESES!$C$51),IF(C60="RG",IF(HYPOTHESES!$C$52=0,0,HYPOTHESES!H$52*SUMIFS('BALANCE 2024'!$H:$H,'BALANCE 2024'!$A:$A,A60)/HYPOTHESES!$C$52),IF(C60="RH",IF(HYPOTHESES!$C$53=0,0,HYPOTHESES!H$53*SUMIFS('BALANCE 2024'!$H:$H,'BALANCE 2024'!$A:$A,A60)/HYPOTHESES!$C$53),IF(C60="RI",IF(HYPOTHESES!$C$54=0,0,HYPOTHESES!H$54*SUMIFS('BALANCE 2024'!$H:$H,'BALANCE 2024'!$A:$A,A60)/HYPOTHESES!$C$54),IF(C60="RJ",IF(HYPOTHESES!$C$55=0,0,HYPOTHESES!H$55*SUMIFS('BALANCE 2024'!$H:$H,'BALANCE 2024'!$A:$A,A60)/HYPOTHESES!$C$55),IF(C60="RK",IF(HYPOTHESES!$C$56=0,0,HYPOTHESES!H$56*SUMIFS('BALANCE 2024'!$H:$H,'BALANCE 2024'!$A:$A,A60)/HYPOTHESES!$C$56),0)))))),MAX(0,D60-E60)),0)</f>
        <v>160861</v>
      </c>
      <c r="I60" s="21" t="n">
        <v>0</v>
      </c>
      <c r="J60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0" s="43" t="n">
        <f aca="false">T_BAL_2029[[#This Row],[Clôture Débit]]-T_BAL_2029[[#This Row],[Clôture Crédit]]</f>
        <v>160861</v>
      </c>
    </row>
    <row r="61" customFormat="false" ht="15" hidden="false" customHeight="false" outlineLevel="0" collapsed="false">
      <c r="A61" s="42" t="n">
        <v>605200</v>
      </c>
      <c r="B61" s="12" t="s">
        <v>354</v>
      </c>
      <c r="C61" s="13" t="s">
        <v>352</v>
      </c>
      <c r="D61" s="15" t="n">
        <f aca="false">IF(LEFT(A61,1)&gt;="6",0,SUMIFS('BALANCE 2028'!$H:$H,'BALANCE 2028'!$A:$A,A61))</f>
        <v>0</v>
      </c>
      <c r="E61" s="15" t="n">
        <f aca="false">IF(LEFT(A61,1)&gt;="6",0,SUMIFS('BALANCE 2028'!$I:$I,'BALANCE 2028'!$A:$A,A61))</f>
        <v>0</v>
      </c>
      <c r="F61" s="21" t="n">
        <f aca="false">MAX(0,(H61-I61)-(D61-E61))</f>
        <v>51600704</v>
      </c>
      <c r="G61" s="21" t="n">
        <f aca="false">MAX(0,(D61-E61)-(H61-I61))</f>
        <v>0</v>
      </c>
      <c r="H61" s="15" t="n">
        <f aca="false">ROUND(IF(LEFT(A61,1)&gt;="6",IF(C61="RE",IF(HYPOTHESES!$C$51=0,0,HYPOTHESES!H$51*SUMIFS('BALANCE 2024'!$H:$H,'BALANCE 2024'!$A:$A,A61)/HYPOTHESES!$C$51),IF(C61="RG",IF(HYPOTHESES!$C$52=0,0,HYPOTHESES!H$52*SUMIFS('BALANCE 2024'!$H:$H,'BALANCE 2024'!$A:$A,A61)/HYPOTHESES!$C$52),IF(C61="RH",IF(HYPOTHESES!$C$53=0,0,HYPOTHESES!H$53*SUMIFS('BALANCE 2024'!$H:$H,'BALANCE 2024'!$A:$A,A61)/HYPOTHESES!$C$53),IF(C61="RI",IF(HYPOTHESES!$C$54=0,0,HYPOTHESES!H$54*SUMIFS('BALANCE 2024'!$H:$H,'BALANCE 2024'!$A:$A,A61)/HYPOTHESES!$C$54),IF(C61="RJ",IF(HYPOTHESES!$C$55=0,0,HYPOTHESES!H$55*SUMIFS('BALANCE 2024'!$H:$H,'BALANCE 2024'!$A:$A,A61)/HYPOTHESES!$C$55),IF(C61="RK",IF(HYPOTHESES!$C$56=0,0,HYPOTHESES!H$56*SUMIFS('BALANCE 2024'!$H:$H,'BALANCE 2024'!$A:$A,A61)/HYPOTHESES!$C$56),0)))))),MAX(0,D61-E61)),0)</f>
        <v>51600704</v>
      </c>
      <c r="I61" s="21" t="n">
        <v>0</v>
      </c>
      <c r="J61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1" s="43" t="n">
        <f aca="false">T_BAL_2029[[#This Row],[Clôture Débit]]-T_BAL_2029[[#This Row],[Clôture Crédit]]</f>
        <v>51600704</v>
      </c>
    </row>
    <row r="62" customFormat="false" ht="15" hidden="false" customHeight="false" outlineLevel="0" collapsed="false">
      <c r="A62" s="42" t="n">
        <v>605300</v>
      </c>
      <c r="B62" s="12" t="s">
        <v>355</v>
      </c>
      <c r="C62" s="13" t="s">
        <v>352</v>
      </c>
      <c r="D62" s="15" t="n">
        <f aca="false">IF(LEFT(A62,1)&gt;="6",0,SUMIFS('BALANCE 2028'!$H:$H,'BALANCE 2028'!$A:$A,A62))</f>
        <v>0</v>
      </c>
      <c r="E62" s="15" t="n">
        <f aca="false">IF(LEFT(A62,1)&gt;="6",0,SUMIFS('BALANCE 2028'!$I:$I,'BALANCE 2028'!$A:$A,A62))</f>
        <v>0</v>
      </c>
      <c r="F62" s="21" t="n">
        <f aca="false">MAX(0,(H62-I62)-(D62-E62))</f>
        <v>25617456</v>
      </c>
      <c r="G62" s="21" t="n">
        <f aca="false">MAX(0,(D62-E62)-(H62-I62))</f>
        <v>0</v>
      </c>
      <c r="H62" s="15" t="n">
        <f aca="false">ROUND(IF(LEFT(A62,1)&gt;="6",IF(C62="RE",IF(HYPOTHESES!$C$51=0,0,HYPOTHESES!H$51*SUMIFS('BALANCE 2024'!$H:$H,'BALANCE 2024'!$A:$A,A62)/HYPOTHESES!$C$51),IF(C62="RG",IF(HYPOTHESES!$C$52=0,0,HYPOTHESES!H$52*SUMIFS('BALANCE 2024'!$H:$H,'BALANCE 2024'!$A:$A,A62)/HYPOTHESES!$C$52),IF(C62="RH",IF(HYPOTHESES!$C$53=0,0,HYPOTHESES!H$53*SUMIFS('BALANCE 2024'!$H:$H,'BALANCE 2024'!$A:$A,A62)/HYPOTHESES!$C$53),IF(C62="RI",IF(HYPOTHESES!$C$54=0,0,HYPOTHESES!H$54*SUMIFS('BALANCE 2024'!$H:$H,'BALANCE 2024'!$A:$A,A62)/HYPOTHESES!$C$54),IF(C62="RJ",IF(HYPOTHESES!$C$55=0,0,HYPOTHESES!H$55*SUMIFS('BALANCE 2024'!$H:$H,'BALANCE 2024'!$A:$A,A62)/HYPOTHESES!$C$55),IF(C62="RK",IF(HYPOTHESES!$C$56=0,0,HYPOTHESES!H$56*SUMIFS('BALANCE 2024'!$H:$H,'BALANCE 2024'!$A:$A,A62)/HYPOTHESES!$C$56),0)))))),MAX(0,D62-E62)),0)</f>
        <v>25617456</v>
      </c>
      <c r="I62" s="21" t="n">
        <v>0</v>
      </c>
      <c r="J62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2" s="43" t="n">
        <f aca="false">T_BAL_2029[[#This Row],[Clôture Débit]]-T_BAL_2029[[#This Row],[Clôture Crédit]]</f>
        <v>25617456</v>
      </c>
    </row>
    <row r="63" customFormat="false" ht="15" hidden="false" customHeight="false" outlineLevel="0" collapsed="false">
      <c r="A63" s="42" t="n">
        <v>605500</v>
      </c>
      <c r="B63" s="12" t="s">
        <v>356</v>
      </c>
      <c r="C63" s="13" t="s">
        <v>352</v>
      </c>
      <c r="D63" s="15" t="n">
        <f aca="false">IF(LEFT(A63,1)&gt;="6",0,SUMIFS('BALANCE 2028'!$H:$H,'BALANCE 2028'!$A:$A,A63))</f>
        <v>0</v>
      </c>
      <c r="E63" s="15" t="n">
        <f aca="false">IF(LEFT(A63,1)&gt;="6",0,SUMIFS('BALANCE 2028'!$I:$I,'BALANCE 2028'!$A:$A,A63))</f>
        <v>0</v>
      </c>
      <c r="F63" s="21" t="n">
        <f aca="false">MAX(0,(H63-I63)-(D63-E63))</f>
        <v>16623232</v>
      </c>
      <c r="G63" s="21" t="n">
        <f aca="false">MAX(0,(D63-E63)-(H63-I63))</f>
        <v>0</v>
      </c>
      <c r="H63" s="15" t="n">
        <f aca="false">ROUND(IF(LEFT(A63,1)&gt;="6",IF(C63="RE",IF(HYPOTHESES!$C$51=0,0,HYPOTHESES!H$51*SUMIFS('BALANCE 2024'!$H:$H,'BALANCE 2024'!$A:$A,A63)/HYPOTHESES!$C$51),IF(C63="RG",IF(HYPOTHESES!$C$52=0,0,HYPOTHESES!H$52*SUMIFS('BALANCE 2024'!$H:$H,'BALANCE 2024'!$A:$A,A63)/HYPOTHESES!$C$52),IF(C63="RH",IF(HYPOTHESES!$C$53=0,0,HYPOTHESES!H$53*SUMIFS('BALANCE 2024'!$H:$H,'BALANCE 2024'!$A:$A,A63)/HYPOTHESES!$C$53),IF(C63="RI",IF(HYPOTHESES!$C$54=0,0,HYPOTHESES!H$54*SUMIFS('BALANCE 2024'!$H:$H,'BALANCE 2024'!$A:$A,A63)/HYPOTHESES!$C$54),IF(C63="RJ",IF(HYPOTHESES!$C$55=0,0,HYPOTHESES!H$55*SUMIFS('BALANCE 2024'!$H:$H,'BALANCE 2024'!$A:$A,A63)/HYPOTHESES!$C$55),IF(C63="RK",IF(HYPOTHESES!$C$56=0,0,HYPOTHESES!H$56*SUMIFS('BALANCE 2024'!$H:$H,'BALANCE 2024'!$A:$A,A63)/HYPOTHESES!$C$56),0)))))),MAX(0,D63-E63)),0)</f>
        <v>16623232</v>
      </c>
      <c r="I63" s="21" t="n">
        <v>0</v>
      </c>
      <c r="J63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3" s="43" t="n">
        <f aca="false">T_BAL_2029[[#This Row],[Clôture Débit]]-T_BAL_2029[[#This Row],[Clôture Crédit]]</f>
        <v>16623232</v>
      </c>
    </row>
    <row r="64" customFormat="false" ht="15" hidden="false" customHeight="false" outlineLevel="0" collapsed="false">
      <c r="A64" s="42" t="n">
        <v>605600</v>
      </c>
      <c r="B64" s="12" t="s">
        <v>357</v>
      </c>
      <c r="C64" s="13" t="s">
        <v>352</v>
      </c>
      <c r="D64" s="15" t="n">
        <f aca="false">IF(LEFT(A64,1)&gt;="6",0,SUMIFS('BALANCE 2028'!$H:$H,'BALANCE 2028'!$A:$A,A64))</f>
        <v>0</v>
      </c>
      <c r="E64" s="15" t="n">
        <f aca="false">IF(LEFT(A64,1)&gt;="6",0,SUMIFS('BALANCE 2028'!$I:$I,'BALANCE 2028'!$A:$A,A64))</f>
        <v>0</v>
      </c>
      <c r="F64" s="21" t="n">
        <f aca="false">MAX(0,(H64-I64)-(D64-E64))</f>
        <v>4766863</v>
      </c>
      <c r="G64" s="21" t="n">
        <f aca="false">MAX(0,(D64-E64)-(H64-I64))</f>
        <v>0</v>
      </c>
      <c r="H64" s="15" t="n">
        <f aca="false">ROUND(IF(LEFT(A64,1)&gt;="6",IF(C64="RE",IF(HYPOTHESES!$C$51=0,0,HYPOTHESES!H$51*SUMIFS('BALANCE 2024'!$H:$H,'BALANCE 2024'!$A:$A,A64)/HYPOTHESES!$C$51),IF(C64="RG",IF(HYPOTHESES!$C$52=0,0,HYPOTHESES!H$52*SUMIFS('BALANCE 2024'!$H:$H,'BALANCE 2024'!$A:$A,A64)/HYPOTHESES!$C$52),IF(C64="RH",IF(HYPOTHESES!$C$53=0,0,HYPOTHESES!H$53*SUMIFS('BALANCE 2024'!$H:$H,'BALANCE 2024'!$A:$A,A64)/HYPOTHESES!$C$53),IF(C64="RI",IF(HYPOTHESES!$C$54=0,0,HYPOTHESES!H$54*SUMIFS('BALANCE 2024'!$H:$H,'BALANCE 2024'!$A:$A,A64)/HYPOTHESES!$C$54),IF(C64="RJ",IF(HYPOTHESES!$C$55=0,0,HYPOTHESES!H$55*SUMIFS('BALANCE 2024'!$H:$H,'BALANCE 2024'!$A:$A,A64)/HYPOTHESES!$C$55),IF(C64="RK",IF(HYPOTHESES!$C$56=0,0,HYPOTHESES!H$56*SUMIFS('BALANCE 2024'!$H:$H,'BALANCE 2024'!$A:$A,A64)/HYPOTHESES!$C$56),0)))))),MAX(0,D64-E64)),0)</f>
        <v>4766863</v>
      </c>
      <c r="I64" s="21" t="n">
        <v>0</v>
      </c>
      <c r="J64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4" s="43" t="n">
        <f aca="false">T_BAL_2029[[#This Row],[Clôture Débit]]-T_BAL_2029[[#This Row],[Clôture Crédit]]</f>
        <v>4766863</v>
      </c>
    </row>
    <row r="65" customFormat="false" ht="15" hidden="false" customHeight="false" outlineLevel="0" collapsed="false">
      <c r="A65" s="42" t="n">
        <v>605700</v>
      </c>
      <c r="B65" s="12" t="s">
        <v>358</v>
      </c>
      <c r="C65" s="13" t="s">
        <v>352</v>
      </c>
      <c r="D65" s="15" t="n">
        <f aca="false">IF(LEFT(A65,1)&gt;="6",0,SUMIFS('BALANCE 2028'!$H:$H,'BALANCE 2028'!$A:$A,A65))</f>
        <v>0</v>
      </c>
      <c r="E65" s="15" t="n">
        <f aca="false">IF(LEFT(A65,1)&gt;="6",0,SUMIFS('BALANCE 2028'!$I:$I,'BALANCE 2028'!$A:$A,A65))</f>
        <v>0</v>
      </c>
      <c r="F65" s="21" t="n">
        <f aca="false">MAX(0,(H65-I65)-(D65-E65))</f>
        <v>103508142</v>
      </c>
      <c r="G65" s="21" t="n">
        <f aca="false">MAX(0,(D65-E65)-(H65-I65))</f>
        <v>0</v>
      </c>
      <c r="H65" s="15" t="n">
        <f aca="false">ROUND(IF(LEFT(A65,1)&gt;="6",IF(C65="RE",IF(HYPOTHESES!$C$51=0,0,HYPOTHESES!H$51*SUMIFS('BALANCE 2024'!$H:$H,'BALANCE 2024'!$A:$A,A65)/HYPOTHESES!$C$51),IF(C65="RG",IF(HYPOTHESES!$C$52=0,0,HYPOTHESES!H$52*SUMIFS('BALANCE 2024'!$H:$H,'BALANCE 2024'!$A:$A,A65)/HYPOTHESES!$C$52),IF(C65="RH",IF(HYPOTHESES!$C$53=0,0,HYPOTHESES!H$53*SUMIFS('BALANCE 2024'!$H:$H,'BALANCE 2024'!$A:$A,A65)/HYPOTHESES!$C$53),IF(C65="RI",IF(HYPOTHESES!$C$54=0,0,HYPOTHESES!H$54*SUMIFS('BALANCE 2024'!$H:$H,'BALANCE 2024'!$A:$A,A65)/HYPOTHESES!$C$54),IF(C65="RJ",IF(HYPOTHESES!$C$55=0,0,HYPOTHESES!H$55*SUMIFS('BALANCE 2024'!$H:$H,'BALANCE 2024'!$A:$A,A65)/HYPOTHESES!$C$55),IF(C65="RK",IF(HYPOTHESES!$C$56=0,0,HYPOTHESES!H$56*SUMIFS('BALANCE 2024'!$H:$H,'BALANCE 2024'!$A:$A,A65)/HYPOTHESES!$C$56),0)))))),MAX(0,D65-E65)),0)</f>
        <v>103508142</v>
      </c>
      <c r="I65" s="21" t="n">
        <v>0</v>
      </c>
      <c r="J65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5" s="43" t="n">
        <f aca="false">T_BAL_2029[[#This Row],[Clôture Débit]]-T_BAL_2029[[#This Row],[Clôture Crédit]]</f>
        <v>103508142</v>
      </c>
    </row>
    <row r="66" customFormat="false" ht="15" hidden="false" customHeight="false" outlineLevel="0" collapsed="false">
      <c r="A66" s="42" t="n">
        <v>605800</v>
      </c>
      <c r="B66" s="12" t="s">
        <v>359</v>
      </c>
      <c r="C66" s="13" t="s">
        <v>352</v>
      </c>
      <c r="D66" s="15" t="n">
        <f aca="false">IF(LEFT(A66,1)&gt;="6",0,SUMIFS('BALANCE 2028'!$H:$H,'BALANCE 2028'!$A:$A,A66))</f>
        <v>0</v>
      </c>
      <c r="E66" s="15" t="n">
        <f aca="false">IF(LEFT(A66,1)&gt;="6",0,SUMIFS('BALANCE 2028'!$I:$I,'BALANCE 2028'!$A:$A,A66))</f>
        <v>0</v>
      </c>
      <c r="F66" s="21" t="n">
        <f aca="false">MAX(0,(H66-I66)-(D66-E66))</f>
        <v>155262211</v>
      </c>
      <c r="G66" s="21" t="n">
        <f aca="false">MAX(0,(D66-E66)-(H66-I66))</f>
        <v>0</v>
      </c>
      <c r="H66" s="15" t="n">
        <f aca="false">ROUND(IF(HYPOTHESES!$C$51=0,0,HYPOTHESES!H$51-SUMPRODUCT((T_BAL_2029[Poste]="RE")*(T_BAL_2029[Compte]&lt;&gt;605800)*ROUND(HYPOTHESES!H$51*SUMIFS('BALANCE 2024'!$H:$H,'BALANCE 2024'!$A:$A,T_BAL_2029[Compte])/HYPOTHESES!$C$51,0))),0)</f>
        <v>155262211</v>
      </c>
      <c r="I66" s="21" t="n">
        <v>0</v>
      </c>
      <c r="J66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6" s="43" t="n">
        <f aca="false">T_BAL_2029[[#This Row],[Clôture Débit]]-T_BAL_2029[[#This Row],[Clôture Crédit]]</f>
        <v>155262211</v>
      </c>
    </row>
    <row r="67" customFormat="false" ht="15" hidden="false" customHeight="false" outlineLevel="0" collapsed="false">
      <c r="A67" s="42" t="n">
        <v>616000</v>
      </c>
      <c r="B67" s="12" t="s">
        <v>360</v>
      </c>
      <c r="C67" s="13" t="s">
        <v>361</v>
      </c>
      <c r="D67" s="15" t="n">
        <f aca="false">IF(LEFT(A67,1)&gt;="6",0,SUMIFS('BALANCE 2028'!$H:$H,'BALANCE 2028'!$A:$A,A67))</f>
        <v>0</v>
      </c>
      <c r="E67" s="15" t="n">
        <f aca="false">IF(LEFT(A67,1)&gt;="6",0,SUMIFS('BALANCE 2028'!$I:$I,'BALANCE 2028'!$A:$A,A67))</f>
        <v>0</v>
      </c>
      <c r="F67" s="21" t="n">
        <f aca="false">MAX(0,(H67-I67)-(D67-E67))</f>
        <v>121027</v>
      </c>
      <c r="G67" s="21" t="n">
        <f aca="false">MAX(0,(D67-E67)-(H67-I67))</f>
        <v>0</v>
      </c>
      <c r="H67" s="15" t="n">
        <f aca="false">ROUND(IF(LEFT(A67,1)&gt;="6",IF(C67="RE",IF(HYPOTHESES!$C$51=0,0,HYPOTHESES!H$51*SUMIFS('BALANCE 2024'!$H:$H,'BALANCE 2024'!$A:$A,A67)/HYPOTHESES!$C$51),IF(C67="RG",IF(HYPOTHESES!$C$52=0,0,HYPOTHESES!H$52*SUMIFS('BALANCE 2024'!$H:$H,'BALANCE 2024'!$A:$A,A67)/HYPOTHESES!$C$52),IF(C67="RH",IF(HYPOTHESES!$C$53=0,0,HYPOTHESES!H$53*SUMIFS('BALANCE 2024'!$H:$H,'BALANCE 2024'!$A:$A,A67)/HYPOTHESES!$C$53),IF(C67="RI",IF(HYPOTHESES!$C$54=0,0,HYPOTHESES!H$54*SUMIFS('BALANCE 2024'!$H:$H,'BALANCE 2024'!$A:$A,A67)/HYPOTHESES!$C$54),IF(C67="RJ",IF(HYPOTHESES!$C$55=0,0,HYPOTHESES!H$55*SUMIFS('BALANCE 2024'!$H:$H,'BALANCE 2024'!$A:$A,A67)/HYPOTHESES!$C$55),IF(C67="RK",IF(HYPOTHESES!$C$56=0,0,HYPOTHESES!H$56*SUMIFS('BALANCE 2024'!$H:$H,'BALANCE 2024'!$A:$A,A67)/HYPOTHESES!$C$56),0)))))),MAX(0,D67-E67)),0)</f>
        <v>121027</v>
      </c>
      <c r="I67" s="21" t="n">
        <v>0</v>
      </c>
      <c r="J67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7" s="43" t="n">
        <f aca="false">T_BAL_2029[[#This Row],[Clôture Débit]]-T_BAL_2029[[#This Row],[Clôture Crédit]]</f>
        <v>121027</v>
      </c>
    </row>
    <row r="68" customFormat="false" ht="15" hidden="false" customHeight="false" outlineLevel="0" collapsed="false">
      <c r="A68" s="42" t="n">
        <v>618200</v>
      </c>
      <c r="B68" s="12" t="s">
        <v>362</v>
      </c>
      <c r="C68" s="13" t="s">
        <v>361</v>
      </c>
      <c r="D68" s="15" t="n">
        <f aca="false">IF(LEFT(A68,1)&gt;="6",0,SUMIFS('BALANCE 2028'!$H:$H,'BALANCE 2028'!$A:$A,A68))</f>
        <v>0</v>
      </c>
      <c r="E68" s="15" t="n">
        <f aca="false">IF(LEFT(A68,1)&gt;="6",0,SUMIFS('BALANCE 2028'!$I:$I,'BALANCE 2028'!$A:$A,A68))</f>
        <v>0</v>
      </c>
      <c r="F68" s="21" t="n">
        <f aca="false">MAX(0,(H68-I68)-(D68-E68))</f>
        <v>2019520</v>
      </c>
      <c r="G68" s="21" t="n">
        <f aca="false">MAX(0,(D68-E68)-(H68-I68))</f>
        <v>0</v>
      </c>
      <c r="H68" s="15" t="n">
        <f aca="false">ROUND(IF(LEFT(A68,1)&gt;="6",IF(C68="RE",IF(HYPOTHESES!$C$51=0,0,HYPOTHESES!H$51*SUMIFS('BALANCE 2024'!$H:$H,'BALANCE 2024'!$A:$A,A68)/HYPOTHESES!$C$51),IF(C68="RG",IF(HYPOTHESES!$C$52=0,0,HYPOTHESES!H$52*SUMIFS('BALANCE 2024'!$H:$H,'BALANCE 2024'!$A:$A,A68)/HYPOTHESES!$C$52),IF(C68="RH",IF(HYPOTHESES!$C$53=0,0,HYPOTHESES!H$53*SUMIFS('BALANCE 2024'!$H:$H,'BALANCE 2024'!$A:$A,A68)/HYPOTHESES!$C$53),IF(C68="RI",IF(HYPOTHESES!$C$54=0,0,HYPOTHESES!H$54*SUMIFS('BALANCE 2024'!$H:$H,'BALANCE 2024'!$A:$A,A68)/HYPOTHESES!$C$54),IF(C68="RJ",IF(HYPOTHESES!$C$55=0,0,HYPOTHESES!H$55*SUMIFS('BALANCE 2024'!$H:$H,'BALANCE 2024'!$A:$A,A68)/HYPOTHESES!$C$55),IF(C68="RK",IF(HYPOTHESES!$C$56=0,0,HYPOTHESES!H$56*SUMIFS('BALANCE 2024'!$H:$H,'BALANCE 2024'!$A:$A,A68)/HYPOTHESES!$C$56),0)))))),MAX(0,D68-E68)),0)</f>
        <v>2019520</v>
      </c>
      <c r="I68" s="21" t="n">
        <v>0</v>
      </c>
      <c r="J68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8" s="43" t="n">
        <f aca="false">T_BAL_2029[[#This Row],[Clôture Débit]]-T_BAL_2029[[#This Row],[Clôture Crédit]]</f>
        <v>2019520</v>
      </c>
    </row>
    <row r="69" customFormat="false" ht="15" hidden="false" customHeight="false" outlineLevel="0" collapsed="false">
      <c r="A69" s="42" t="n">
        <v>618300</v>
      </c>
      <c r="B69" s="12" t="s">
        <v>363</v>
      </c>
      <c r="C69" s="13" t="s">
        <v>361</v>
      </c>
      <c r="D69" s="15" t="n">
        <f aca="false">IF(LEFT(A69,1)&gt;="6",0,SUMIFS('BALANCE 2028'!$H:$H,'BALANCE 2028'!$A:$A,A69))</f>
        <v>0</v>
      </c>
      <c r="E69" s="15" t="n">
        <f aca="false">IF(LEFT(A69,1)&gt;="6",0,SUMIFS('BALANCE 2028'!$I:$I,'BALANCE 2028'!$A:$A,A69))</f>
        <v>0</v>
      </c>
      <c r="F69" s="21" t="n">
        <f aca="false">MAX(0,(H69-I69)-(D69-E69))</f>
        <v>2782900</v>
      </c>
      <c r="G69" s="21" t="n">
        <f aca="false">MAX(0,(D69-E69)-(H69-I69))</f>
        <v>0</v>
      </c>
      <c r="H69" s="15" t="n">
        <f aca="false">ROUND(IF(HYPOTHESES!$C$52=0,0,HYPOTHESES!H$52-SUMPRODUCT((T_BAL_2029[Poste]="RG")*(T_BAL_2029[Compte]&lt;&gt;618300)*ROUND(HYPOTHESES!H$52*SUMIFS('BALANCE 2024'!$H:$H,'BALANCE 2024'!$A:$A,T_BAL_2029[Compte])/HYPOTHESES!$C$52,0))),0)</f>
        <v>2782900</v>
      </c>
      <c r="I69" s="21" t="n">
        <v>0</v>
      </c>
      <c r="J69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9" s="43" t="n">
        <f aca="false">T_BAL_2029[[#This Row],[Clôture Débit]]-T_BAL_2029[[#This Row],[Clôture Crédit]]</f>
        <v>2782900</v>
      </c>
    </row>
    <row r="70" customFormat="false" ht="15" hidden="false" customHeight="false" outlineLevel="0" collapsed="false">
      <c r="A70" s="42" t="n">
        <v>622200</v>
      </c>
      <c r="B70" s="12" t="s">
        <v>364</v>
      </c>
      <c r="C70" s="13" t="s">
        <v>365</v>
      </c>
      <c r="D70" s="15" t="n">
        <f aca="false">IF(LEFT(A70,1)&gt;="6",0,SUMIFS('BALANCE 2028'!$H:$H,'BALANCE 2028'!$A:$A,A70))</f>
        <v>0</v>
      </c>
      <c r="E70" s="15" t="n">
        <f aca="false">IF(LEFT(A70,1)&gt;="6",0,SUMIFS('BALANCE 2028'!$I:$I,'BALANCE 2028'!$A:$A,A70))</f>
        <v>0</v>
      </c>
      <c r="F70" s="21" t="n">
        <f aca="false">MAX(0,(H70-I70)-(D70-E70))</f>
        <v>21634910</v>
      </c>
      <c r="G70" s="21" t="n">
        <f aca="false">MAX(0,(D70-E70)-(H70-I70))</f>
        <v>0</v>
      </c>
      <c r="H70" s="15" t="n">
        <f aca="false">ROUND(IF(LEFT(A70,1)&gt;="6",IF(C70="RE",IF(HYPOTHESES!$C$51=0,0,HYPOTHESES!H$51*SUMIFS('BALANCE 2024'!$H:$H,'BALANCE 2024'!$A:$A,A70)/HYPOTHESES!$C$51),IF(C70="RG",IF(HYPOTHESES!$C$52=0,0,HYPOTHESES!H$52*SUMIFS('BALANCE 2024'!$H:$H,'BALANCE 2024'!$A:$A,A70)/HYPOTHESES!$C$52),IF(C70="RH",IF(HYPOTHESES!$C$53=0,0,HYPOTHESES!H$53*SUMIFS('BALANCE 2024'!$H:$H,'BALANCE 2024'!$A:$A,A70)/HYPOTHESES!$C$53),IF(C70="RI",IF(HYPOTHESES!$C$54=0,0,HYPOTHESES!H$54*SUMIFS('BALANCE 2024'!$H:$H,'BALANCE 2024'!$A:$A,A70)/HYPOTHESES!$C$54),IF(C70="RJ",IF(HYPOTHESES!$C$55=0,0,HYPOTHESES!H$55*SUMIFS('BALANCE 2024'!$H:$H,'BALANCE 2024'!$A:$A,A70)/HYPOTHESES!$C$55),IF(C70="RK",IF(HYPOTHESES!$C$56=0,0,HYPOTHESES!H$56*SUMIFS('BALANCE 2024'!$H:$H,'BALANCE 2024'!$A:$A,A70)/HYPOTHESES!$C$56),0)))))),MAX(0,D70-E70)),0)</f>
        <v>21634910</v>
      </c>
      <c r="I70" s="21" t="n">
        <v>0</v>
      </c>
      <c r="J70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0" s="43" t="n">
        <f aca="false">T_BAL_2029[[#This Row],[Clôture Débit]]-T_BAL_2029[[#This Row],[Clôture Crédit]]</f>
        <v>21634910</v>
      </c>
    </row>
    <row r="71" customFormat="false" ht="15" hidden="false" customHeight="false" outlineLevel="0" collapsed="false">
      <c r="A71" s="42" t="n">
        <v>624200</v>
      </c>
      <c r="B71" s="12" t="s">
        <v>366</v>
      </c>
      <c r="C71" s="13" t="s">
        <v>365</v>
      </c>
      <c r="D71" s="15" t="n">
        <f aca="false">IF(LEFT(A71,1)&gt;="6",0,SUMIFS('BALANCE 2028'!$H:$H,'BALANCE 2028'!$A:$A,A71))</f>
        <v>0</v>
      </c>
      <c r="E71" s="15" t="n">
        <f aca="false">IF(LEFT(A71,1)&gt;="6",0,SUMIFS('BALANCE 2028'!$I:$I,'BALANCE 2028'!$A:$A,A71))</f>
        <v>0</v>
      </c>
      <c r="F71" s="21" t="n">
        <f aca="false">MAX(0,(H71-I71)-(D71-E71))</f>
        <v>44483630</v>
      </c>
      <c r="G71" s="21" t="n">
        <f aca="false">MAX(0,(D71-E71)-(H71-I71))</f>
        <v>0</v>
      </c>
      <c r="H71" s="15" t="n">
        <f aca="false">ROUND(IF(HYPOTHESES!$C$53=0,0,HYPOTHESES!H$53-SUMPRODUCT((T_BAL_2029[Poste]="RH")*(T_BAL_2029[Compte]&lt;&gt;624200)*ROUND(HYPOTHESES!H$53*SUMIFS('BALANCE 2024'!$H:$H,'BALANCE 2024'!$A:$A,T_BAL_2029[Compte])/HYPOTHESES!$C$53,0))),0)</f>
        <v>44483630</v>
      </c>
      <c r="I71" s="21" t="n">
        <v>0</v>
      </c>
      <c r="J71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1" s="43" t="n">
        <f aca="false">T_BAL_2029[[#This Row],[Clôture Débit]]-T_BAL_2029[[#This Row],[Clôture Crédit]]</f>
        <v>44483630</v>
      </c>
    </row>
    <row r="72" customFormat="false" ht="15" hidden="false" customHeight="false" outlineLevel="0" collapsed="false">
      <c r="A72" s="42" t="n">
        <v>625800</v>
      </c>
      <c r="B72" s="12" t="s">
        <v>367</v>
      </c>
      <c r="C72" s="13" t="s">
        <v>365</v>
      </c>
      <c r="D72" s="15" t="n">
        <f aca="false">IF(LEFT(A72,1)&gt;="6",0,SUMIFS('BALANCE 2028'!$H:$H,'BALANCE 2028'!$A:$A,A72))</f>
        <v>0</v>
      </c>
      <c r="E72" s="15" t="n">
        <f aca="false">IF(LEFT(A72,1)&gt;="6",0,SUMIFS('BALANCE 2028'!$I:$I,'BALANCE 2028'!$A:$A,A72))</f>
        <v>0</v>
      </c>
      <c r="F72" s="21" t="n">
        <f aca="false">MAX(0,(H72-I72)-(D72-E72))</f>
        <v>5969111</v>
      </c>
      <c r="G72" s="21" t="n">
        <f aca="false">MAX(0,(D72-E72)-(H72-I72))</f>
        <v>0</v>
      </c>
      <c r="H72" s="15" t="n">
        <f aca="false">ROUND(IF(LEFT(A72,1)&gt;="6",IF(C72="RE",IF(HYPOTHESES!$C$51=0,0,HYPOTHESES!H$51*SUMIFS('BALANCE 2024'!$H:$H,'BALANCE 2024'!$A:$A,A72)/HYPOTHESES!$C$51),IF(C72="RG",IF(HYPOTHESES!$C$52=0,0,HYPOTHESES!H$52*SUMIFS('BALANCE 2024'!$H:$H,'BALANCE 2024'!$A:$A,A72)/HYPOTHESES!$C$52),IF(C72="RH",IF(HYPOTHESES!$C$53=0,0,HYPOTHESES!H$53*SUMIFS('BALANCE 2024'!$H:$H,'BALANCE 2024'!$A:$A,A72)/HYPOTHESES!$C$53),IF(C72="RI",IF(HYPOTHESES!$C$54=0,0,HYPOTHESES!H$54*SUMIFS('BALANCE 2024'!$H:$H,'BALANCE 2024'!$A:$A,A72)/HYPOTHESES!$C$54),IF(C72="RJ",IF(HYPOTHESES!$C$55=0,0,HYPOTHESES!H$55*SUMIFS('BALANCE 2024'!$H:$H,'BALANCE 2024'!$A:$A,A72)/HYPOTHESES!$C$55),IF(C72="RK",IF(HYPOTHESES!$C$56=0,0,HYPOTHESES!H$56*SUMIFS('BALANCE 2024'!$H:$H,'BALANCE 2024'!$A:$A,A72)/HYPOTHESES!$C$56),0)))))),MAX(0,D72-E72)),0)</f>
        <v>5969111</v>
      </c>
      <c r="I72" s="21" t="n">
        <v>0</v>
      </c>
      <c r="J72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2" s="43" t="n">
        <f aca="false">T_BAL_2029[[#This Row],[Clôture Débit]]-T_BAL_2029[[#This Row],[Clôture Crédit]]</f>
        <v>5969111</v>
      </c>
    </row>
    <row r="73" customFormat="false" ht="15" hidden="false" customHeight="false" outlineLevel="0" collapsed="false">
      <c r="A73" s="42" t="n">
        <v>626600</v>
      </c>
      <c r="B73" s="12" t="s">
        <v>368</v>
      </c>
      <c r="C73" s="13" t="s">
        <v>365</v>
      </c>
      <c r="D73" s="15" t="n">
        <f aca="false">IF(LEFT(A73,1)&gt;="6",0,SUMIFS('BALANCE 2028'!$H:$H,'BALANCE 2028'!$A:$A,A73))</f>
        <v>0</v>
      </c>
      <c r="E73" s="15" t="n">
        <f aca="false">IF(LEFT(A73,1)&gt;="6",0,SUMIFS('BALANCE 2028'!$I:$I,'BALANCE 2028'!$A:$A,A73))</f>
        <v>0</v>
      </c>
      <c r="F73" s="21" t="n">
        <f aca="false">MAX(0,(H73-I73)-(D73-E73))</f>
        <v>41618</v>
      </c>
      <c r="G73" s="21" t="n">
        <f aca="false">MAX(0,(D73-E73)-(H73-I73))</f>
        <v>0</v>
      </c>
      <c r="H73" s="15" t="n">
        <f aca="false">ROUND(IF(LEFT(A73,1)&gt;="6",IF(C73="RE",IF(HYPOTHESES!$C$51=0,0,HYPOTHESES!H$51*SUMIFS('BALANCE 2024'!$H:$H,'BALANCE 2024'!$A:$A,A73)/HYPOTHESES!$C$51),IF(C73="RG",IF(HYPOTHESES!$C$52=0,0,HYPOTHESES!H$52*SUMIFS('BALANCE 2024'!$H:$H,'BALANCE 2024'!$A:$A,A73)/HYPOTHESES!$C$52),IF(C73="RH",IF(HYPOTHESES!$C$53=0,0,HYPOTHESES!H$53*SUMIFS('BALANCE 2024'!$H:$H,'BALANCE 2024'!$A:$A,A73)/HYPOTHESES!$C$53),IF(C73="RI",IF(HYPOTHESES!$C$54=0,0,HYPOTHESES!H$54*SUMIFS('BALANCE 2024'!$H:$H,'BALANCE 2024'!$A:$A,A73)/HYPOTHESES!$C$54),IF(C73="RJ",IF(HYPOTHESES!$C$55=0,0,HYPOTHESES!H$55*SUMIFS('BALANCE 2024'!$H:$H,'BALANCE 2024'!$A:$A,A73)/HYPOTHESES!$C$55),IF(C73="RK",IF(HYPOTHESES!$C$56=0,0,HYPOTHESES!H$56*SUMIFS('BALANCE 2024'!$H:$H,'BALANCE 2024'!$A:$A,A73)/HYPOTHESES!$C$56),0)))))),MAX(0,D73-E73)),0)</f>
        <v>41618</v>
      </c>
      <c r="I73" s="21" t="n">
        <v>0</v>
      </c>
      <c r="J73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3" s="43" t="n">
        <f aca="false">T_BAL_2029[[#This Row],[Clôture Débit]]-T_BAL_2029[[#This Row],[Clôture Crédit]]</f>
        <v>41618</v>
      </c>
    </row>
    <row r="74" customFormat="false" ht="15" hidden="false" customHeight="false" outlineLevel="0" collapsed="false">
      <c r="A74" s="42" t="n">
        <v>627700</v>
      </c>
      <c r="B74" s="12" t="s">
        <v>369</v>
      </c>
      <c r="C74" s="13" t="s">
        <v>365</v>
      </c>
      <c r="D74" s="15" t="n">
        <f aca="false">IF(LEFT(A74,1)&gt;="6",0,SUMIFS('BALANCE 2028'!$H:$H,'BALANCE 2028'!$A:$A,A74))</f>
        <v>0</v>
      </c>
      <c r="E74" s="15" t="n">
        <f aca="false">IF(LEFT(A74,1)&gt;="6",0,SUMIFS('BALANCE 2028'!$I:$I,'BALANCE 2028'!$A:$A,A74))</f>
        <v>0</v>
      </c>
      <c r="F74" s="21" t="n">
        <f aca="false">MAX(0,(H74-I74)-(D74-E74))</f>
        <v>76083</v>
      </c>
      <c r="G74" s="21" t="n">
        <f aca="false">MAX(0,(D74-E74)-(H74-I74))</f>
        <v>0</v>
      </c>
      <c r="H74" s="15" t="n">
        <f aca="false">ROUND(IF(LEFT(A74,1)&gt;="6",IF(C74="RE",IF(HYPOTHESES!$C$51=0,0,HYPOTHESES!H$51*SUMIFS('BALANCE 2024'!$H:$H,'BALANCE 2024'!$A:$A,A74)/HYPOTHESES!$C$51),IF(C74="RG",IF(HYPOTHESES!$C$52=0,0,HYPOTHESES!H$52*SUMIFS('BALANCE 2024'!$H:$H,'BALANCE 2024'!$A:$A,A74)/HYPOTHESES!$C$52),IF(C74="RH",IF(HYPOTHESES!$C$53=0,0,HYPOTHESES!H$53*SUMIFS('BALANCE 2024'!$H:$H,'BALANCE 2024'!$A:$A,A74)/HYPOTHESES!$C$53),IF(C74="RI",IF(HYPOTHESES!$C$54=0,0,HYPOTHESES!H$54*SUMIFS('BALANCE 2024'!$H:$H,'BALANCE 2024'!$A:$A,A74)/HYPOTHESES!$C$54),IF(C74="RJ",IF(HYPOTHESES!$C$55=0,0,HYPOTHESES!H$55*SUMIFS('BALANCE 2024'!$H:$H,'BALANCE 2024'!$A:$A,A74)/HYPOTHESES!$C$55),IF(C74="RK",IF(HYPOTHESES!$C$56=0,0,HYPOTHESES!H$56*SUMIFS('BALANCE 2024'!$H:$H,'BALANCE 2024'!$A:$A,A74)/HYPOTHESES!$C$56),0)))))),MAX(0,D74-E74)),0)</f>
        <v>76083</v>
      </c>
      <c r="I74" s="21" t="n">
        <v>0</v>
      </c>
      <c r="J74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4" s="43" t="n">
        <f aca="false">T_BAL_2029[[#This Row],[Clôture Débit]]-T_BAL_2029[[#This Row],[Clôture Crédit]]</f>
        <v>76083</v>
      </c>
    </row>
    <row r="75" customFormat="false" ht="15" hidden="false" customHeight="false" outlineLevel="0" collapsed="false">
      <c r="A75" s="42" t="n">
        <v>628800</v>
      </c>
      <c r="B75" s="12" t="s">
        <v>370</v>
      </c>
      <c r="C75" s="13" t="s">
        <v>365</v>
      </c>
      <c r="D75" s="15" t="n">
        <f aca="false">IF(LEFT(A75,1)&gt;="6",0,SUMIFS('BALANCE 2028'!$H:$H,'BALANCE 2028'!$A:$A,A75))</f>
        <v>0</v>
      </c>
      <c r="E75" s="15" t="n">
        <f aca="false">IF(LEFT(A75,1)&gt;="6",0,SUMIFS('BALANCE 2028'!$I:$I,'BALANCE 2028'!$A:$A,A75))</f>
        <v>0</v>
      </c>
      <c r="F75" s="21" t="n">
        <f aca="false">MAX(0,(H75-I75)-(D75-E75))</f>
        <v>1032701</v>
      </c>
      <c r="G75" s="21" t="n">
        <f aca="false">MAX(0,(D75-E75)-(H75-I75))</f>
        <v>0</v>
      </c>
      <c r="H75" s="15" t="n">
        <f aca="false">ROUND(IF(LEFT(A75,1)&gt;="6",IF(C75="RE",IF(HYPOTHESES!$C$51=0,0,HYPOTHESES!H$51*SUMIFS('BALANCE 2024'!$H:$H,'BALANCE 2024'!$A:$A,A75)/HYPOTHESES!$C$51),IF(C75="RG",IF(HYPOTHESES!$C$52=0,0,HYPOTHESES!H$52*SUMIFS('BALANCE 2024'!$H:$H,'BALANCE 2024'!$A:$A,A75)/HYPOTHESES!$C$52),IF(C75="RH",IF(HYPOTHESES!$C$53=0,0,HYPOTHESES!H$53*SUMIFS('BALANCE 2024'!$H:$H,'BALANCE 2024'!$A:$A,A75)/HYPOTHESES!$C$53),IF(C75="RI",IF(HYPOTHESES!$C$54=0,0,HYPOTHESES!H$54*SUMIFS('BALANCE 2024'!$H:$H,'BALANCE 2024'!$A:$A,A75)/HYPOTHESES!$C$54),IF(C75="RJ",IF(HYPOTHESES!$C$55=0,0,HYPOTHESES!H$55*SUMIFS('BALANCE 2024'!$H:$H,'BALANCE 2024'!$A:$A,A75)/HYPOTHESES!$C$55),IF(C75="RK",IF(HYPOTHESES!$C$56=0,0,HYPOTHESES!H$56*SUMIFS('BALANCE 2024'!$H:$H,'BALANCE 2024'!$A:$A,A75)/HYPOTHESES!$C$56),0)))))),MAX(0,D75-E75)),0)</f>
        <v>1032701</v>
      </c>
      <c r="I75" s="21" t="n">
        <v>0</v>
      </c>
      <c r="J75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5" s="43" t="n">
        <f aca="false">T_BAL_2029[[#This Row],[Clôture Débit]]-T_BAL_2029[[#This Row],[Clôture Crédit]]</f>
        <v>1032701</v>
      </c>
    </row>
    <row r="76" customFormat="false" ht="15" hidden="false" customHeight="false" outlineLevel="0" collapsed="false">
      <c r="A76" s="42" t="n">
        <v>631800</v>
      </c>
      <c r="B76" s="12" t="s">
        <v>371</v>
      </c>
      <c r="C76" s="13" t="s">
        <v>365</v>
      </c>
      <c r="D76" s="15" t="n">
        <f aca="false">IF(LEFT(A76,1)&gt;="6",0,SUMIFS('BALANCE 2028'!$H:$H,'BALANCE 2028'!$A:$A,A76))</f>
        <v>0</v>
      </c>
      <c r="E76" s="15" t="n">
        <f aca="false">IF(LEFT(A76,1)&gt;="6",0,SUMIFS('BALANCE 2028'!$I:$I,'BALANCE 2028'!$A:$A,A76))</f>
        <v>0</v>
      </c>
      <c r="F76" s="21" t="n">
        <f aca="false">MAX(0,(H76-I76)-(D76-E76))</f>
        <v>29379832</v>
      </c>
      <c r="G76" s="21" t="n">
        <f aca="false">MAX(0,(D76-E76)-(H76-I76))</f>
        <v>0</v>
      </c>
      <c r="H76" s="15" t="n">
        <f aca="false">ROUND(IF(LEFT(A76,1)&gt;="6",IF(C76="RE",IF(HYPOTHESES!$C$51=0,0,HYPOTHESES!H$51*SUMIFS('BALANCE 2024'!$H:$H,'BALANCE 2024'!$A:$A,A76)/HYPOTHESES!$C$51),IF(C76="RG",IF(HYPOTHESES!$C$52=0,0,HYPOTHESES!H$52*SUMIFS('BALANCE 2024'!$H:$H,'BALANCE 2024'!$A:$A,A76)/HYPOTHESES!$C$52),IF(C76="RH",IF(HYPOTHESES!$C$53=0,0,HYPOTHESES!H$53*SUMIFS('BALANCE 2024'!$H:$H,'BALANCE 2024'!$A:$A,A76)/HYPOTHESES!$C$53),IF(C76="RI",IF(HYPOTHESES!$C$54=0,0,HYPOTHESES!H$54*SUMIFS('BALANCE 2024'!$H:$H,'BALANCE 2024'!$A:$A,A76)/HYPOTHESES!$C$54),IF(C76="RJ",IF(HYPOTHESES!$C$55=0,0,HYPOTHESES!H$55*SUMIFS('BALANCE 2024'!$H:$H,'BALANCE 2024'!$A:$A,A76)/HYPOTHESES!$C$55),IF(C76="RK",IF(HYPOTHESES!$C$56=0,0,HYPOTHESES!H$56*SUMIFS('BALANCE 2024'!$H:$H,'BALANCE 2024'!$A:$A,A76)/HYPOTHESES!$C$56),0)))))),MAX(0,D76-E76)),0)</f>
        <v>29379832</v>
      </c>
      <c r="I76" s="21" t="n">
        <v>0</v>
      </c>
      <c r="J76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6" s="43" t="n">
        <f aca="false">T_BAL_2029[[#This Row],[Clôture Débit]]-T_BAL_2029[[#This Row],[Clôture Crédit]]</f>
        <v>29379832</v>
      </c>
    </row>
    <row r="77" customFormat="false" ht="15" hidden="false" customHeight="false" outlineLevel="0" collapsed="false">
      <c r="A77" s="42" t="n">
        <v>632800</v>
      </c>
      <c r="B77" s="12" t="s">
        <v>372</v>
      </c>
      <c r="C77" s="13" t="s">
        <v>365</v>
      </c>
      <c r="D77" s="15" t="n">
        <f aca="false">IF(LEFT(A77,1)&gt;="6",0,SUMIFS('BALANCE 2028'!$H:$H,'BALANCE 2028'!$A:$A,A77))</f>
        <v>0</v>
      </c>
      <c r="E77" s="15" t="n">
        <f aca="false">IF(LEFT(A77,1)&gt;="6",0,SUMIFS('BALANCE 2028'!$I:$I,'BALANCE 2028'!$A:$A,A77))</f>
        <v>0</v>
      </c>
      <c r="F77" s="21" t="n">
        <f aca="false">MAX(0,(H77-I77)-(D77-E77))</f>
        <v>6181607</v>
      </c>
      <c r="G77" s="21" t="n">
        <f aca="false">MAX(0,(D77-E77)-(H77-I77))</f>
        <v>0</v>
      </c>
      <c r="H77" s="15" t="n">
        <f aca="false">ROUND(IF(LEFT(A77,1)&gt;="6",IF(C77="RE",IF(HYPOTHESES!$C$51=0,0,HYPOTHESES!H$51*SUMIFS('BALANCE 2024'!$H:$H,'BALANCE 2024'!$A:$A,A77)/HYPOTHESES!$C$51),IF(C77="RG",IF(HYPOTHESES!$C$52=0,0,HYPOTHESES!H$52*SUMIFS('BALANCE 2024'!$H:$H,'BALANCE 2024'!$A:$A,A77)/HYPOTHESES!$C$52),IF(C77="RH",IF(HYPOTHESES!$C$53=0,0,HYPOTHESES!H$53*SUMIFS('BALANCE 2024'!$H:$H,'BALANCE 2024'!$A:$A,A77)/HYPOTHESES!$C$53),IF(C77="RI",IF(HYPOTHESES!$C$54=0,0,HYPOTHESES!H$54*SUMIFS('BALANCE 2024'!$H:$H,'BALANCE 2024'!$A:$A,A77)/HYPOTHESES!$C$54),IF(C77="RJ",IF(HYPOTHESES!$C$55=0,0,HYPOTHESES!H$55*SUMIFS('BALANCE 2024'!$H:$H,'BALANCE 2024'!$A:$A,A77)/HYPOTHESES!$C$55),IF(C77="RK",IF(HYPOTHESES!$C$56=0,0,HYPOTHESES!H$56*SUMIFS('BALANCE 2024'!$H:$H,'BALANCE 2024'!$A:$A,A77)/HYPOTHESES!$C$56),0)))))),MAX(0,D77-E77)),0)</f>
        <v>6181607</v>
      </c>
      <c r="I77" s="21" t="n">
        <v>0</v>
      </c>
      <c r="J77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7" s="43" t="n">
        <f aca="false">T_BAL_2029[[#This Row],[Clôture Débit]]-T_BAL_2029[[#This Row],[Clôture Crédit]]</f>
        <v>6181607</v>
      </c>
    </row>
    <row r="78" customFormat="false" ht="15" hidden="false" customHeight="false" outlineLevel="0" collapsed="false">
      <c r="A78" s="42" t="n">
        <v>638800</v>
      </c>
      <c r="B78" s="12" t="s">
        <v>373</v>
      </c>
      <c r="C78" s="13" t="s">
        <v>365</v>
      </c>
      <c r="D78" s="15" t="n">
        <f aca="false">IF(LEFT(A78,1)&gt;="6",0,SUMIFS('BALANCE 2028'!$H:$H,'BALANCE 2028'!$A:$A,A78))</f>
        <v>0</v>
      </c>
      <c r="E78" s="15" t="n">
        <f aca="false">IF(LEFT(A78,1)&gt;="6",0,SUMIFS('BALANCE 2028'!$I:$I,'BALANCE 2028'!$A:$A,A78))</f>
        <v>0</v>
      </c>
      <c r="F78" s="21" t="n">
        <f aca="false">MAX(0,(H78-I78)-(D78-E78))</f>
        <v>30059956</v>
      </c>
      <c r="G78" s="21" t="n">
        <f aca="false">MAX(0,(D78-E78)-(H78-I78))</f>
        <v>0</v>
      </c>
      <c r="H78" s="15" t="n">
        <f aca="false">ROUND(IF(LEFT(A78,1)&gt;="6",IF(C78="RE",IF(HYPOTHESES!$C$51=0,0,HYPOTHESES!H$51*SUMIFS('BALANCE 2024'!$H:$H,'BALANCE 2024'!$A:$A,A78)/HYPOTHESES!$C$51),IF(C78="RG",IF(HYPOTHESES!$C$52=0,0,HYPOTHESES!H$52*SUMIFS('BALANCE 2024'!$H:$H,'BALANCE 2024'!$A:$A,A78)/HYPOTHESES!$C$52),IF(C78="RH",IF(HYPOTHESES!$C$53=0,0,HYPOTHESES!H$53*SUMIFS('BALANCE 2024'!$H:$H,'BALANCE 2024'!$A:$A,A78)/HYPOTHESES!$C$53),IF(C78="RI",IF(HYPOTHESES!$C$54=0,0,HYPOTHESES!H$54*SUMIFS('BALANCE 2024'!$H:$H,'BALANCE 2024'!$A:$A,A78)/HYPOTHESES!$C$54),IF(C78="RJ",IF(HYPOTHESES!$C$55=0,0,HYPOTHESES!H$55*SUMIFS('BALANCE 2024'!$H:$H,'BALANCE 2024'!$A:$A,A78)/HYPOTHESES!$C$55),IF(C78="RK",IF(HYPOTHESES!$C$56=0,0,HYPOTHESES!H$56*SUMIFS('BALANCE 2024'!$H:$H,'BALANCE 2024'!$A:$A,A78)/HYPOTHESES!$C$56),0)))))),MAX(0,D78-E78)),0)</f>
        <v>30059956</v>
      </c>
      <c r="I78" s="21" t="n">
        <v>0</v>
      </c>
      <c r="J78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8" s="43" t="n">
        <f aca="false">T_BAL_2029[[#This Row],[Clôture Débit]]-T_BAL_2029[[#This Row],[Clôture Crédit]]</f>
        <v>30059956</v>
      </c>
    </row>
    <row r="79" customFormat="false" ht="15" hidden="false" customHeight="false" outlineLevel="0" collapsed="false">
      <c r="A79" s="42" t="n">
        <v>641100</v>
      </c>
      <c r="B79" s="12" t="s">
        <v>374</v>
      </c>
      <c r="C79" s="13" t="s">
        <v>375</v>
      </c>
      <c r="D79" s="15" t="n">
        <f aca="false">IF(LEFT(A79,1)&gt;="6",0,SUMIFS('BALANCE 2028'!$H:$H,'BALANCE 2028'!$A:$A,A79))</f>
        <v>0</v>
      </c>
      <c r="E79" s="15" t="n">
        <f aca="false">IF(LEFT(A79,1)&gt;="6",0,SUMIFS('BALANCE 2028'!$I:$I,'BALANCE 2028'!$A:$A,A79))</f>
        <v>0</v>
      </c>
      <c r="F79" s="21" t="n">
        <f aca="false">MAX(0,(H79-I79)-(D79-E79))</f>
        <v>467964</v>
      </c>
      <c r="G79" s="21" t="n">
        <f aca="false">MAX(0,(D79-E79)-(H79-I79))</f>
        <v>0</v>
      </c>
      <c r="H79" s="15" t="n">
        <f aca="false">ROUND(IF(LEFT(A79,1)&gt;="6",IF(C79="RE",IF(HYPOTHESES!$C$51=0,0,HYPOTHESES!H$51*SUMIFS('BALANCE 2024'!$H:$H,'BALANCE 2024'!$A:$A,A79)/HYPOTHESES!$C$51),IF(C79="RG",IF(HYPOTHESES!$C$52=0,0,HYPOTHESES!H$52*SUMIFS('BALANCE 2024'!$H:$H,'BALANCE 2024'!$A:$A,A79)/HYPOTHESES!$C$52),IF(C79="RH",IF(HYPOTHESES!$C$53=0,0,HYPOTHESES!H$53*SUMIFS('BALANCE 2024'!$H:$H,'BALANCE 2024'!$A:$A,A79)/HYPOTHESES!$C$53),IF(C79="RI",IF(HYPOTHESES!$C$54=0,0,HYPOTHESES!H$54*SUMIFS('BALANCE 2024'!$H:$H,'BALANCE 2024'!$A:$A,A79)/HYPOTHESES!$C$54),IF(C79="RJ",IF(HYPOTHESES!$C$55=0,0,HYPOTHESES!H$55*SUMIFS('BALANCE 2024'!$H:$H,'BALANCE 2024'!$A:$A,A79)/HYPOTHESES!$C$55),IF(C79="RK",IF(HYPOTHESES!$C$56=0,0,HYPOTHESES!H$56*SUMIFS('BALANCE 2024'!$H:$H,'BALANCE 2024'!$A:$A,A79)/HYPOTHESES!$C$56),0)))))),MAX(0,D79-E79)),0)</f>
        <v>467964</v>
      </c>
      <c r="I79" s="21" t="n">
        <v>0</v>
      </c>
      <c r="J79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9" s="43" t="n">
        <f aca="false">T_BAL_2029[[#This Row],[Clôture Débit]]-T_BAL_2029[[#This Row],[Clôture Crédit]]</f>
        <v>467964</v>
      </c>
    </row>
    <row r="80" customFormat="false" ht="15" hidden="false" customHeight="false" outlineLevel="0" collapsed="false">
      <c r="A80" s="42" t="n">
        <v>641201</v>
      </c>
      <c r="B80" s="12" t="s">
        <v>376</v>
      </c>
      <c r="C80" s="13" t="s">
        <v>375</v>
      </c>
      <c r="D80" s="15" t="n">
        <f aca="false">IF(LEFT(A80,1)&gt;="6",0,SUMIFS('BALANCE 2028'!$H:$H,'BALANCE 2028'!$A:$A,A80))</f>
        <v>0</v>
      </c>
      <c r="E80" s="15" t="n">
        <f aca="false">IF(LEFT(A80,1)&gt;="6",0,SUMIFS('BALANCE 2028'!$I:$I,'BALANCE 2028'!$A:$A,A80))</f>
        <v>0</v>
      </c>
      <c r="F80" s="21" t="n">
        <f aca="false">MAX(0,(H80-I80)-(D80-E80))</f>
        <v>11770772</v>
      </c>
      <c r="G80" s="21" t="n">
        <f aca="false">MAX(0,(D80-E80)-(H80-I80))</f>
        <v>0</v>
      </c>
      <c r="H80" s="15" t="n">
        <f aca="false">ROUND(IF(HYPOTHESES!$C$54=0,0,HYPOTHESES!H$54-SUMPRODUCT((T_BAL_2029[Poste]="RI")*(T_BAL_2029[Compte]&lt;&gt;641201)*ROUND(HYPOTHESES!H$54*SUMIFS('BALANCE 2024'!$H:$H,'BALANCE 2024'!$A:$A,T_BAL_2029[Compte])/HYPOTHESES!$C$54,0))),0)</f>
        <v>11770772</v>
      </c>
      <c r="I80" s="21" t="n">
        <v>0</v>
      </c>
      <c r="J80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0" s="43" t="n">
        <f aca="false">T_BAL_2029[[#This Row],[Clôture Débit]]-T_BAL_2029[[#This Row],[Clôture Crédit]]</f>
        <v>11770772</v>
      </c>
    </row>
    <row r="81" customFormat="false" ht="15" hidden="false" customHeight="false" outlineLevel="0" collapsed="false">
      <c r="A81" s="42" t="n">
        <v>641202</v>
      </c>
      <c r="B81" s="12" t="s">
        <v>377</v>
      </c>
      <c r="C81" s="13" t="s">
        <v>375</v>
      </c>
      <c r="D81" s="15" t="n">
        <f aca="false">IF(LEFT(A81,1)&gt;="6",0,SUMIFS('BALANCE 2028'!$H:$H,'BALANCE 2028'!$A:$A,A81))</f>
        <v>0</v>
      </c>
      <c r="E81" s="15" t="n">
        <f aca="false">IF(LEFT(A81,1)&gt;="6",0,SUMIFS('BALANCE 2028'!$I:$I,'BALANCE 2028'!$A:$A,A81))</f>
        <v>0</v>
      </c>
      <c r="F81" s="21" t="n">
        <f aca="false">MAX(0,(H81-I81)-(D81-E81))</f>
        <v>2013149</v>
      </c>
      <c r="G81" s="21" t="n">
        <f aca="false">MAX(0,(D81-E81)-(H81-I81))</f>
        <v>0</v>
      </c>
      <c r="H81" s="15" t="n">
        <f aca="false">ROUND(IF(LEFT(A81,1)&gt;="6",IF(C81="RE",IF(HYPOTHESES!$C$51=0,0,HYPOTHESES!H$51*SUMIFS('BALANCE 2024'!$H:$H,'BALANCE 2024'!$A:$A,A81)/HYPOTHESES!$C$51),IF(C81="RG",IF(HYPOTHESES!$C$52=0,0,HYPOTHESES!H$52*SUMIFS('BALANCE 2024'!$H:$H,'BALANCE 2024'!$A:$A,A81)/HYPOTHESES!$C$52),IF(C81="RH",IF(HYPOTHESES!$C$53=0,0,HYPOTHESES!H$53*SUMIFS('BALANCE 2024'!$H:$H,'BALANCE 2024'!$A:$A,A81)/HYPOTHESES!$C$53),IF(C81="RI",IF(HYPOTHESES!$C$54=0,0,HYPOTHESES!H$54*SUMIFS('BALANCE 2024'!$H:$H,'BALANCE 2024'!$A:$A,A81)/HYPOTHESES!$C$54),IF(C81="RJ",IF(HYPOTHESES!$C$55=0,0,HYPOTHESES!H$55*SUMIFS('BALANCE 2024'!$H:$H,'BALANCE 2024'!$A:$A,A81)/HYPOTHESES!$C$55),IF(C81="RK",IF(HYPOTHESES!$C$56=0,0,HYPOTHESES!H$56*SUMIFS('BALANCE 2024'!$H:$H,'BALANCE 2024'!$A:$A,A81)/HYPOTHESES!$C$56),0)))))),MAX(0,D81-E81)),0)</f>
        <v>2013149</v>
      </c>
      <c r="I81" s="21" t="n">
        <v>0</v>
      </c>
      <c r="J81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1" s="43" t="n">
        <f aca="false">T_BAL_2029[[#This Row],[Clôture Débit]]-T_BAL_2029[[#This Row],[Clôture Crédit]]</f>
        <v>2013149</v>
      </c>
    </row>
    <row r="82" customFormat="false" ht="15" hidden="false" customHeight="false" outlineLevel="0" collapsed="false">
      <c r="A82" s="42" t="n">
        <v>641300</v>
      </c>
      <c r="B82" s="12" t="s">
        <v>378</v>
      </c>
      <c r="C82" s="13" t="s">
        <v>375</v>
      </c>
      <c r="D82" s="15" t="n">
        <f aca="false">IF(LEFT(A82,1)&gt;="6",0,SUMIFS('BALANCE 2028'!$H:$H,'BALANCE 2028'!$A:$A,A82))</f>
        <v>0</v>
      </c>
      <c r="E82" s="15" t="n">
        <f aca="false">IF(LEFT(A82,1)&gt;="6",0,SUMIFS('BALANCE 2028'!$I:$I,'BALANCE 2028'!$A:$A,A82))</f>
        <v>0</v>
      </c>
      <c r="F82" s="21" t="n">
        <f aca="false">MAX(0,(H82-I82)-(D82-E82))</f>
        <v>1074465</v>
      </c>
      <c r="G82" s="21" t="n">
        <f aca="false">MAX(0,(D82-E82)-(H82-I82))</f>
        <v>0</v>
      </c>
      <c r="H82" s="15" t="n">
        <f aca="false">ROUND(IF(LEFT(A82,1)&gt;="6",IF(C82="RE",IF(HYPOTHESES!$C$51=0,0,HYPOTHESES!H$51*SUMIFS('BALANCE 2024'!$H:$H,'BALANCE 2024'!$A:$A,A82)/HYPOTHESES!$C$51),IF(C82="RG",IF(HYPOTHESES!$C$52=0,0,HYPOTHESES!H$52*SUMIFS('BALANCE 2024'!$H:$H,'BALANCE 2024'!$A:$A,A82)/HYPOTHESES!$C$52),IF(C82="RH",IF(HYPOTHESES!$C$53=0,0,HYPOTHESES!H$53*SUMIFS('BALANCE 2024'!$H:$H,'BALANCE 2024'!$A:$A,A82)/HYPOTHESES!$C$53),IF(C82="RI",IF(HYPOTHESES!$C$54=0,0,HYPOTHESES!H$54*SUMIFS('BALANCE 2024'!$H:$H,'BALANCE 2024'!$A:$A,A82)/HYPOTHESES!$C$54),IF(C82="RJ",IF(HYPOTHESES!$C$55=0,0,HYPOTHESES!H$55*SUMIFS('BALANCE 2024'!$H:$H,'BALANCE 2024'!$A:$A,A82)/HYPOTHESES!$C$55),IF(C82="RK",IF(HYPOTHESES!$C$56=0,0,HYPOTHESES!H$56*SUMIFS('BALANCE 2024'!$H:$H,'BALANCE 2024'!$A:$A,A82)/HYPOTHESES!$C$56),0)))))),MAX(0,D82-E82)),0)</f>
        <v>1074465</v>
      </c>
      <c r="I82" s="21" t="n">
        <v>0</v>
      </c>
      <c r="J82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2" s="43" t="n">
        <f aca="false">T_BAL_2029[[#This Row],[Clôture Débit]]-T_BAL_2029[[#This Row],[Clôture Crédit]]</f>
        <v>1074465</v>
      </c>
    </row>
    <row r="83" customFormat="false" ht="15" hidden="false" customHeight="false" outlineLevel="0" collapsed="false">
      <c r="A83" s="42" t="n">
        <v>641400</v>
      </c>
      <c r="B83" s="12" t="s">
        <v>379</v>
      </c>
      <c r="C83" s="13" t="s">
        <v>375</v>
      </c>
      <c r="D83" s="15" t="n">
        <f aca="false">IF(LEFT(A83,1)&gt;="6",0,SUMIFS('BALANCE 2028'!$H:$H,'BALANCE 2028'!$A:$A,A83))</f>
        <v>0</v>
      </c>
      <c r="E83" s="15" t="n">
        <f aca="false">IF(LEFT(A83,1)&gt;="6",0,SUMIFS('BALANCE 2028'!$I:$I,'BALANCE 2028'!$A:$A,A83))</f>
        <v>0</v>
      </c>
      <c r="F83" s="21" t="n">
        <f aca="false">MAX(0,(H83-I83)-(D83-E83))</f>
        <v>135275</v>
      </c>
      <c r="G83" s="21" t="n">
        <f aca="false">MAX(0,(D83-E83)-(H83-I83))</f>
        <v>0</v>
      </c>
      <c r="H83" s="15" t="n">
        <f aca="false">ROUND(IF(LEFT(A83,1)&gt;="6",IF(C83="RE",IF(HYPOTHESES!$C$51=0,0,HYPOTHESES!H$51*SUMIFS('BALANCE 2024'!$H:$H,'BALANCE 2024'!$A:$A,A83)/HYPOTHESES!$C$51),IF(C83="RG",IF(HYPOTHESES!$C$52=0,0,HYPOTHESES!H$52*SUMIFS('BALANCE 2024'!$H:$H,'BALANCE 2024'!$A:$A,A83)/HYPOTHESES!$C$52),IF(C83="RH",IF(HYPOTHESES!$C$53=0,0,HYPOTHESES!H$53*SUMIFS('BALANCE 2024'!$H:$H,'BALANCE 2024'!$A:$A,A83)/HYPOTHESES!$C$53),IF(C83="RI",IF(HYPOTHESES!$C$54=0,0,HYPOTHESES!H$54*SUMIFS('BALANCE 2024'!$H:$H,'BALANCE 2024'!$A:$A,A83)/HYPOTHESES!$C$54),IF(C83="RJ",IF(HYPOTHESES!$C$55=0,0,HYPOTHESES!H$55*SUMIFS('BALANCE 2024'!$H:$H,'BALANCE 2024'!$A:$A,A83)/HYPOTHESES!$C$55),IF(C83="RK",IF(HYPOTHESES!$C$56=0,0,HYPOTHESES!H$56*SUMIFS('BALANCE 2024'!$H:$H,'BALANCE 2024'!$A:$A,A83)/HYPOTHESES!$C$56),0)))))),MAX(0,D83-E83)),0)</f>
        <v>135275</v>
      </c>
      <c r="I83" s="21" t="n">
        <v>0</v>
      </c>
      <c r="J83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3" s="43" t="n">
        <f aca="false">T_BAL_2029[[#This Row],[Clôture Débit]]-T_BAL_2029[[#This Row],[Clôture Crédit]]</f>
        <v>135275</v>
      </c>
    </row>
    <row r="84" customFormat="false" ht="15" hidden="false" customHeight="false" outlineLevel="0" collapsed="false">
      <c r="A84" s="42" t="n">
        <v>641500</v>
      </c>
      <c r="B84" s="12" t="s">
        <v>380</v>
      </c>
      <c r="C84" s="13" t="s">
        <v>375</v>
      </c>
      <c r="D84" s="15" t="n">
        <f aca="false">IF(LEFT(A84,1)&gt;="6",0,SUMIFS('BALANCE 2028'!$H:$H,'BALANCE 2028'!$A:$A,A84))</f>
        <v>0</v>
      </c>
      <c r="E84" s="15" t="n">
        <f aca="false">IF(LEFT(A84,1)&gt;="6",0,SUMIFS('BALANCE 2028'!$I:$I,'BALANCE 2028'!$A:$A,A84))</f>
        <v>0</v>
      </c>
      <c r="F84" s="21" t="n">
        <f aca="false">MAX(0,(H84-I84)-(D84-E84))</f>
        <v>405843</v>
      </c>
      <c r="G84" s="21" t="n">
        <f aca="false">MAX(0,(D84-E84)-(H84-I84))</f>
        <v>0</v>
      </c>
      <c r="H84" s="15" t="n">
        <f aca="false">ROUND(IF(LEFT(A84,1)&gt;="6",IF(C84="RE",IF(HYPOTHESES!$C$51=0,0,HYPOTHESES!H$51*SUMIFS('BALANCE 2024'!$H:$H,'BALANCE 2024'!$A:$A,A84)/HYPOTHESES!$C$51),IF(C84="RG",IF(HYPOTHESES!$C$52=0,0,HYPOTHESES!H$52*SUMIFS('BALANCE 2024'!$H:$H,'BALANCE 2024'!$A:$A,A84)/HYPOTHESES!$C$52),IF(C84="RH",IF(HYPOTHESES!$C$53=0,0,HYPOTHESES!H$53*SUMIFS('BALANCE 2024'!$H:$H,'BALANCE 2024'!$A:$A,A84)/HYPOTHESES!$C$53),IF(C84="RI",IF(HYPOTHESES!$C$54=0,0,HYPOTHESES!H$54*SUMIFS('BALANCE 2024'!$H:$H,'BALANCE 2024'!$A:$A,A84)/HYPOTHESES!$C$54),IF(C84="RJ",IF(HYPOTHESES!$C$55=0,0,HYPOTHESES!H$55*SUMIFS('BALANCE 2024'!$H:$H,'BALANCE 2024'!$A:$A,A84)/HYPOTHESES!$C$55),IF(C84="RK",IF(HYPOTHESES!$C$56=0,0,HYPOTHESES!H$56*SUMIFS('BALANCE 2024'!$H:$H,'BALANCE 2024'!$A:$A,A84)/HYPOTHESES!$C$56),0)))))),MAX(0,D84-E84)),0)</f>
        <v>405843</v>
      </c>
      <c r="I84" s="21" t="n">
        <v>0</v>
      </c>
      <c r="J84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4" s="43" t="n">
        <f aca="false">T_BAL_2029[[#This Row],[Clôture Débit]]-T_BAL_2029[[#This Row],[Clôture Crédit]]</f>
        <v>405843</v>
      </c>
    </row>
    <row r="85" customFormat="false" ht="15" hidden="false" customHeight="false" outlineLevel="0" collapsed="false">
      <c r="A85" s="42" t="n">
        <v>641830</v>
      </c>
      <c r="B85" s="12" t="s">
        <v>381</v>
      </c>
      <c r="C85" s="13" t="s">
        <v>375</v>
      </c>
      <c r="D85" s="15" t="n">
        <f aca="false">IF(LEFT(A85,1)&gt;="6",0,SUMIFS('BALANCE 2028'!$H:$H,'BALANCE 2028'!$A:$A,A85))</f>
        <v>0</v>
      </c>
      <c r="E85" s="15" t="n">
        <f aca="false">IF(LEFT(A85,1)&gt;="6",0,SUMIFS('BALANCE 2028'!$I:$I,'BALANCE 2028'!$A:$A,A85))</f>
        <v>0</v>
      </c>
      <c r="F85" s="21" t="n">
        <f aca="false">MAX(0,(H85-I85)-(D85-E85))</f>
        <v>275169</v>
      </c>
      <c r="G85" s="21" t="n">
        <f aca="false">MAX(0,(D85-E85)-(H85-I85))</f>
        <v>0</v>
      </c>
      <c r="H85" s="15" t="n">
        <f aca="false">ROUND(IF(LEFT(A85,1)&gt;="6",IF(C85="RE",IF(HYPOTHESES!$C$51=0,0,HYPOTHESES!H$51*SUMIFS('BALANCE 2024'!$H:$H,'BALANCE 2024'!$A:$A,A85)/HYPOTHESES!$C$51),IF(C85="RG",IF(HYPOTHESES!$C$52=0,0,HYPOTHESES!H$52*SUMIFS('BALANCE 2024'!$H:$H,'BALANCE 2024'!$A:$A,A85)/HYPOTHESES!$C$52),IF(C85="RH",IF(HYPOTHESES!$C$53=0,0,HYPOTHESES!H$53*SUMIFS('BALANCE 2024'!$H:$H,'BALANCE 2024'!$A:$A,A85)/HYPOTHESES!$C$53),IF(C85="RI",IF(HYPOTHESES!$C$54=0,0,HYPOTHESES!H$54*SUMIFS('BALANCE 2024'!$H:$H,'BALANCE 2024'!$A:$A,A85)/HYPOTHESES!$C$54),IF(C85="RJ",IF(HYPOTHESES!$C$55=0,0,HYPOTHESES!H$55*SUMIFS('BALANCE 2024'!$H:$H,'BALANCE 2024'!$A:$A,A85)/HYPOTHESES!$C$55),IF(C85="RK",IF(HYPOTHESES!$C$56=0,0,HYPOTHESES!H$56*SUMIFS('BALANCE 2024'!$H:$H,'BALANCE 2024'!$A:$A,A85)/HYPOTHESES!$C$56),0)))))),MAX(0,D85-E85)),0)</f>
        <v>275169</v>
      </c>
      <c r="I85" s="21" t="n">
        <v>0</v>
      </c>
      <c r="J85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5" s="43" t="n">
        <f aca="false">T_BAL_2029[[#This Row],[Clôture Débit]]-T_BAL_2029[[#This Row],[Clôture Crédit]]</f>
        <v>275169</v>
      </c>
    </row>
    <row r="86" customFormat="false" ht="15" hidden="false" customHeight="false" outlineLevel="0" collapsed="false">
      <c r="A86" s="42" t="n">
        <v>646200</v>
      </c>
      <c r="B86" s="12" t="s">
        <v>382</v>
      </c>
      <c r="C86" s="13" t="s">
        <v>375</v>
      </c>
      <c r="D86" s="15" t="n">
        <f aca="false">IF(LEFT(A86,1)&gt;="6",0,SUMIFS('BALANCE 2028'!$H:$H,'BALANCE 2028'!$A:$A,A86))</f>
        <v>0</v>
      </c>
      <c r="E86" s="15" t="n">
        <f aca="false">IF(LEFT(A86,1)&gt;="6",0,SUMIFS('BALANCE 2028'!$I:$I,'BALANCE 2028'!$A:$A,A86))</f>
        <v>0</v>
      </c>
      <c r="F86" s="21" t="n">
        <f aca="false">MAX(0,(H86-I86)-(D86-E86))</f>
        <v>2243169</v>
      </c>
      <c r="G86" s="21" t="n">
        <f aca="false">MAX(0,(D86-E86)-(H86-I86))</f>
        <v>0</v>
      </c>
      <c r="H86" s="15" t="n">
        <f aca="false">ROUND(IF(LEFT(A86,1)&gt;="6",IF(C86="RE",IF(HYPOTHESES!$C$51=0,0,HYPOTHESES!H$51*SUMIFS('BALANCE 2024'!$H:$H,'BALANCE 2024'!$A:$A,A86)/HYPOTHESES!$C$51),IF(C86="RG",IF(HYPOTHESES!$C$52=0,0,HYPOTHESES!H$52*SUMIFS('BALANCE 2024'!$H:$H,'BALANCE 2024'!$A:$A,A86)/HYPOTHESES!$C$52),IF(C86="RH",IF(HYPOTHESES!$C$53=0,0,HYPOTHESES!H$53*SUMIFS('BALANCE 2024'!$H:$H,'BALANCE 2024'!$A:$A,A86)/HYPOTHESES!$C$53),IF(C86="RI",IF(HYPOTHESES!$C$54=0,0,HYPOTHESES!H$54*SUMIFS('BALANCE 2024'!$H:$H,'BALANCE 2024'!$A:$A,A86)/HYPOTHESES!$C$54),IF(C86="RJ",IF(HYPOTHESES!$C$55=0,0,HYPOTHESES!H$55*SUMIFS('BALANCE 2024'!$H:$H,'BALANCE 2024'!$A:$A,A86)/HYPOTHESES!$C$55),IF(C86="RK",IF(HYPOTHESES!$C$56=0,0,HYPOTHESES!H$56*SUMIFS('BALANCE 2024'!$H:$H,'BALANCE 2024'!$A:$A,A86)/HYPOTHESES!$C$56),0)))))),MAX(0,D86-E86)),0)</f>
        <v>2243169</v>
      </c>
      <c r="I86" s="21" t="n">
        <v>0</v>
      </c>
      <c r="J86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6" s="43" t="n">
        <f aca="false">T_BAL_2029[[#This Row],[Clôture Débit]]-T_BAL_2029[[#This Row],[Clôture Crédit]]</f>
        <v>2243169</v>
      </c>
    </row>
    <row r="87" customFormat="false" ht="15" hidden="false" customHeight="false" outlineLevel="0" collapsed="false">
      <c r="A87" s="42" t="n">
        <v>648000</v>
      </c>
      <c r="B87" s="12" t="s">
        <v>383</v>
      </c>
      <c r="C87" s="13" t="s">
        <v>375</v>
      </c>
      <c r="D87" s="15" t="n">
        <f aca="false">IF(LEFT(A87,1)&gt;="6",0,SUMIFS('BALANCE 2028'!$H:$H,'BALANCE 2028'!$A:$A,A87))</f>
        <v>0</v>
      </c>
      <c r="E87" s="15" t="n">
        <f aca="false">IF(LEFT(A87,1)&gt;="6",0,SUMIFS('BALANCE 2028'!$I:$I,'BALANCE 2028'!$A:$A,A87))</f>
        <v>0</v>
      </c>
      <c r="F87" s="21" t="n">
        <f aca="false">MAX(0,(H87-I87)-(D87-E87))</f>
        <v>943283</v>
      </c>
      <c r="G87" s="21" t="n">
        <f aca="false">MAX(0,(D87-E87)-(H87-I87))</f>
        <v>0</v>
      </c>
      <c r="H87" s="15" t="n">
        <f aca="false">ROUND(IF(LEFT(A87,1)&gt;="6",IF(C87="RE",IF(HYPOTHESES!$C$51=0,0,HYPOTHESES!H$51*SUMIFS('BALANCE 2024'!$H:$H,'BALANCE 2024'!$A:$A,A87)/HYPOTHESES!$C$51),IF(C87="RG",IF(HYPOTHESES!$C$52=0,0,HYPOTHESES!H$52*SUMIFS('BALANCE 2024'!$H:$H,'BALANCE 2024'!$A:$A,A87)/HYPOTHESES!$C$52),IF(C87="RH",IF(HYPOTHESES!$C$53=0,0,HYPOTHESES!H$53*SUMIFS('BALANCE 2024'!$H:$H,'BALANCE 2024'!$A:$A,A87)/HYPOTHESES!$C$53),IF(C87="RI",IF(HYPOTHESES!$C$54=0,0,HYPOTHESES!H$54*SUMIFS('BALANCE 2024'!$H:$H,'BALANCE 2024'!$A:$A,A87)/HYPOTHESES!$C$54),IF(C87="RJ",IF(HYPOTHESES!$C$55=0,0,HYPOTHESES!H$55*SUMIFS('BALANCE 2024'!$H:$H,'BALANCE 2024'!$A:$A,A87)/HYPOTHESES!$C$55),IF(C87="RK",IF(HYPOTHESES!$C$56=0,0,HYPOTHESES!H$56*SUMIFS('BALANCE 2024'!$H:$H,'BALANCE 2024'!$A:$A,A87)/HYPOTHESES!$C$56),0)))))),MAX(0,D87-E87)),0)</f>
        <v>943283</v>
      </c>
      <c r="I87" s="21" t="n">
        <v>0</v>
      </c>
      <c r="J87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7" s="43" t="n">
        <f aca="false">T_BAL_2029[[#This Row],[Clôture Débit]]-T_BAL_2029[[#This Row],[Clôture Crédit]]</f>
        <v>943283</v>
      </c>
    </row>
    <row r="88" customFormat="false" ht="15" hidden="false" customHeight="false" outlineLevel="0" collapsed="false">
      <c r="A88" s="42" t="n">
        <v>658800</v>
      </c>
      <c r="B88" s="12" t="s">
        <v>384</v>
      </c>
      <c r="C88" s="13" t="s">
        <v>385</v>
      </c>
      <c r="D88" s="15" t="n">
        <f aca="false">IF(LEFT(A88,1)&gt;="6",0,SUMIFS('BALANCE 2028'!$H:$H,'BALANCE 2028'!$A:$A,A88))</f>
        <v>0</v>
      </c>
      <c r="E88" s="15" t="n">
        <f aca="false">IF(LEFT(A88,1)&gt;="6",0,SUMIFS('BALANCE 2028'!$I:$I,'BALANCE 2028'!$A:$A,A88))</f>
        <v>0</v>
      </c>
      <c r="F88" s="21" t="n">
        <f aca="false">MAX(0,(H88-I88)-(D88-E88))</f>
        <v>1732324</v>
      </c>
      <c r="G88" s="21" t="n">
        <f aca="false">MAX(0,(D88-E88)-(H88-I88))</f>
        <v>0</v>
      </c>
      <c r="H88" s="15" t="n">
        <f aca="false">ROUND(IF(HYPOTHESES!$C$55=0,0,HYPOTHESES!H$55-SUMPRODUCT((T_BAL_2029[Poste]="RJ")*(T_BAL_2029[Compte]&lt;&gt;658800)*ROUND(HYPOTHESES!H$55*SUMIFS('BALANCE 2024'!$H:$H,'BALANCE 2024'!$A:$A,T_BAL_2029[Compte])/HYPOTHESES!$C$55,0))),0)</f>
        <v>1732324</v>
      </c>
      <c r="I88" s="21" t="n">
        <v>0</v>
      </c>
      <c r="J88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8" s="43" t="n">
        <f aca="false">T_BAL_2029[[#This Row],[Clôture Débit]]-T_BAL_2029[[#This Row],[Clôture Crédit]]</f>
        <v>1732324</v>
      </c>
    </row>
    <row r="89" customFormat="false" ht="15" hidden="false" customHeight="false" outlineLevel="0" collapsed="false">
      <c r="A89" s="42" t="n">
        <v>661100</v>
      </c>
      <c r="B89" s="12" t="s">
        <v>386</v>
      </c>
      <c r="C89" s="13" t="s">
        <v>387</v>
      </c>
      <c r="D89" s="15" t="n">
        <f aca="false">IF(LEFT(A89,1)&gt;="6",0,SUMIFS('BALANCE 2028'!$H:$H,'BALANCE 2028'!$A:$A,A89))</f>
        <v>0</v>
      </c>
      <c r="E89" s="15" t="n">
        <f aca="false">IF(LEFT(A89,1)&gt;="6",0,SUMIFS('BALANCE 2028'!$I:$I,'BALANCE 2028'!$A:$A,A89))</f>
        <v>0</v>
      </c>
      <c r="F89" s="21" t="n">
        <f aca="false">MAX(0,(H89-I89)-(D89-E89))</f>
        <v>76735040</v>
      </c>
      <c r="G89" s="21" t="n">
        <f aca="false">MAX(0,(D89-E89)-(H89-I89))</f>
        <v>0</v>
      </c>
      <c r="H89" s="15" t="n">
        <f aca="false">ROUND(IF(HYPOTHESES!$C$56=0,0,HYPOTHESES!H$56-SUMPRODUCT((T_BAL_2029[Poste]="RK")*(T_BAL_2029[Compte]&lt;&gt;661100)*(LEFT(T_BAL_2029[Compte],3)&lt;&gt;"664")*ROUND(HYPOTHESES!H$56*SUMIFS('BALANCE 2024'!$H:$H,'BALANCE 2024'!$A:$A,T_BAL_2029[Compte])/HYPOTHESES!$C$56,0))),0)</f>
        <v>76735040</v>
      </c>
      <c r="I89" s="21" t="n">
        <v>0</v>
      </c>
      <c r="J89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9" s="43" t="n">
        <f aca="false">T_BAL_2029[[#This Row],[Clôture Débit]]-T_BAL_2029[[#This Row],[Clôture Crédit]]</f>
        <v>76735040</v>
      </c>
    </row>
    <row r="90" customFormat="false" ht="15" hidden="false" customHeight="false" outlineLevel="0" collapsed="false">
      <c r="A90" s="42" t="n">
        <v>661200</v>
      </c>
      <c r="B90" s="12" t="s">
        <v>388</v>
      </c>
      <c r="C90" s="13" t="s">
        <v>387</v>
      </c>
      <c r="D90" s="15" t="n">
        <f aca="false">IF(LEFT(A90,1)&gt;="6",0,SUMIFS('BALANCE 2028'!$H:$H,'BALANCE 2028'!$A:$A,A90))</f>
        <v>0</v>
      </c>
      <c r="E90" s="15" t="n">
        <f aca="false">IF(LEFT(A90,1)&gt;="6",0,SUMIFS('BALANCE 2028'!$I:$I,'BALANCE 2028'!$A:$A,A90))</f>
        <v>0</v>
      </c>
      <c r="F90" s="21" t="n">
        <f aca="false">MAX(0,(H90-I90)-(D90-E90))</f>
        <v>25940317</v>
      </c>
      <c r="G90" s="21" t="n">
        <f aca="false">MAX(0,(D90-E90)-(H90-I90))</f>
        <v>0</v>
      </c>
      <c r="H90" s="15" t="n">
        <f aca="false">ROUND(IF(LEFT(A90,1)&gt;="6",IF(C90="RE",IF(HYPOTHESES!$C$51=0,0,HYPOTHESES!H$51*SUMIFS('BALANCE 2024'!$H:$H,'BALANCE 2024'!$A:$A,A90)/HYPOTHESES!$C$51),IF(C90="RG",IF(HYPOTHESES!$C$52=0,0,HYPOTHESES!H$52*SUMIFS('BALANCE 2024'!$H:$H,'BALANCE 2024'!$A:$A,A90)/HYPOTHESES!$C$52),IF(C90="RH",IF(HYPOTHESES!$C$53=0,0,HYPOTHESES!H$53*SUMIFS('BALANCE 2024'!$H:$H,'BALANCE 2024'!$A:$A,A90)/HYPOTHESES!$C$53),IF(C90="RI",IF(HYPOTHESES!$C$54=0,0,HYPOTHESES!H$54*SUMIFS('BALANCE 2024'!$H:$H,'BALANCE 2024'!$A:$A,A90)/HYPOTHESES!$C$54),IF(C90="RJ",IF(HYPOTHESES!$C$55=0,0,HYPOTHESES!H$55*SUMIFS('BALANCE 2024'!$H:$H,'BALANCE 2024'!$A:$A,A90)/HYPOTHESES!$C$55),IF(C90="RK",IF(HYPOTHESES!$C$56=0,0,HYPOTHESES!H$56*SUMIFS('BALANCE 2024'!$H:$H,'BALANCE 2024'!$A:$A,A90)/HYPOTHESES!$C$56),0)))))),MAX(0,D90-E90)),0)</f>
        <v>25940317</v>
      </c>
      <c r="I90" s="21" t="n">
        <v>0</v>
      </c>
      <c r="J90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0" s="43" t="n">
        <f aca="false">T_BAL_2029[[#This Row],[Clôture Débit]]-T_BAL_2029[[#This Row],[Clôture Crédit]]</f>
        <v>25940317</v>
      </c>
    </row>
    <row r="91" customFormat="false" ht="15" hidden="false" customHeight="false" outlineLevel="0" collapsed="false">
      <c r="A91" s="42" t="n">
        <v>661300</v>
      </c>
      <c r="B91" s="12" t="s">
        <v>389</v>
      </c>
      <c r="C91" s="13" t="s">
        <v>387</v>
      </c>
      <c r="D91" s="15" t="n">
        <f aca="false">IF(LEFT(A91,1)&gt;="6",0,SUMIFS('BALANCE 2028'!$H:$H,'BALANCE 2028'!$A:$A,A91))</f>
        <v>0</v>
      </c>
      <c r="E91" s="15" t="n">
        <f aca="false">IF(LEFT(A91,1)&gt;="6",0,SUMIFS('BALANCE 2028'!$I:$I,'BALANCE 2028'!$A:$A,A91))</f>
        <v>0</v>
      </c>
      <c r="F91" s="21" t="n">
        <f aca="false">MAX(0,(H91-I91)-(D91-E91))</f>
        <v>8559053</v>
      </c>
      <c r="G91" s="21" t="n">
        <f aca="false">MAX(0,(D91-E91)-(H91-I91))</f>
        <v>0</v>
      </c>
      <c r="H91" s="15" t="n">
        <f aca="false">ROUND(IF(LEFT(A91,1)&gt;="6",IF(C91="RE",IF(HYPOTHESES!$C$51=0,0,HYPOTHESES!H$51*SUMIFS('BALANCE 2024'!$H:$H,'BALANCE 2024'!$A:$A,A91)/HYPOTHESES!$C$51),IF(C91="RG",IF(HYPOTHESES!$C$52=0,0,HYPOTHESES!H$52*SUMIFS('BALANCE 2024'!$H:$H,'BALANCE 2024'!$A:$A,A91)/HYPOTHESES!$C$52),IF(C91="RH",IF(HYPOTHESES!$C$53=0,0,HYPOTHESES!H$53*SUMIFS('BALANCE 2024'!$H:$H,'BALANCE 2024'!$A:$A,A91)/HYPOTHESES!$C$53),IF(C91="RI",IF(HYPOTHESES!$C$54=0,0,HYPOTHESES!H$54*SUMIFS('BALANCE 2024'!$H:$H,'BALANCE 2024'!$A:$A,A91)/HYPOTHESES!$C$54),IF(C91="RJ",IF(HYPOTHESES!$C$55=0,0,HYPOTHESES!H$55*SUMIFS('BALANCE 2024'!$H:$H,'BALANCE 2024'!$A:$A,A91)/HYPOTHESES!$C$55),IF(C91="RK",IF(HYPOTHESES!$C$56=0,0,HYPOTHESES!H$56*SUMIFS('BALANCE 2024'!$H:$H,'BALANCE 2024'!$A:$A,A91)/HYPOTHESES!$C$56),0)))))),MAX(0,D91-E91)),0)</f>
        <v>8559053</v>
      </c>
      <c r="I91" s="21" t="n">
        <v>0</v>
      </c>
      <c r="J91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1" s="43" t="n">
        <f aca="false">T_BAL_2029[[#This Row],[Clôture Débit]]-T_BAL_2029[[#This Row],[Clôture Crédit]]</f>
        <v>8559053</v>
      </c>
    </row>
    <row r="92" customFormat="false" ht="15" hidden="false" customHeight="false" outlineLevel="0" collapsed="false">
      <c r="A92" s="42" t="n">
        <v>661400</v>
      </c>
      <c r="B92" s="12" t="s">
        <v>390</v>
      </c>
      <c r="C92" s="13" t="s">
        <v>387</v>
      </c>
      <c r="D92" s="15" t="n">
        <f aca="false">IF(LEFT(A92,1)&gt;="6",0,SUMIFS('BALANCE 2028'!$H:$H,'BALANCE 2028'!$A:$A,A92))</f>
        <v>0</v>
      </c>
      <c r="E92" s="15" t="n">
        <f aca="false">IF(LEFT(A92,1)&gt;="6",0,SUMIFS('BALANCE 2028'!$I:$I,'BALANCE 2028'!$A:$A,A92))</f>
        <v>0</v>
      </c>
      <c r="F92" s="21" t="n">
        <f aca="false">MAX(0,(H92-I92)-(D92-E92))</f>
        <v>8643538</v>
      </c>
      <c r="G92" s="21" t="n">
        <f aca="false">MAX(0,(D92-E92)-(H92-I92))</f>
        <v>0</v>
      </c>
      <c r="H92" s="15" t="n">
        <f aca="false">ROUND(IF(LEFT(A92,1)&gt;="6",IF(C92="RE",IF(HYPOTHESES!$C$51=0,0,HYPOTHESES!H$51*SUMIFS('BALANCE 2024'!$H:$H,'BALANCE 2024'!$A:$A,A92)/HYPOTHESES!$C$51),IF(C92="RG",IF(HYPOTHESES!$C$52=0,0,HYPOTHESES!H$52*SUMIFS('BALANCE 2024'!$H:$H,'BALANCE 2024'!$A:$A,A92)/HYPOTHESES!$C$52),IF(C92="RH",IF(HYPOTHESES!$C$53=0,0,HYPOTHESES!H$53*SUMIFS('BALANCE 2024'!$H:$H,'BALANCE 2024'!$A:$A,A92)/HYPOTHESES!$C$53),IF(C92="RI",IF(HYPOTHESES!$C$54=0,0,HYPOTHESES!H$54*SUMIFS('BALANCE 2024'!$H:$H,'BALANCE 2024'!$A:$A,A92)/HYPOTHESES!$C$54),IF(C92="RJ",IF(HYPOTHESES!$C$55=0,0,HYPOTHESES!H$55*SUMIFS('BALANCE 2024'!$H:$H,'BALANCE 2024'!$A:$A,A92)/HYPOTHESES!$C$55),IF(C92="RK",IF(HYPOTHESES!$C$56=0,0,HYPOTHESES!H$56*SUMIFS('BALANCE 2024'!$H:$H,'BALANCE 2024'!$A:$A,A92)/HYPOTHESES!$C$56),0)))))),MAX(0,D92-E92)),0)</f>
        <v>8643538</v>
      </c>
      <c r="I92" s="21" t="n">
        <v>0</v>
      </c>
      <c r="J92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2" s="43" t="n">
        <f aca="false">T_BAL_2029[[#This Row],[Clôture Débit]]-T_BAL_2029[[#This Row],[Clôture Crédit]]</f>
        <v>8643538</v>
      </c>
    </row>
    <row r="93" customFormat="false" ht="15" hidden="false" customHeight="false" outlineLevel="0" collapsed="false">
      <c r="A93" s="42" t="n">
        <v>663400</v>
      </c>
      <c r="B93" s="12" t="s">
        <v>391</v>
      </c>
      <c r="C93" s="13" t="s">
        <v>387</v>
      </c>
      <c r="D93" s="15" t="n">
        <f aca="false">IF(LEFT(A93,1)&gt;="6",0,SUMIFS('BALANCE 2028'!$H:$H,'BALANCE 2028'!$A:$A,A93))</f>
        <v>0</v>
      </c>
      <c r="E93" s="15" t="n">
        <f aca="false">IF(LEFT(A93,1)&gt;="6",0,SUMIFS('BALANCE 2028'!$I:$I,'BALANCE 2028'!$A:$A,A93))</f>
        <v>0</v>
      </c>
      <c r="F93" s="21" t="n">
        <f aca="false">MAX(0,(H93-I93)-(D93-E93))</f>
        <v>8952255</v>
      </c>
      <c r="G93" s="21" t="n">
        <f aca="false">MAX(0,(D93-E93)-(H93-I93))</f>
        <v>0</v>
      </c>
      <c r="H93" s="15" t="n">
        <f aca="false">ROUND(IF(LEFT(A93,1)&gt;="6",IF(C93="RE",IF(HYPOTHESES!$C$51=0,0,HYPOTHESES!H$51*SUMIFS('BALANCE 2024'!$H:$H,'BALANCE 2024'!$A:$A,A93)/HYPOTHESES!$C$51),IF(C93="RG",IF(HYPOTHESES!$C$52=0,0,HYPOTHESES!H$52*SUMIFS('BALANCE 2024'!$H:$H,'BALANCE 2024'!$A:$A,A93)/HYPOTHESES!$C$52),IF(C93="RH",IF(HYPOTHESES!$C$53=0,0,HYPOTHESES!H$53*SUMIFS('BALANCE 2024'!$H:$H,'BALANCE 2024'!$A:$A,A93)/HYPOTHESES!$C$53),IF(C93="RI",IF(HYPOTHESES!$C$54=0,0,HYPOTHESES!H$54*SUMIFS('BALANCE 2024'!$H:$H,'BALANCE 2024'!$A:$A,A93)/HYPOTHESES!$C$54),IF(C93="RJ",IF(HYPOTHESES!$C$55=0,0,HYPOTHESES!H$55*SUMIFS('BALANCE 2024'!$H:$H,'BALANCE 2024'!$A:$A,A93)/HYPOTHESES!$C$55),IF(C93="RK",IF(HYPOTHESES!$C$56=0,0,HYPOTHESES!H$56*SUMIFS('BALANCE 2024'!$H:$H,'BALANCE 2024'!$A:$A,A93)/HYPOTHESES!$C$56),0)))))),MAX(0,D93-E93)),0)</f>
        <v>8952255</v>
      </c>
      <c r="I93" s="21" t="n">
        <v>0</v>
      </c>
      <c r="J93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3" s="43" t="n">
        <f aca="false">T_BAL_2029[[#This Row],[Clôture Débit]]-T_BAL_2029[[#This Row],[Clôture Crédit]]</f>
        <v>8952255</v>
      </c>
    </row>
    <row r="94" customFormat="false" ht="15" hidden="false" customHeight="false" outlineLevel="0" collapsed="false">
      <c r="A94" s="42" t="n">
        <v>664101</v>
      </c>
      <c r="B94" s="12" t="s">
        <v>392</v>
      </c>
      <c r="C94" s="13" t="s">
        <v>387</v>
      </c>
      <c r="D94" s="15" t="n">
        <f aca="false">IF(LEFT(A94,1)&gt;="6",0,SUMIFS('BALANCE 2028'!$H:$H,'BALANCE 2028'!$A:$A,A94))</f>
        <v>0</v>
      </c>
      <c r="E94" s="15" t="n">
        <f aca="false">IF(LEFT(A94,1)&gt;="6",0,SUMIFS('BALANCE 2028'!$I:$I,'BALANCE 2028'!$A:$A,A94))</f>
        <v>0</v>
      </c>
      <c r="F94" s="21" t="n">
        <f aca="false">MAX(0,(H94-I94)-(D94-E94))</f>
        <v>600000</v>
      </c>
      <c r="G94" s="21" t="n">
        <f aca="false">MAX(0,(D94-E94)-(H94-I94))</f>
        <v>0</v>
      </c>
      <c r="H94" s="15" t="n">
        <f aca="false">ROUND(HYPOTHESES!H$62,0)</f>
        <v>600000</v>
      </c>
      <c r="I94" s="21" t="n">
        <v>0</v>
      </c>
      <c r="J94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4" s="43" t="n">
        <f aca="false">T_BAL_2029[[#This Row],[Clôture Débit]]-T_BAL_2029[[#This Row],[Clôture Crédit]]</f>
        <v>600000</v>
      </c>
    </row>
    <row r="95" customFormat="false" ht="15" hidden="false" customHeight="false" outlineLevel="0" collapsed="false">
      <c r="A95" s="42" t="n">
        <v>664102</v>
      </c>
      <c r="B95" s="12" t="s">
        <v>393</v>
      </c>
      <c r="C95" s="13" t="s">
        <v>387</v>
      </c>
      <c r="D95" s="15" t="n">
        <f aca="false">IF(LEFT(A95,1)&gt;="6",0,SUMIFS('BALANCE 2028'!$H:$H,'BALANCE 2028'!$A:$A,A95))</f>
        <v>0</v>
      </c>
      <c r="E95" s="15" t="n">
        <f aca="false">IF(LEFT(A95,1)&gt;="6",0,SUMIFS('BALANCE 2028'!$I:$I,'BALANCE 2028'!$A:$A,A95))</f>
        <v>0</v>
      </c>
      <c r="F95" s="21" t="n">
        <f aca="false">MAX(0,(H95-I95)-(D95-E95))</f>
        <v>5175000</v>
      </c>
      <c r="G95" s="21" t="n">
        <f aca="false">MAX(0,(D95-E95)-(H95-I95))</f>
        <v>0</v>
      </c>
      <c r="H95" s="15" t="n">
        <f aca="false">ROUND(HYPOTHESES!H$60,0)</f>
        <v>5175000</v>
      </c>
      <c r="I95" s="21" t="n">
        <v>0</v>
      </c>
      <c r="J95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5" s="43" t="n">
        <f aca="false">T_BAL_2029[[#This Row],[Clôture Débit]]-T_BAL_2029[[#This Row],[Clôture Crédit]]</f>
        <v>5175000</v>
      </c>
    </row>
    <row r="96" customFormat="false" ht="15" hidden="false" customHeight="false" outlineLevel="0" collapsed="false">
      <c r="A96" s="42" t="n">
        <v>664103</v>
      </c>
      <c r="B96" s="12" t="s">
        <v>394</v>
      </c>
      <c r="C96" s="13" t="s">
        <v>387</v>
      </c>
      <c r="D96" s="15" t="n">
        <f aca="false">IF(LEFT(A96,1)&gt;="6",0,SUMIFS('BALANCE 2028'!$H:$H,'BALANCE 2028'!$A:$A,A96))</f>
        <v>0</v>
      </c>
      <c r="E96" s="15" t="n">
        <f aca="false">IF(LEFT(A96,1)&gt;="6",0,SUMIFS('BALANCE 2028'!$I:$I,'BALANCE 2028'!$A:$A,A96))</f>
        <v>0</v>
      </c>
      <c r="F96" s="21" t="n">
        <f aca="false">MAX(0,(H96-I96)-(D96-E96))</f>
        <v>4500000</v>
      </c>
      <c r="G96" s="21" t="n">
        <f aca="false">MAX(0,(D96-E96)-(H96-I96))</f>
        <v>0</v>
      </c>
      <c r="H96" s="15" t="n">
        <f aca="false">ROUND(HYPOTHESES!H$61,0)</f>
        <v>4500000</v>
      </c>
      <c r="I96" s="21" t="n">
        <v>0</v>
      </c>
      <c r="J96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6" s="43" t="n">
        <f aca="false">T_BAL_2029[[#This Row],[Clôture Débit]]-T_BAL_2029[[#This Row],[Clôture Crédit]]</f>
        <v>4500000</v>
      </c>
    </row>
    <row r="97" customFormat="false" ht="15" hidden="false" customHeight="false" outlineLevel="0" collapsed="false">
      <c r="A97" s="42" t="n">
        <v>664104</v>
      </c>
      <c r="B97" s="12" t="s">
        <v>395</v>
      </c>
      <c r="C97" s="13" t="s">
        <v>387</v>
      </c>
      <c r="D97" s="15" t="n">
        <f aca="false">IF(LEFT(A97,1)&gt;="6",0,SUMIFS('BALANCE 2028'!$H:$H,'BALANCE 2028'!$A:$A,A97))</f>
        <v>0</v>
      </c>
      <c r="E97" s="15" t="n">
        <f aca="false">IF(LEFT(A97,1)&gt;="6",0,SUMIFS('BALANCE 2028'!$I:$I,'BALANCE 2028'!$A:$A,A97))</f>
        <v>0</v>
      </c>
      <c r="F97" s="21" t="n">
        <f aca="false">MAX(0,(H97-I97)-(D97-E97))</f>
        <v>9230602</v>
      </c>
      <c r="G97" s="21" t="n">
        <f aca="false">MAX(0,(D97-E97)-(H97-I97))</f>
        <v>0</v>
      </c>
      <c r="H97" s="15" t="n">
        <f aca="false">ROUND(HYPOTHESES!H$59,0)</f>
        <v>9230602</v>
      </c>
      <c r="I97" s="21" t="n">
        <v>0</v>
      </c>
      <c r="J97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7" s="43" t="n">
        <f aca="false">T_BAL_2029[[#This Row],[Clôture Débit]]-T_BAL_2029[[#This Row],[Clôture Crédit]]</f>
        <v>9230602</v>
      </c>
    </row>
    <row r="98" customFormat="false" ht="15" hidden="false" customHeight="false" outlineLevel="0" collapsed="false">
      <c r="A98" s="42" t="n">
        <v>671201</v>
      </c>
      <c r="B98" s="12" t="s">
        <v>396</v>
      </c>
      <c r="C98" s="13" t="s">
        <v>397</v>
      </c>
      <c r="D98" s="15" t="n">
        <f aca="false">IF(LEFT(A98,1)&gt;="6",0,SUMIFS('BALANCE 2028'!$H:$H,'BALANCE 2028'!$A:$A,A98))</f>
        <v>0</v>
      </c>
      <c r="E98" s="15" t="n">
        <f aca="false">IF(LEFT(A98,1)&gt;="6",0,SUMIFS('BALANCE 2028'!$I:$I,'BALANCE 2028'!$A:$A,A98))</f>
        <v>0</v>
      </c>
      <c r="F98" s="21" t="n">
        <f aca="false">MAX(0,(H98-I98)-(D98-E98))</f>
        <v>0</v>
      </c>
      <c r="G98" s="21" t="n">
        <f aca="false">MAX(0,(D98-E98)-(H98-I98))</f>
        <v>0</v>
      </c>
      <c r="H98" s="15" t="n">
        <f aca="false">ROUND('INVEST ET FINANCEMENT'!H$65,0)</f>
        <v>0</v>
      </c>
      <c r="I98" s="21" t="n">
        <v>0</v>
      </c>
      <c r="J98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8" s="43" t="n">
        <f aca="false">T_BAL_2029[[#This Row],[Clôture Débit]]-T_BAL_2029[[#This Row],[Clôture Crédit]]</f>
        <v>0</v>
      </c>
    </row>
    <row r="99" customFormat="false" ht="15" hidden="false" customHeight="false" outlineLevel="0" collapsed="false">
      <c r="A99" s="42" t="n">
        <v>672301</v>
      </c>
      <c r="B99" s="12" t="s">
        <v>398</v>
      </c>
      <c r="C99" s="13" t="s">
        <v>397</v>
      </c>
      <c r="D99" s="15" t="n">
        <f aca="false">IF(LEFT(A99,1)&gt;="6",0,SUMIFS('BALANCE 2028'!$H:$H,'BALANCE 2028'!$A:$A,A99))</f>
        <v>0</v>
      </c>
      <c r="E99" s="15" t="n">
        <f aca="false">IF(LEFT(A99,1)&gt;="6",0,SUMIFS('BALANCE 2028'!$I:$I,'BALANCE 2028'!$A:$A,A99))</f>
        <v>0</v>
      </c>
      <c r="F99" s="21" t="n">
        <f aca="false">MAX(0,(H99-I99)-(D99-E99))</f>
        <v>0</v>
      </c>
      <c r="G99" s="21" t="n">
        <f aca="false">MAX(0,(D99-E99)-(H99-I99))</f>
        <v>0</v>
      </c>
      <c r="H99" s="15" t="n">
        <f aca="false">ROUND('INVEST ET FINANCEMENT'!H$66,0)</f>
        <v>0</v>
      </c>
      <c r="I99" s="21" t="n">
        <v>0</v>
      </c>
      <c r="J99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9" s="43" t="n">
        <f aca="false">T_BAL_2029[[#This Row],[Clôture Débit]]-T_BAL_2029[[#This Row],[Clôture Crédit]]</f>
        <v>0</v>
      </c>
    </row>
    <row r="100" customFormat="false" ht="15" hidden="false" customHeight="false" outlineLevel="0" collapsed="false">
      <c r="A100" s="42" t="n">
        <v>681301</v>
      </c>
      <c r="B100" s="12" t="s">
        <v>399</v>
      </c>
      <c r="C100" s="13" t="s">
        <v>400</v>
      </c>
      <c r="D100" s="15" t="n">
        <f aca="false">IF(LEFT(A100,1)&gt;="6",0,SUMIFS('BALANCE 2028'!$H:$H,'BALANCE 2028'!$A:$A,A100))</f>
        <v>0</v>
      </c>
      <c r="E100" s="15" t="n">
        <f aca="false">IF(LEFT(A100,1)&gt;="6",0,SUMIFS('BALANCE 2028'!$I:$I,'BALANCE 2028'!$A:$A,A100))</f>
        <v>0</v>
      </c>
      <c r="F100" s="21" t="n">
        <f aca="false">MAX(0,(H100-I100)-(D100-E100))</f>
        <v>0</v>
      </c>
      <c r="G100" s="21" t="n">
        <f aca="false">MAX(0,(D100-E100)-(H100-I100))</f>
        <v>0</v>
      </c>
      <c r="H100" s="15" t="n">
        <f aca="false">ROUND('INVEST ET FINANCEMENT'!H$32,0)</f>
        <v>0</v>
      </c>
      <c r="I100" s="21" t="n">
        <v>0</v>
      </c>
      <c r="J100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0" s="43" t="n">
        <f aca="false">T_BAL_2029[[#This Row],[Clôture Débit]]-T_BAL_2029[[#This Row],[Clôture Crédit]]</f>
        <v>0</v>
      </c>
    </row>
    <row r="101" customFormat="false" ht="15" hidden="false" customHeight="false" outlineLevel="0" collapsed="false">
      <c r="A101" s="42" t="n">
        <v>681302</v>
      </c>
      <c r="B101" s="12" t="s">
        <v>401</v>
      </c>
      <c r="C101" s="13" t="s">
        <v>400</v>
      </c>
      <c r="D101" s="15" t="n">
        <f aca="false">IF(LEFT(A101,1)&gt;="6",0,SUMIFS('BALANCE 2028'!$H:$H,'BALANCE 2028'!$A:$A,A101))</f>
        <v>0</v>
      </c>
      <c r="E101" s="15" t="n">
        <f aca="false">IF(LEFT(A101,1)&gt;="6",0,SUMIFS('BALANCE 2028'!$I:$I,'BALANCE 2028'!$A:$A,A101))</f>
        <v>0</v>
      </c>
      <c r="F101" s="21" t="n">
        <f aca="false">MAX(0,(H101-I101)-(D101-E101))</f>
        <v>68854932</v>
      </c>
      <c r="G101" s="21" t="n">
        <f aca="false">MAX(0,(D101-E101)-(H101-I101))</f>
        <v>0</v>
      </c>
      <c r="H101" s="15" t="n">
        <f aca="false">ROUND('INVEST ET FINANCEMENT'!H$35,0)</f>
        <v>68854932</v>
      </c>
      <c r="I101" s="21" t="n">
        <v>0</v>
      </c>
      <c r="J101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1" s="43" t="n">
        <f aca="false">T_BAL_2029[[#This Row],[Clôture Débit]]-T_BAL_2029[[#This Row],[Clôture Crédit]]</f>
        <v>68854932</v>
      </c>
    </row>
    <row r="102" customFormat="false" ht="15" hidden="false" customHeight="false" outlineLevel="0" collapsed="false">
      <c r="A102" s="42" t="n">
        <v>681303</v>
      </c>
      <c r="B102" s="12" t="s">
        <v>402</v>
      </c>
      <c r="C102" s="13" t="s">
        <v>400</v>
      </c>
      <c r="D102" s="15" t="n">
        <f aca="false">IF(LEFT(A102,1)&gt;="6",0,SUMIFS('BALANCE 2028'!$H:$H,'BALANCE 2028'!$A:$A,A102))</f>
        <v>0</v>
      </c>
      <c r="E102" s="15" t="n">
        <f aca="false">IF(LEFT(A102,1)&gt;="6",0,SUMIFS('BALANCE 2028'!$I:$I,'BALANCE 2028'!$A:$A,A102))</f>
        <v>0</v>
      </c>
      <c r="F102" s="21" t="n">
        <f aca="false">MAX(0,(H102-I102)-(D102-E102))</f>
        <v>5000000</v>
      </c>
      <c r="G102" s="21" t="n">
        <f aca="false">MAX(0,(D102-E102)-(H102-I102))</f>
        <v>0</v>
      </c>
      <c r="H102" s="15" t="n">
        <f aca="false">ROUND('INVEST ET FINANCEMENT'!H$38,0)</f>
        <v>5000000</v>
      </c>
      <c r="I102" s="21" t="n">
        <v>0</v>
      </c>
      <c r="J102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2" s="43" t="n">
        <f aca="false">T_BAL_2029[[#This Row],[Clôture Débit]]-T_BAL_2029[[#This Row],[Clôture Crédit]]</f>
        <v>5000000</v>
      </c>
    </row>
    <row r="103" customFormat="false" ht="15" hidden="false" customHeight="false" outlineLevel="0" collapsed="false">
      <c r="A103" s="42" t="n">
        <v>681304</v>
      </c>
      <c r="B103" s="12" t="s">
        <v>403</v>
      </c>
      <c r="C103" s="13" t="s">
        <v>400</v>
      </c>
      <c r="D103" s="15" t="n">
        <f aca="false">IF(LEFT(A103,1)&gt;="6",0,SUMIFS('BALANCE 2028'!$H:$H,'BALANCE 2028'!$A:$A,A103))</f>
        <v>0</v>
      </c>
      <c r="E103" s="15" t="n">
        <f aca="false">IF(LEFT(A103,1)&gt;="6",0,SUMIFS('BALANCE 2028'!$I:$I,'BALANCE 2028'!$A:$A,A103))</f>
        <v>0</v>
      </c>
      <c r="F103" s="21" t="n">
        <f aca="false">MAX(0,(H103-I103)-(D103-E103))</f>
        <v>24093971</v>
      </c>
      <c r="G103" s="21" t="n">
        <f aca="false">MAX(0,(D103-E103)-(H103-I103))</f>
        <v>0</v>
      </c>
      <c r="H103" s="15" t="n">
        <f aca="false">ROUND('INVEST ET FINANCEMENT'!H$41,0)</f>
        <v>24093971</v>
      </c>
      <c r="I103" s="21" t="n">
        <v>0</v>
      </c>
      <c r="J103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3" s="43" t="n">
        <f aca="false">T_BAL_2029[[#This Row],[Clôture Débit]]-T_BAL_2029[[#This Row],[Clôture Crédit]]</f>
        <v>24093971</v>
      </c>
    </row>
    <row r="104" customFormat="false" ht="15" hidden="false" customHeight="false" outlineLevel="0" collapsed="false">
      <c r="A104" s="42" t="n">
        <v>691100</v>
      </c>
      <c r="B104" s="12" t="s">
        <v>404</v>
      </c>
      <c r="C104" s="13" t="s">
        <v>400</v>
      </c>
      <c r="D104" s="15" t="n">
        <f aca="false">IF(LEFT(A104,1)&gt;="6",0,SUMIFS('BALANCE 2028'!$H:$H,'BALANCE 2028'!$A:$A,A104))</f>
        <v>0</v>
      </c>
      <c r="E104" s="15" t="n">
        <f aca="false">IF(LEFT(A104,1)&gt;="6",0,SUMIFS('BALANCE 2028'!$I:$I,'BALANCE 2028'!$A:$A,A104))</f>
        <v>0</v>
      </c>
      <c r="F104" s="21" t="n">
        <f aca="false">MAX(0,(H104-I104)-(D104-E104))</f>
        <v>7884408</v>
      </c>
      <c r="G104" s="21" t="n">
        <f aca="false">MAX(0,(D104-E104)-(H104-I104))</f>
        <v>0</v>
      </c>
      <c r="H104" s="15" t="n">
        <f aca="false">ROUND(HYPOTHESES!H$65,0)</f>
        <v>7884408</v>
      </c>
      <c r="I104" s="21" t="n">
        <v>0</v>
      </c>
      <c r="J104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4" s="43" t="n">
        <f aca="false">T_BAL_2029[[#This Row],[Clôture Débit]]-T_BAL_2029[[#This Row],[Clôture Crédit]]</f>
        <v>7884408</v>
      </c>
    </row>
    <row r="105" customFormat="false" ht="15" hidden="false" customHeight="false" outlineLevel="0" collapsed="false">
      <c r="A105" s="35" t="n">
        <v>705100</v>
      </c>
      <c r="B105" s="36" t="s">
        <v>405</v>
      </c>
      <c r="C105" s="37" t="s">
        <v>406</v>
      </c>
      <c r="D105" s="44" t="n">
        <f aca="false">IF(LEFT(A105,1)&gt;="6",0,SUMIFS('BALANCE 2028'!$H:$H,'BALANCE 2028'!$A:$A,A105))</f>
        <v>0</v>
      </c>
      <c r="E105" s="44" t="n">
        <f aca="false">IF(LEFT(A105,1)&gt;="6",0,SUMIFS('BALANCE 2028'!$I:$I,'BALANCE 2028'!$A:$A,A105))</f>
        <v>0</v>
      </c>
      <c r="F105" s="39" t="n">
        <f aca="false">MAX(0,(H105-I105)-(D105-E105))</f>
        <v>0</v>
      </c>
      <c r="G105" s="39" t="n">
        <f aca="false">MAX(0,(D105-E105)-(H105-I105))</f>
        <v>911749493</v>
      </c>
      <c r="H105" s="39" t="n">
        <v>0</v>
      </c>
      <c r="I105" s="44" t="n">
        <f aca="false">ROUND(HYPOTHESES!H$50,0)</f>
        <v>911749493</v>
      </c>
      <c r="J105" s="39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5" s="40" t="n">
        <f aca="false">T_BAL_2029[[#This Row],[Clôture Débit]]-T_BAL_2029[[#This Row],[Clôture Crédit]]</f>
        <v>-911749493</v>
      </c>
    </row>
    <row r="106" customFormat="false" ht="15" hidden="false" customHeight="false" outlineLevel="0" collapsed="false">
      <c r="A106" s="42" t="n">
        <v>771200</v>
      </c>
      <c r="B106" s="12" t="s">
        <v>407</v>
      </c>
      <c r="C106" s="13" t="s">
        <v>408</v>
      </c>
      <c r="D106" s="15" t="n">
        <f aca="false">IF(LEFT(A106,1)&gt;="6",0,SUMIFS('BALANCE 2028'!$H:$H,'BALANCE 2028'!$A:$A,A106))</f>
        <v>0</v>
      </c>
      <c r="E106" s="15" t="n">
        <f aca="false">IF(LEFT(A106,1)&gt;="6",0,SUMIFS('BALANCE 2028'!$I:$I,'BALANCE 2028'!$A:$A,A106))</f>
        <v>0</v>
      </c>
      <c r="F106" s="21" t="n">
        <f aca="false">MAX(0,(H106-I106)-(D106-E106))</f>
        <v>0</v>
      </c>
      <c r="G106" s="21" t="n">
        <f aca="false">MAX(0,(D106-E106)-(H106-I106))</f>
        <v>848594</v>
      </c>
      <c r="H106" s="21" t="n">
        <v>0</v>
      </c>
      <c r="I106" s="15" t="n">
        <f aca="false">ROUND(HYPOTHESES!H$66,0)</f>
        <v>848594</v>
      </c>
      <c r="J106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6" s="43" t="n">
        <f aca="false">T_BAL_2029[[#This Row],[Clôture Débit]]-T_BAL_2029[[#This Row],[Clôture Crédit]]</f>
        <v>-848594</v>
      </c>
    </row>
    <row r="107" customFormat="false" ht="15" hidden="false" customHeight="false" outlineLevel="0" collapsed="false">
      <c r="A107" s="35" t="n">
        <v>891100</v>
      </c>
      <c r="B107" s="36" t="s">
        <v>409</v>
      </c>
      <c r="C107" s="37" t="s">
        <v>410</v>
      </c>
      <c r="D107" s="44" t="n">
        <f aca="false">IF(LEFT(A107,1)&gt;="6",0,SUMIFS('BALANCE 2028'!$H:$H,'BALANCE 2028'!$A:$A,A107))</f>
        <v>0</v>
      </c>
      <c r="E107" s="44" t="n">
        <f aca="false">IF(LEFT(A107,1)&gt;="6",0,SUMIFS('BALANCE 2028'!$I:$I,'BALANCE 2028'!$A:$A,A107))</f>
        <v>0</v>
      </c>
      <c r="F107" s="39" t="n">
        <f aca="false">MAX(0,(H107-I107)-(D107-E107))</f>
        <v>35578752</v>
      </c>
      <c r="G107" s="39" t="n">
        <f aca="false">MAX(0,(D107-E107)-(H107-I107))</f>
        <v>0</v>
      </c>
      <c r="H107" s="44" t="n">
        <f aca="false">ROUND(IF(HYPOTHESES!H$70&gt;=HYPOTHESES!H$71,HYPOTHESES!H$72,0),0)</f>
        <v>35578752</v>
      </c>
      <c r="I107" s="39" t="n">
        <v>0</v>
      </c>
      <c r="J107" s="39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7" s="40" t="n">
        <f aca="false">T_BAL_2029[[#This Row],[Clôture Débit]]-T_BAL_2029[[#This Row],[Clôture Crédit]]</f>
        <v>35578752</v>
      </c>
    </row>
    <row r="108" customFormat="false" ht="15" hidden="false" customHeight="false" outlineLevel="0" collapsed="false">
      <c r="A108" s="42" t="n">
        <v>895000</v>
      </c>
      <c r="B108" s="12" t="s">
        <v>411</v>
      </c>
      <c r="C108" s="13" t="s">
        <v>410</v>
      </c>
      <c r="D108" s="15" t="n">
        <f aca="false">IF(LEFT(A108,1)&gt;="6",0,SUMIFS('BALANCE 2028'!$H:$H,'BALANCE 2028'!$A:$A,A108))</f>
        <v>0</v>
      </c>
      <c r="E108" s="15" t="n">
        <f aca="false">IF(LEFT(A108,1)&gt;="6",0,SUMIFS('BALANCE 2028'!$I:$I,'BALANCE 2028'!$A:$A,A108))</f>
        <v>0</v>
      </c>
      <c r="F108" s="21" t="n">
        <f aca="false">MAX(0,(H108-I108)-(D108-E108))</f>
        <v>0</v>
      </c>
      <c r="G108" s="21" t="n">
        <f aca="false">MAX(0,(D108-E108)-(H108-I108))</f>
        <v>0</v>
      </c>
      <c r="H108" s="15" t="n">
        <f aca="false">ROUND(IF(HYPOTHESES!H$70&lt;HYPOTHESES!H$71,HYPOTHESES!H$72,0),0)</f>
        <v>0</v>
      </c>
      <c r="I108" s="21" t="n">
        <v>0</v>
      </c>
      <c r="J108" s="21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8" s="43" t="n">
        <f aca="false">T_BAL_2029[[#This Row],[Clôture Débit]]-T_BAL_2029[[#This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421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422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9" t="s">
        <v>423</v>
      </c>
      <c r="B5" s="29" t="s">
        <v>424</v>
      </c>
      <c r="C5" s="29" t="str">
        <f aca="false">"Réel "&amp;HYPOTHESES!$C$5</f>
        <v>Réel 2024</v>
      </c>
      <c r="D5" s="45" t="n">
        <f aca="false">HYPOTHESES!$C$5+1</f>
        <v>2025</v>
      </c>
      <c r="E5" s="45" t="n">
        <f aca="false">HYPOTHESES!$C$5+2</f>
        <v>2026</v>
      </c>
      <c r="F5" s="45" t="n">
        <f aca="false">HYPOTHESES!$C$5+3</f>
        <v>2027</v>
      </c>
      <c r="G5" s="45" t="n">
        <f aca="false">HYPOTHESES!$C$5+4</f>
        <v>2028</v>
      </c>
      <c r="H5" s="45" t="n">
        <f aca="false">HYPOTHESES!$C$5+5</f>
        <v>2029</v>
      </c>
      <c r="I5" s="29" t="s">
        <v>425</v>
      </c>
    </row>
    <row r="6" customFormat="false" ht="15" hidden="false" customHeight="false" outlineLevel="0" collapsed="false">
      <c r="A6" s="13" t="s">
        <v>426</v>
      </c>
      <c r="B6" s="12" t="s">
        <v>427</v>
      </c>
      <c r="C6" s="15" t="n">
        <f aca="false">SUMIFS('BALANCE 2024'!$H:$H,'BALANCE 2024'!$C:$C,"AD")-(SUMIFS('BALANCE 2024'!$I:$I,'BALANCE 2024'!$C:$C,"AD"))</f>
        <v>0</v>
      </c>
      <c r="D6" s="15" t="n">
        <f aca="false">SUMIFS('BALANCE 2025'!$H:$H,'BALANCE 2025'!$C:$C,"AD")-(SUMIFS('BALANCE 2025'!$I:$I,'BALANCE 2025'!$C:$C,"AD"))</f>
        <v>0</v>
      </c>
      <c r="E6" s="15" t="n">
        <f aca="false">SUMIFS('BALANCE 2026'!$H:$H,'BALANCE 2026'!$C:$C,"AD")-(SUMIFS('BALANCE 2026'!$I:$I,'BALANCE 2026'!$C:$C,"AD"))</f>
        <v>0</v>
      </c>
      <c r="F6" s="15" t="n">
        <f aca="false">SUMIFS('BALANCE 2027'!$H:$H,'BALANCE 2027'!$C:$C,"AD")-(SUMIFS('BALANCE 2027'!$I:$I,'BALANCE 2027'!$C:$C,"AD"))</f>
        <v>0</v>
      </c>
      <c r="G6" s="15" t="n">
        <f aca="false">SUMIFS('BALANCE 2028'!$H:$H,'BALANCE 2028'!$C:$C,"AD")-(SUMIFS('BALANCE 2028'!$I:$I,'BALANCE 2028'!$C:$C,"AD"))</f>
        <v>0</v>
      </c>
      <c r="H6" s="15" t="n">
        <f aca="false">SUMIFS('BALANCE 2029'!$H:$H,'BALANCE 2029'!$C:$C,"AD")-(SUMIFS('BALANCE 2029'!$I:$I,'BALANCE 2029'!$C:$C,"AD"))</f>
        <v>0</v>
      </c>
    </row>
    <row r="7" customFormat="false" ht="15" hidden="false" customHeight="false" outlineLevel="0" collapsed="false">
      <c r="A7" s="13" t="s">
        <v>428</v>
      </c>
      <c r="B7" s="12" t="s">
        <v>429</v>
      </c>
      <c r="C7" s="15" t="n">
        <f aca="false">SUMIFS('BALANCE 2024'!$H:$H,'BALANCE 2024'!$C:$C,"AJ")-(SUMIFS('BALANCE 2024'!$I:$I,'BALANCE 2024'!$C:$C,"AJ"))</f>
        <v>0</v>
      </c>
      <c r="D7" s="15" t="n">
        <f aca="false">SUMIFS('BALANCE 2025'!$H:$H,'BALANCE 2025'!$C:$C,"AJ")-(SUMIFS('BALANCE 2025'!$I:$I,'BALANCE 2025'!$C:$C,"AJ"))</f>
        <v>0</v>
      </c>
      <c r="E7" s="15" t="n">
        <f aca="false">SUMIFS('BALANCE 2026'!$H:$H,'BALANCE 2026'!$C:$C,"AJ")-(SUMIFS('BALANCE 2026'!$I:$I,'BALANCE 2026'!$C:$C,"AJ"))</f>
        <v>0</v>
      </c>
      <c r="F7" s="15" t="n">
        <f aca="false">SUMIFS('BALANCE 2027'!$H:$H,'BALANCE 2027'!$C:$C,"AJ")-(SUMIFS('BALANCE 2027'!$I:$I,'BALANCE 2027'!$C:$C,"AJ"))</f>
        <v>0</v>
      </c>
      <c r="G7" s="15" t="n">
        <f aca="false">SUMIFS('BALANCE 2028'!$H:$H,'BALANCE 2028'!$C:$C,"AJ")-(SUMIFS('BALANCE 2028'!$I:$I,'BALANCE 2028'!$C:$C,"AJ"))</f>
        <v>0</v>
      </c>
      <c r="H7" s="15" t="n">
        <f aca="false">SUMIFS('BALANCE 2029'!$H:$H,'BALANCE 2029'!$C:$C,"AJ")-(SUMIFS('BALANCE 2029'!$I:$I,'BALANCE 2029'!$C:$C,"AJ"))</f>
        <v>0</v>
      </c>
    </row>
    <row r="8" customFormat="false" ht="15" hidden="false" customHeight="false" outlineLevel="0" collapsed="false">
      <c r="A8" s="13" t="s">
        <v>430</v>
      </c>
      <c r="B8" s="12" t="s">
        <v>431</v>
      </c>
      <c r="C8" s="15" t="n">
        <f aca="false">SUMIFS('BALANCE 2024'!$H:$H,'BALANCE 2024'!$C:$C,"AK")-(SUMIFS('BALANCE 2024'!$I:$I,'BALANCE 2024'!$C:$C,"AK"))</f>
        <v>0</v>
      </c>
      <c r="D8" s="15" t="n">
        <f aca="false">SUMIFS('BALANCE 2025'!$H:$H,'BALANCE 2025'!$C:$C,"AK")-(SUMIFS('BALANCE 2025'!$I:$I,'BALANCE 2025'!$C:$C,"AK"))</f>
        <v>0</v>
      </c>
      <c r="E8" s="15" t="n">
        <f aca="false">SUMIFS('BALANCE 2026'!$H:$H,'BALANCE 2026'!$C:$C,"AK")-(SUMIFS('BALANCE 2026'!$I:$I,'BALANCE 2026'!$C:$C,"AK"))</f>
        <v>0</v>
      </c>
      <c r="F8" s="15" t="n">
        <f aca="false">SUMIFS('BALANCE 2027'!$H:$H,'BALANCE 2027'!$C:$C,"AK")-(SUMIFS('BALANCE 2027'!$I:$I,'BALANCE 2027'!$C:$C,"AK"))</f>
        <v>0</v>
      </c>
      <c r="G8" s="15" t="n">
        <f aca="false">SUMIFS('BALANCE 2028'!$H:$H,'BALANCE 2028'!$C:$C,"AK")-(SUMIFS('BALANCE 2028'!$I:$I,'BALANCE 2028'!$C:$C,"AK"))</f>
        <v>0</v>
      </c>
      <c r="H8" s="15" t="n">
        <f aca="false">SUMIFS('BALANCE 2029'!$H:$H,'BALANCE 2029'!$C:$C,"AK")-(SUMIFS('BALANCE 2029'!$I:$I,'BALANCE 2029'!$C:$C,"AK"))</f>
        <v>0</v>
      </c>
    </row>
    <row r="9" customFormat="false" ht="15" hidden="false" customHeight="false" outlineLevel="0" collapsed="false">
      <c r="A9" s="13" t="s">
        <v>296</v>
      </c>
      <c r="B9" s="12" t="s">
        <v>432</v>
      </c>
      <c r="C9" s="15" t="n">
        <f aca="false">SUMIFS('BALANCE 2024'!$H:$H,'BALANCE 2024'!$C:$C,"AL")-(SUMIFS('BALANCE 2024'!$I:$I,'BALANCE 2024'!$C:$C,"AL"))</f>
        <v>61665016</v>
      </c>
      <c r="D9" s="15" t="n">
        <f aca="false">SUMIFS('BALANCE 2025'!$H:$H,'BALANCE 2025'!$C:$C,"AL")-(SUMIFS('BALANCE 2025'!$I:$I,'BALANCE 2025'!$C:$C,"AL"))</f>
        <v>42482171</v>
      </c>
      <c r="E9" s="15" t="n">
        <f aca="false">SUMIFS('BALANCE 2026'!$H:$H,'BALANCE 2026'!$C:$C,"AL")-(SUMIFS('BALANCE 2026'!$I:$I,'BALANCE 2026'!$C:$C,"AL"))</f>
        <v>23199326</v>
      </c>
      <c r="F9" s="15" t="n">
        <f aca="false">SUMIFS('BALANCE 2027'!$H:$H,'BALANCE 2027'!$C:$C,"AL")-(SUMIFS('BALANCE 2027'!$I:$I,'BALANCE 2027'!$C:$C,"AL"))</f>
        <v>3916481</v>
      </c>
      <c r="G9" s="15" t="n">
        <f aca="false">SUMIFS('BALANCE 2028'!$H:$H,'BALANCE 2028'!$C:$C,"AL")-(SUMIFS('BALANCE 2028'!$I:$I,'BALANCE 2028'!$C:$C,"AL"))</f>
        <v>0</v>
      </c>
      <c r="H9" s="15" t="n">
        <f aca="false">SUMIFS('BALANCE 2029'!$H:$H,'BALANCE 2029'!$C:$C,"AL")-(SUMIFS('BALANCE 2029'!$I:$I,'BALANCE 2029'!$C:$C,"AL"))</f>
        <v>0</v>
      </c>
    </row>
    <row r="10" customFormat="false" ht="15" hidden="false" customHeight="false" outlineLevel="0" collapsed="false">
      <c r="A10" s="13" t="s">
        <v>300</v>
      </c>
      <c r="B10" s="12" t="s">
        <v>433</v>
      </c>
      <c r="C10" s="15" t="n">
        <f aca="false">SUMIFS('BALANCE 2024'!$H:$H,'BALANCE 2024'!$C:$C,"AM")-(SUMIFS('BALANCE 2024'!$I:$I,'BALANCE 2024'!$C:$C,"AM"))</f>
        <v>267440561</v>
      </c>
      <c r="D10" s="15" t="n">
        <f aca="false">SUMIFS('BALANCE 2025'!$H:$H,'BALANCE 2025'!$C:$C,"AM")-(SUMIFS('BALANCE 2025'!$I:$I,'BALANCE 2025'!$C:$C,"AM"))</f>
        <v>217433210</v>
      </c>
      <c r="E10" s="15" t="n">
        <f aca="false">SUMIFS('BALANCE 2026'!$H:$H,'BALANCE 2026'!$C:$C,"AM")-(SUMIFS('BALANCE 2026'!$I:$I,'BALANCE 2026'!$C:$C,"AM"))</f>
        <v>193969105</v>
      </c>
      <c r="F10" s="15" t="n">
        <f aca="false">SUMIFS('BALANCE 2027'!$H:$H,'BALANCE 2027'!$C:$C,"AM")-(SUMIFS('BALANCE 2027'!$I:$I,'BALANCE 2027'!$C:$C,"AM"))</f>
        <v>167114173</v>
      </c>
      <c r="G10" s="15" t="n">
        <f aca="false">SUMIFS('BALANCE 2028'!$H:$H,'BALANCE 2028'!$C:$C,"AM")-(SUMIFS('BALANCE 2028'!$I:$I,'BALANCE 2028'!$C:$C,"AM"))</f>
        <v>134259241</v>
      </c>
      <c r="H10" s="15" t="n">
        <f aca="false">SUMIFS('BALANCE 2029'!$H:$H,'BALANCE 2029'!$C:$C,"AM")-(SUMIFS('BALANCE 2029'!$I:$I,'BALANCE 2029'!$C:$C,"AM"))</f>
        <v>95404309</v>
      </c>
    </row>
    <row r="11" customFormat="false" ht="15" hidden="false" customHeight="false" outlineLevel="0" collapsed="false">
      <c r="A11" s="13" t="s">
        <v>306</v>
      </c>
      <c r="B11" s="12" t="s">
        <v>159</v>
      </c>
      <c r="C11" s="15" t="n">
        <f aca="false">SUMIFS('BALANCE 2024'!$H:$H,'BALANCE 2024'!$C:$C,"AN")-(SUMIFS('BALANCE 2024'!$I:$I,'BALANCE 2024'!$C:$C,"AN"))</f>
        <v>73755603</v>
      </c>
      <c r="D11" s="15" t="n">
        <f aca="false">SUMIFS('BALANCE 2025'!$H:$H,'BALANCE 2025'!$C:$C,"AN")-(SUMIFS('BALANCE 2025'!$I:$I,'BALANCE 2025'!$C:$C,"AN"))</f>
        <v>73390445</v>
      </c>
      <c r="E11" s="15" t="n">
        <f aca="false">SUMIFS('BALANCE 2026'!$H:$H,'BALANCE 2026'!$C:$C,"AN")-(SUMIFS('BALANCE 2026'!$I:$I,'BALANCE 2026'!$C:$C,"AN"))</f>
        <v>57432067</v>
      </c>
      <c r="F11" s="15" t="n">
        <f aca="false">SUMIFS('BALANCE 2027'!$H:$H,'BALANCE 2027'!$C:$C,"AN")-(SUMIFS('BALANCE 2027'!$I:$I,'BALANCE 2027'!$C:$C,"AN"))</f>
        <v>41473689</v>
      </c>
      <c r="G11" s="15" t="n">
        <f aca="false">SUMIFS('BALANCE 2028'!$H:$H,'BALANCE 2028'!$C:$C,"AN")-(SUMIFS('BALANCE 2028'!$I:$I,'BALANCE 2028'!$C:$C,"AN"))</f>
        <v>57379718</v>
      </c>
      <c r="H11" s="15" t="n">
        <f aca="false">SUMIFS('BALANCE 2029'!$H:$H,'BALANCE 2029'!$C:$C,"AN")-(SUMIFS('BALANCE 2029'!$I:$I,'BALANCE 2029'!$C:$C,"AN"))</f>
        <v>33285747</v>
      </c>
    </row>
    <row r="12" customFormat="false" ht="15" hidden="false" customHeight="false" outlineLevel="0" collapsed="false">
      <c r="A12" s="33" t="s">
        <v>188</v>
      </c>
      <c r="B12" s="33" t="s">
        <v>434</v>
      </c>
      <c r="C12" s="34" t="n">
        <f aca="false">C7+C8+C9+C10+C11</f>
        <v>402861180</v>
      </c>
      <c r="D12" s="34" t="n">
        <f aca="false">D7+D8+D9+D10+D11</f>
        <v>333305826</v>
      </c>
      <c r="E12" s="34" t="n">
        <f aca="false">E7+E8+E9+E10+E11</f>
        <v>274600498</v>
      </c>
      <c r="F12" s="34" t="n">
        <f aca="false">F7+F8+F9+F10+F11</f>
        <v>212504343</v>
      </c>
      <c r="G12" s="34" t="n">
        <f aca="false">G7+G8+G9+G10+G11</f>
        <v>191638959</v>
      </c>
      <c r="H12" s="34" t="n">
        <f aca="false">H7+H8+H9+H10+H11</f>
        <v>128690056</v>
      </c>
      <c r="I12" s="32"/>
    </row>
    <row r="13" customFormat="false" ht="15" hidden="false" customHeight="false" outlineLevel="0" collapsed="false">
      <c r="A13" s="13" t="s">
        <v>435</v>
      </c>
      <c r="B13" s="12" t="s">
        <v>436</v>
      </c>
      <c r="C13" s="15" t="n">
        <f aca="false">SUMIFS('BALANCE 2024'!$H:$H,'BALANCE 2024'!$C:$C,"AP")-(SUMIFS('BALANCE 2024'!$I:$I,'BALANCE 2024'!$C:$C,"AP"))</f>
        <v>0</v>
      </c>
      <c r="D13" s="15" t="n">
        <f aca="false">SUMIFS('BALANCE 2025'!$H:$H,'BALANCE 2025'!$C:$C,"AP")-(SUMIFS('BALANCE 2025'!$I:$I,'BALANCE 2025'!$C:$C,"AP"))</f>
        <v>0</v>
      </c>
      <c r="E13" s="15" t="n">
        <f aca="false">SUMIFS('BALANCE 2026'!$H:$H,'BALANCE 2026'!$C:$C,"AP")-(SUMIFS('BALANCE 2026'!$I:$I,'BALANCE 2026'!$C:$C,"AP"))</f>
        <v>0</v>
      </c>
      <c r="F13" s="15" t="n">
        <f aca="false">SUMIFS('BALANCE 2027'!$H:$H,'BALANCE 2027'!$C:$C,"AP")-(SUMIFS('BALANCE 2027'!$I:$I,'BALANCE 2027'!$C:$C,"AP"))</f>
        <v>0</v>
      </c>
      <c r="G13" s="15" t="n">
        <f aca="false">SUMIFS('BALANCE 2028'!$H:$H,'BALANCE 2028'!$C:$C,"AP")-(SUMIFS('BALANCE 2028'!$I:$I,'BALANCE 2028'!$C:$C,"AP"))</f>
        <v>0</v>
      </c>
      <c r="H13" s="15" t="n">
        <f aca="false">SUMIFS('BALANCE 2029'!$H:$H,'BALANCE 2029'!$C:$C,"AP")-(SUMIFS('BALANCE 2029'!$I:$I,'BALANCE 2029'!$C:$C,"AP"))</f>
        <v>0</v>
      </c>
    </row>
    <row r="14" customFormat="false" ht="15" hidden="false" customHeight="false" outlineLevel="0" collapsed="false">
      <c r="A14" s="13" t="s">
        <v>437</v>
      </c>
      <c r="B14" s="12" t="s">
        <v>438</v>
      </c>
      <c r="C14" s="15" t="n">
        <f aca="false">SUMIFS('BALANCE 2024'!$H:$H,'BALANCE 2024'!$C:$C,"AR")-(SUMIFS('BALANCE 2024'!$I:$I,'BALANCE 2024'!$C:$C,"AR"))</f>
        <v>0</v>
      </c>
      <c r="D14" s="15" t="n">
        <f aca="false">SUMIFS('BALANCE 2025'!$H:$H,'BALANCE 2025'!$C:$C,"AR")-(SUMIFS('BALANCE 2025'!$I:$I,'BALANCE 2025'!$C:$C,"AR"))</f>
        <v>0</v>
      </c>
      <c r="E14" s="15" t="n">
        <f aca="false">SUMIFS('BALANCE 2026'!$H:$H,'BALANCE 2026'!$C:$C,"AR")-(SUMIFS('BALANCE 2026'!$I:$I,'BALANCE 2026'!$C:$C,"AR"))</f>
        <v>0</v>
      </c>
      <c r="F14" s="15" t="n">
        <f aca="false">SUMIFS('BALANCE 2027'!$H:$H,'BALANCE 2027'!$C:$C,"AR")-(SUMIFS('BALANCE 2027'!$I:$I,'BALANCE 2027'!$C:$C,"AR"))</f>
        <v>0</v>
      </c>
      <c r="G14" s="15" t="n">
        <f aca="false">SUMIFS('BALANCE 2028'!$H:$H,'BALANCE 2028'!$C:$C,"AR")-(SUMIFS('BALANCE 2028'!$I:$I,'BALANCE 2028'!$C:$C,"AR"))</f>
        <v>0</v>
      </c>
      <c r="H14" s="15" t="n">
        <f aca="false">SUMIFS('BALANCE 2029'!$H:$H,'BALANCE 2029'!$C:$C,"AR")-(SUMIFS('BALANCE 2029'!$I:$I,'BALANCE 2029'!$C:$C,"AR"))</f>
        <v>0</v>
      </c>
    </row>
    <row r="15" customFormat="false" ht="15" hidden="false" customHeight="false" outlineLevel="0" collapsed="false">
      <c r="A15" s="13" t="s">
        <v>309</v>
      </c>
      <c r="B15" s="12" t="s">
        <v>439</v>
      </c>
      <c r="C15" s="15" t="n">
        <f aca="false">SUMIFS('BALANCE 2024'!$H:$H,'BALANCE 2024'!$C:$C,"AS")-(SUMIFS('BALANCE 2024'!$I:$I,'BALANCE 2024'!$C:$C,"AS"))</f>
        <v>256420138</v>
      </c>
      <c r="D15" s="15" t="n">
        <f aca="false">SUMIFS('BALANCE 2025'!$H:$H,'BALANCE 2025'!$C:$C,"AS")-(SUMIFS('BALANCE 2025'!$I:$I,'BALANCE 2025'!$C:$C,"AS"))</f>
        <v>256420138</v>
      </c>
      <c r="E15" s="15" t="n">
        <f aca="false">SUMIFS('BALANCE 2026'!$H:$H,'BALANCE 2026'!$C:$C,"AS")-(SUMIFS('BALANCE 2026'!$I:$I,'BALANCE 2026'!$C:$C,"AS"))</f>
        <v>256420138</v>
      </c>
      <c r="F15" s="15" t="n">
        <f aca="false">SUMIFS('BALANCE 2027'!$H:$H,'BALANCE 2027'!$C:$C,"AS")-(SUMIFS('BALANCE 2027'!$I:$I,'BALANCE 2027'!$C:$C,"AS"))</f>
        <v>256420138</v>
      </c>
      <c r="G15" s="15" t="n">
        <f aca="false">SUMIFS('BALANCE 2028'!$H:$H,'BALANCE 2028'!$C:$C,"AS")-(SUMIFS('BALANCE 2028'!$I:$I,'BALANCE 2028'!$C:$C,"AS"))</f>
        <v>256420138</v>
      </c>
      <c r="H15" s="15" t="n">
        <f aca="false">SUMIFS('BALANCE 2029'!$H:$H,'BALANCE 2029'!$C:$C,"AS")-(SUMIFS('BALANCE 2029'!$I:$I,'BALANCE 2029'!$C:$C,"AS"))</f>
        <v>256420138</v>
      </c>
    </row>
    <row r="16" customFormat="false" ht="15" hidden="false" customHeight="false" outlineLevel="0" collapsed="false">
      <c r="A16" s="33" t="s">
        <v>440</v>
      </c>
      <c r="B16" s="33" t="s">
        <v>441</v>
      </c>
      <c r="C16" s="34" t="n">
        <f aca="false">C14+C15</f>
        <v>256420138</v>
      </c>
      <c r="D16" s="34" t="n">
        <f aca="false">D14+D15</f>
        <v>256420138</v>
      </c>
      <c r="E16" s="34" t="n">
        <f aca="false">E14+E15</f>
        <v>256420138</v>
      </c>
      <c r="F16" s="34" t="n">
        <f aca="false">F14+F15</f>
        <v>256420138</v>
      </c>
      <c r="G16" s="34" t="n">
        <f aca="false">G14+G15</f>
        <v>256420138</v>
      </c>
      <c r="H16" s="34" t="n">
        <f aca="false">H14+H15</f>
        <v>256420138</v>
      </c>
      <c r="I16" s="32"/>
    </row>
    <row r="17" customFormat="false" ht="15" hidden="false" customHeight="false" outlineLevel="0" collapsed="false">
      <c r="A17" s="33" t="s">
        <v>442</v>
      </c>
      <c r="B17" s="33" t="s">
        <v>443</v>
      </c>
      <c r="C17" s="34" t="n">
        <f aca="false">C6+C12+C13+C16</f>
        <v>659281318</v>
      </c>
      <c r="D17" s="34" t="n">
        <f aca="false">D6+D12+D13+D16</f>
        <v>589725964</v>
      </c>
      <c r="E17" s="34" t="n">
        <f aca="false">E6+E12+E13+E16</f>
        <v>531020636</v>
      </c>
      <c r="F17" s="34" t="n">
        <f aca="false">F6+F12+F13+F16</f>
        <v>468924481</v>
      </c>
      <c r="G17" s="34" t="n">
        <f aca="false">G6+G12+G13+G16</f>
        <v>448059097</v>
      </c>
      <c r="H17" s="34" t="n">
        <f aca="false">H6+H12+H13+H16</f>
        <v>385110194</v>
      </c>
      <c r="I17" s="46" t="n">
        <f aca="false">IF(OR(C17&lt;=0,H17&lt;=0),"",(H17/C17)^(1/5)-1)</f>
        <v>-0.10194517806445</v>
      </c>
    </row>
    <row r="18" customFormat="false" ht="15" hidden="false" customHeight="false" outlineLevel="0" collapsed="false">
      <c r="A18" s="13" t="s">
        <v>444</v>
      </c>
      <c r="B18" s="12" t="s">
        <v>445</v>
      </c>
      <c r="C18" s="15" t="n">
        <f aca="false">SUMIFS('BALANCE 2024'!$H:$H,'BALANCE 2024'!$C:$C,"BA")-(SUMIFS('BALANCE 2024'!$I:$I,'BALANCE 2024'!$C:$C,"BA"))</f>
        <v>0</v>
      </c>
      <c r="D18" s="15" t="n">
        <f aca="false">SUMIFS('BALANCE 2025'!$H:$H,'BALANCE 2025'!$C:$C,"BA")-(SUMIFS('BALANCE 2025'!$I:$I,'BALANCE 2025'!$C:$C,"BA"))</f>
        <v>0</v>
      </c>
      <c r="E18" s="15" t="n">
        <f aca="false">SUMIFS('BALANCE 2026'!$H:$H,'BALANCE 2026'!$C:$C,"BA")-(SUMIFS('BALANCE 2026'!$I:$I,'BALANCE 2026'!$C:$C,"BA"))</f>
        <v>0</v>
      </c>
      <c r="F18" s="15" t="n">
        <f aca="false">SUMIFS('BALANCE 2027'!$H:$H,'BALANCE 2027'!$C:$C,"BA")-(SUMIFS('BALANCE 2027'!$I:$I,'BALANCE 2027'!$C:$C,"BA"))</f>
        <v>0</v>
      </c>
      <c r="G18" s="15" t="n">
        <f aca="false">SUMIFS('BALANCE 2028'!$H:$H,'BALANCE 2028'!$C:$C,"BA")-(SUMIFS('BALANCE 2028'!$I:$I,'BALANCE 2028'!$C:$C,"BA"))</f>
        <v>0</v>
      </c>
      <c r="H18" s="15" t="n">
        <f aca="false">SUMIFS('BALANCE 2029'!$H:$H,'BALANCE 2029'!$C:$C,"BA")-(SUMIFS('BALANCE 2029'!$I:$I,'BALANCE 2029'!$C:$C,"BA"))</f>
        <v>0</v>
      </c>
    </row>
    <row r="19" customFormat="false" ht="15" hidden="false" customHeight="false" outlineLevel="0" collapsed="false">
      <c r="A19" s="13" t="s">
        <v>446</v>
      </c>
      <c r="B19" s="12" t="s">
        <v>447</v>
      </c>
      <c r="C19" s="15" t="n">
        <f aca="false">SUMIFS('BALANCE 2024'!$H:$H,'BALANCE 2024'!$C:$C,"BB")-(SUMIFS('BALANCE 2024'!$I:$I,'BALANCE 2024'!$C:$C,"BB"))</f>
        <v>0</v>
      </c>
      <c r="D19" s="15" t="n">
        <f aca="false">SUMIFS('BALANCE 2025'!$H:$H,'BALANCE 2025'!$C:$C,"BB")-(SUMIFS('BALANCE 2025'!$I:$I,'BALANCE 2025'!$C:$C,"BB"))</f>
        <v>0</v>
      </c>
      <c r="E19" s="15" t="n">
        <f aca="false">SUMIFS('BALANCE 2026'!$H:$H,'BALANCE 2026'!$C:$C,"BB")-(SUMIFS('BALANCE 2026'!$I:$I,'BALANCE 2026'!$C:$C,"BB"))</f>
        <v>0</v>
      </c>
      <c r="F19" s="15" t="n">
        <f aca="false">SUMIFS('BALANCE 2027'!$H:$H,'BALANCE 2027'!$C:$C,"BB")-(SUMIFS('BALANCE 2027'!$I:$I,'BALANCE 2027'!$C:$C,"BB"))</f>
        <v>0</v>
      </c>
      <c r="G19" s="15" t="n">
        <f aca="false">SUMIFS('BALANCE 2028'!$H:$H,'BALANCE 2028'!$C:$C,"BB")-(SUMIFS('BALANCE 2028'!$I:$I,'BALANCE 2028'!$C:$C,"BB"))</f>
        <v>0</v>
      </c>
      <c r="H19" s="15" t="n">
        <f aca="false">SUMIFS('BALANCE 2029'!$H:$H,'BALANCE 2029'!$C:$C,"BB")-(SUMIFS('BALANCE 2029'!$I:$I,'BALANCE 2029'!$C:$C,"BB"))</f>
        <v>0</v>
      </c>
    </row>
    <row r="20" customFormat="false" ht="15" hidden="false" customHeight="false" outlineLevel="0" collapsed="false">
      <c r="A20" s="13" t="s">
        <v>318</v>
      </c>
      <c r="B20" s="12" t="s">
        <v>448</v>
      </c>
      <c r="C20" s="15" t="n">
        <f aca="false">SUMIFS('BALANCE 2024'!$H:$H,'BALANCE 2024'!$C:$C,"BH")-(SUMIFS('BALANCE 2024'!$I:$I,'BALANCE 2024'!$C:$C,"BH"))</f>
        <v>0</v>
      </c>
      <c r="D20" s="15" t="n">
        <f aca="false">SUMIFS('BALANCE 2025'!$H:$H,'BALANCE 2025'!$C:$C,"BH")-(SUMIFS('BALANCE 2025'!$I:$I,'BALANCE 2025'!$C:$C,"BH"))</f>
        <v>0</v>
      </c>
      <c r="E20" s="15" t="n">
        <f aca="false">SUMIFS('BALANCE 2026'!$H:$H,'BALANCE 2026'!$C:$C,"BH")-(SUMIFS('BALANCE 2026'!$I:$I,'BALANCE 2026'!$C:$C,"BH"))</f>
        <v>0</v>
      </c>
      <c r="F20" s="15" t="n">
        <f aca="false">SUMIFS('BALANCE 2027'!$H:$H,'BALANCE 2027'!$C:$C,"BH")-(SUMIFS('BALANCE 2027'!$I:$I,'BALANCE 2027'!$C:$C,"BH"))</f>
        <v>0</v>
      </c>
      <c r="G20" s="15" t="n">
        <f aca="false">SUMIFS('BALANCE 2028'!$H:$H,'BALANCE 2028'!$C:$C,"BH")-(SUMIFS('BALANCE 2028'!$I:$I,'BALANCE 2028'!$C:$C,"BH"))</f>
        <v>0</v>
      </c>
      <c r="H20" s="15" t="n">
        <f aca="false">SUMIFS('BALANCE 2029'!$H:$H,'BALANCE 2029'!$C:$C,"BH")-(SUMIFS('BALANCE 2029'!$I:$I,'BALANCE 2029'!$C:$C,"BH"))</f>
        <v>0</v>
      </c>
    </row>
    <row r="21" customFormat="false" ht="15" hidden="false" customHeight="false" outlineLevel="0" collapsed="false">
      <c r="A21" s="13" t="s">
        <v>320</v>
      </c>
      <c r="B21" s="12" t="s">
        <v>449</v>
      </c>
      <c r="C21" s="15" t="n">
        <f aca="false">SUMIFS('BALANCE 2024'!$H:$H,'BALANCE 2024'!$C:$C,"BI")-(SUMIFS('BALANCE 2024'!$I:$I,'BALANCE 2024'!$C:$C,"BI"))</f>
        <v>452271396</v>
      </c>
      <c r="D21" s="15" t="n">
        <f aca="false">SUMIFS('BALANCE 2025'!$H:$H,'BALANCE 2025'!$C:$C,"BI")-(SUMIFS('BALANCE 2025'!$I:$I,'BALANCE 2025'!$C:$C,"BI"))</f>
        <v>467144717</v>
      </c>
      <c r="E21" s="15" t="n">
        <f aca="false">SUMIFS('BALANCE 2026'!$H:$H,'BALANCE 2026'!$C:$C,"BI")-(SUMIFS('BALANCE 2026'!$I:$I,'BALANCE 2026'!$C:$C,"BI"))</f>
        <v>508573077</v>
      </c>
      <c r="F21" s="15" t="n">
        <f aca="false">SUMIFS('BALANCE 2027'!$H:$H,'BALANCE 2027'!$C:$C,"BI")-(SUMIFS('BALANCE 2027'!$I:$I,'BALANCE 2027'!$C:$C,"BI"))</f>
        <v>534001731</v>
      </c>
      <c r="G21" s="15" t="n">
        <f aca="false">SUMIFS('BALANCE 2028'!$H:$H,'BALANCE 2028'!$C:$C,"BI")-(SUMIFS('BALANCE 2028'!$I:$I,'BALANCE 2028'!$C:$C,"BI"))</f>
        <v>560701818</v>
      </c>
      <c r="H21" s="15" t="n">
        <f aca="false">SUMIFS('BALANCE 2029'!$H:$H,'BALANCE 2029'!$C:$C,"BI")-(SUMIFS('BALANCE 2029'!$I:$I,'BALANCE 2029'!$C:$C,"BI"))</f>
        <v>588736909</v>
      </c>
    </row>
    <row r="22" customFormat="false" ht="15" hidden="false" customHeight="false" outlineLevel="0" collapsed="false">
      <c r="A22" s="13" t="s">
        <v>450</v>
      </c>
      <c r="B22" s="12" t="s">
        <v>451</v>
      </c>
      <c r="C22" s="15" t="n">
        <f aca="false">SUMIFS('BALANCE 2024'!$H:$H,'BALANCE 2024'!$C:$C,"BJ")+SUMIFS('BALANCE 2024'!$H:$H,'BALANCE 2024'!$C:$C,"DMBJ")-(SUMIFS('BALANCE 2024'!$I:$I,'BALANCE 2024'!$C:$C,"BJ"))</f>
        <v>0</v>
      </c>
      <c r="D22" s="15" t="n">
        <f aca="false">SUMIFS('BALANCE 2025'!$H:$H,'BALANCE 2025'!$C:$C,"BJ")+SUMIFS('BALANCE 2025'!$H:$H,'BALANCE 2025'!$C:$C,"DMBJ")-(SUMIFS('BALANCE 2025'!$I:$I,'BALANCE 2025'!$C:$C,"BJ"))</f>
        <v>0</v>
      </c>
      <c r="E22" s="15" t="n">
        <f aca="false">SUMIFS('BALANCE 2026'!$H:$H,'BALANCE 2026'!$C:$C,"BJ")+SUMIFS('BALANCE 2026'!$H:$H,'BALANCE 2026'!$C:$C,"DMBJ")-(SUMIFS('BALANCE 2026'!$I:$I,'BALANCE 2026'!$C:$C,"BJ"))</f>
        <v>0</v>
      </c>
      <c r="F22" s="15" t="n">
        <f aca="false">SUMIFS('BALANCE 2027'!$H:$H,'BALANCE 2027'!$C:$C,"BJ")+SUMIFS('BALANCE 2027'!$H:$H,'BALANCE 2027'!$C:$C,"DMBJ")-(SUMIFS('BALANCE 2027'!$I:$I,'BALANCE 2027'!$C:$C,"BJ"))</f>
        <v>0</v>
      </c>
      <c r="G22" s="15" t="n">
        <f aca="false">SUMIFS('BALANCE 2028'!$H:$H,'BALANCE 2028'!$C:$C,"BJ")+SUMIFS('BALANCE 2028'!$H:$H,'BALANCE 2028'!$C:$C,"DMBJ")-(SUMIFS('BALANCE 2028'!$I:$I,'BALANCE 2028'!$C:$C,"BJ"))</f>
        <v>0</v>
      </c>
      <c r="H22" s="15" t="n">
        <f aca="false">SUMIFS('BALANCE 2029'!$H:$H,'BALANCE 2029'!$C:$C,"BJ")+SUMIFS('BALANCE 2029'!$H:$H,'BALANCE 2029'!$C:$C,"DMBJ")-(SUMIFS('BALANCE 2029'!$I:$I,'BALANCE 2029'!$C:$C,"BJ"))</f>
        <v>0</v>
      </c>
    </row>
    <row r="23" customFormat="false" ht="15" hidden="false" customHeight="false" outlineLevel="0" collapsed="false">
      <c r="A23" s="33" t="s">
        <v>452</v>
      </c>
      <c r="B23" s="33" t="s">
        <v>453</v>
      </c>
      <c r="C23" s="34" t="n">
        <f aca="false">C20+C21+C22</f>
        <v>452271396</v>
      </c>
      <c r="D23" s="34" t="n">
        <f aca="false">D20+D21+D22</f>
        <v>467144717</v>
      </c>
      <c r="E23" s="34" t="n">
        <f aca="false">E20+E21+E22</f>
        <v>508573077</v>
      </c>
      <c r="F23" s="34" t="n">
        <f aca="false">F20+F21+F22</f>
        <v>534001731</v>
      </c>
      <c r="G23" s="34" t="n">
        <f aca="false">G20+G21+G22</f>
        <v>560701818</v>
      </c>
      <c r="H23" s="34" t="n">
        <f aca="false">H20+H21+H22</f>
        <v>588736909</v>
      </c>
      <c r="I23" s="32"/>
    </row>
    <row r="24" customFormat="false" ht="15" hidden="false" customHeight="false" outlineLevel="0" collapsed="false">
      <c r="A24" s="33" t="s">
        <v>454</v>
      </c>
      <c r="B24" s="33" t="s">
        <v>455</v>
      </c>
      <c r="C24" s="34" t="n">
        <f aca="false">C18+C19+C23</f>
        <v>452271396</v>
      </c>
      <c r="D24" s="34" t="n">
        <f aca="false">D18+D19+D23</f>
        <v>467144717</v>
      </c>
      <c r="E24" s="34" t="n">
        <f aca="false">E18+E19+E23</f>
        <v>508573077</v>
      </c>
      <c r="F24" s="34" t="n">
        <f aca="false">F18+F19+F23</f>
        <v>534001731</v>
      </c>
      <c r="G24" s="34" t="n">
        <f aca="false">G18+G19+G23</f>
        <v>560701818</v>
      </c>
      <c r="H24" s="34" t="n">
        <f aca="false">H18+H19+H23</f>
        <v>588736909</v>
      </c>
      <c r="I24" s="46" t="n">
        <f aca="false">IF(OR(C24&lt;=0,H24&lt;=0),"",(H24/C24)^(1/5)-1)</f>
        <v>0.0541548916146981</v>
      </c>
    </row>
    <row r="25" customFormat="false" ht="15" hidden="false" customHeight="false" outlineLevel="0" collapsed="false">
      <c r="A25" s="13" t="s">
        <v>456</v>
      </c>
      <c r="B25" s="12" t="s">
        <v>457</v>
      </c>
      <c r="C25" s="15" t="n">
        <f aca="false">SUMIFS('BALANCE 2024'!$H:$H,'BALANCE 2024'!$C:$C,"BQ")-(SUMIFS('BALANCE 2024'!$I:$I,'BALANCE 2024'!$C:$C,"BQ"))</f>
        <v>0</v>
      </c>
      <c r="D25" s="15" t="n">
        <f aca="false">SUMIFS('BALANCE 2025'!$H:$H,'BALANCE 2025'!$C:$C,"BQ")-(SUMIFS('BALANCE 2025'!$I:$I,'BALANCE 2025'!$C:$C,"BQ"))</f>
        <v>0</v>
      </c>
      <c r="E25" s="15" t="n">
        <f aca="false">SUMIFS('BALANCE 2026'!$H:$H,'BALANCE 2026'!$C:$C,"BQ")-(SUMIFS('BALANCE 2026'!$I:$I,'BALANCE 2026'!$C:$C,"BQ"))</f>
        <v>0</v>
      </c>
      <c r="F25" s="15" t="n">
        <f aca="false">SUMIFS('BALANCE 2027'!$H:$H,'BALANCE 2027'!$C:$C,"BQ")-(SUMIFS('BALANCE 2027'!$I:$I,'BALANCE 2027'!$C:$C,"BQ"))</f>
        <v>0</v>
      </c>
      <c r="G25" s="15" t="n">
        <f aca="false">SUMIFS('BALANCE 2028'!$H:$H,'BALANCE 2028'!$C:$C,"BQ")-(SUMIFS('BALANCE 2028'!$I:$I,'BALANCE 2028'!$C:$C,"BQ"))</f>
        <v>0</v>
      </c>
      <c r="H25" s="15" t="n">
        <f aca="false">SUMIFS('BALANCE 2029'!$H:$H,'BALANCE 2029'!$C:$C,"BQ")-(SUMIFS('BALANCE 2029'!$I:$I,'BALANCE 2029'!$C:$C,"BQ"))</f>
        <v>0</v>
      </c>
    </row>
    <row r="26" customFormat="false" ht="15" hidden="false" customHeight="false" outlineLevel="0" collapsed="false">
      <c r="A26" s="13" t="s">
        <v>458</v>
      </c>
      <c r="B26" s="12" t="s">
        <v>459</v>
      </c>
      <c r="C26" s="15" t="n">
        <f aca="false">SUMIFS('BALANCE 2024'!$H:$H,'BALANCE 2024'!$C:$C,"BR")-(SUMIFS('BALANCE 2024'!$I:$I,'BALANCE 2024'!$C:$C,"BR"))</f>
        <v>0</v>
      </c>
      <c r="D26" s="15" t="n">
        <f aca="false">SUMIFS('BALANCE 2025'!$H:$H,'BALANCE 2025'!$C:$C,"BR")-(SUMIFS('BALANCE 2025'!$I:$I,'BALANCE 2025'!$C:$C,"BR"))</f>
        <v>0</v>
      </c>
      <c r="E26" s="15" t="n">
        <f aca="false">SUMIFS('BALANCE 2026'!$H:$H,'BALANCE 2026'!$C:$C,"BR")-(SUMIFS('BALANCE 2026'!$I:$I,'BALANCE 2026'!$C:$C,"BR"))</f>
        <v>0</v>
      </c>
      <c r="F26" s="15" t="n">
        <f aca="false">SUMIFS('BALANCE 2027'!$H:$H,'BALANCE 2027'!$C:$C,"BR")-(SUMIFS('BALANCE 2027'!$I:$I,'BALANCE 2027'!$C:$C,"BR"))</f>
        <v>0</v>
      </c>
      <c r="G26" s="15" t="n">
        <f aca="false">SUMIFS('BALANCE 2028'!$H:$H,'BALANCE 2028'!$C:$C,"BR")-(SUMIFS('BALANCE 2028'!$I:$I,'BALANCE 2028'!$C:$C,"BR"))</f>
        <v>0</v>
      </c>
      <c r="H26" s="15" t="n">
        <f aca="false">SUMIFS('BALANCE 2029'!$H:$H,'BALANCE 2029'!$C:$C,"BR")-(SUMIFS('BALANCE 2029'!$I:$I,'BALANCE 2029'!$C:$C,"BR"))</f>
        <v>0</v>
      </c>
    </row>
    <row r="27" customFormat="false" ht="15" hidden="false" customHeight="false" outlineLevel="0" collapsed="false">
      <c r="A27" s="13" t="s">
        <v>349</v>
      </c>
      <c r="B27" s="12" t="s">
        <v>460</v>
      </c>
      <c r="C27" s="15" t="n">
        <f aca="false">SUMIFS('BALANCE 2024'!$H:$H,'BALANCE 2024'!$C:$C,"BS")+SUMIFS('BALANCE 2024'!$H:$H,'BALANCE 2024'!$C:$C,"TRESO")-(SUMIFS('BALANCE 2024'!$I:$I,'BALANCE 2024'!$C:$C,"BS"))</f>
        <v>128133958</v>
      </c>
      <c r="D27" s="15" t="n">
        <f aca="false">SUMIFS('BALANCE 2025'!$H:$H,'BALANCE 2025'!$C:$C,"BS")+SUMIFS('BALANCE 2025'!$H:$H,'BALANCE 2025'!$C:$C,"TRESO")-(SUMIFS('BALANCE 2025'!$I:$I,'BALANCE 2025'!$C:$C,"BS"))</f>
        <v>215946214</v>
      </c>
      <c r="E27" s="15" t="n">
        <f aca="false">SUMIFS('BALANCE 2026'!$H:$H,'BALANCE 2026'!$C:$C,"BS")+SUMIFS('BALANCE 2026'!$H:$H,'BALANCE 2026'!$C:$C,"TRESO")-(SUMIFS('BALANCE 2026'!$I:$I,'BALANCE 2026'!$C:$C,"BS"))</f>
        <v>309736749</v>
      </c>
      <c r="F27" s="15" t="n">
        <f aca="false">SUMIFS('BALANCE 2027'!$H:$H,'BALANCE 2027'!$C:$C,"BS")+SUMIFS('BALANCE 2027'!$H:$H,'BALANCE 2027'!$C:$C,"TRESO")-(SUMIFS('BALANCE 2027'!$I:$I,'BALANCE 2027'!$C:$C,"BS"))</f>
        <v>420816123</v>
      </c>
      <c r="G27" s="15" t="n">
        <f aca="false">SUMIFS('BALANCE 2028'!$H:$H,'BALANCE 2028'!$C:$C,"BS")+SUMIFS('BALANCE 2028'!$H:$H,'BALANCE 2028'!$C:$C,"TRESO")-(SUMIFS('BALANCE 2028'!$I:$I,'BALANCE 2028'!$C:$C,"BS"))</f>
        <v>514764941</v>
      </c>
      <c r="H27" s="15" t="n">
        <f aca="false">SUMIFS('BALANCE 2029'!$H:$H,'BALANCE 2029'!$C:$C,"BS")+SUMIFS('BALANCE 2029'!$H:$H,'BALANCE 2029'!$C:$C,"TRESO")-(SUMIFS('BALANCE 2029'!$I:$I,'BALANCE 2029'!$C:$C,"BS"))</f>
        <v>626592872</v>
      </c>
    </row>
    <row r="28" customFormat="false" ht="15" hidden="false" customHeight="false" outlineLevel="0" collapsed="false">
      <c r="A28" s="33" t="s">
        <v>461</v>
      </c>
      <c r="B28" s="33" t="s">
        <v>462</v>
      </c>
      <c r="C28" s="34" t="n">
        <f aca="false">C25+C26+C27</f>
        <v>128133958</v>
      </c>
      <c r="D28" s="34" t="n">
        <f aca="false">D25+D26+D27</f>
        <v>215946214</v>
      </c>
      <c r="E28" s="34" t="n">
        <f aca="false">E25+E26+E27</f>
        <v>309736749</v>
      </c>
      <c r="F28" s="34" t="n">
        <f aca="false">F25+F26+F27</f>
        <v>420816123</v>
      </c>
      <c r="G28" s="34" t="n">
        <f aca="false">G25+G26+G27</f>
        <v>514764941</v>
      </c>
      <c r="H28" s="34" t="n">
        <f aca="false">H25+H26+H27</f>
        <v>626592872</v>
      </c>
      <c r="I28" s="32"/>
    </row>
    <row r="29" customFormat="false" ht="15" hidden="false" customHeight="false" outlineLevel="0" collapsed="false">
      <c r="A29" s="13" t="s">
        <v>463</v>
      </c>
      <c r="B29" s="12" t="s">
        <v>464</v>
      </c>
      <c r="C29" s="15" t="n">
        <f aca="false">SUMIFS('BALANCE 2024'!$H:$H,'BALANCE 2024'!$C:$C,"BU")-(SUMIFS('BALANCE 2024'!$I:$I,'BALANCE 2024'!$C:$C,"BU"))</f>
        <v>0</v>
      </c>
      <c r="D29" s="15" t="n">
        <f aca="false">SUMIFS('BALANCE 2025'!$H:$H,'BALANCE 2025'!$C:$C,"BU")-(SUMIFS('BALANCE 2025'!$I:$I,'BALANCE 2025'!$C:$C,"BU"))</f>
        <v>0</v>
      </c>
      <c r="E29" s="15" t="n">
        <f aca="false">SUMIFS('BALANCE 2026'!$H:$H,'BALANCE 2026'!$C:$C,"BU")-(SUMIFS('BALANCE 2026'!$I:$I,'BALANCE 2026'!$C:$C,"BU"))</f>
        <v>0</v>
      </c>
      <c r="F29" s="15" t="n">
        <f aca="false">SUMIFS('BALANCE 2027'!$H:$H,'BALANCE 2027'!$C:$C,"BU")-(SUMIFS('BALANCE 2027'!$I:$I,'BALANCE 2027'!$C:$C,"BU"))</f>
        <v>0</v>
      </c>
      <c r="G29" s="15" t="n">
        <f aca="false">SUMIFS('BALANCE 2028'!$H:$H,'BALANCE 2028'!$C:$C,"BU")-(SUMIFS('BALANCE 2028'!$I:$I,'BALANCE 2028'!$C:$C,"BU"))</f>
        <v>0</v>
      </c>
      <c r="H29" s="15" t="n">
        <f aca="false">SUMIFS('BALANCE 2029'!$H:$H,'BALANCE 2029'!$C:$C,"BU")-(SUMIFS('BALANCE 2029'!$I:$I,'BALANCE 2029'!$C:$C,"BU"))</f>
        <v>0</v>
      </c>
    </row>
    <row r="30" customFormat="false" ht="15" hidden="false" customHeight="false" outlineLevel="0" collapsed="false">
      <c r="A30" s="33" t="s">
        <v>465</v>
      </c>
      <c r="B30" s="33" t="s">
        <v>466</v>
      </c>
      <c r="C30" s="34" t="n">
        <f aca="false">C17+C24+C28+C29</f>
        <v>1239686672</v>
      </c>
      <c r="D30" s="34" t="n">
        <f aca="false">D17+D24+D28+D29</f>
        <v>1272816895</v>
      </c>
      <c r="E30" s="34" t="n">
        <f aca="false">E17+E24+E28+E29</f>
        <v>1349330462</v>
      </c>
      <c r="F30" s="34" t="n">
        <f aca="false">F17+F24+F28+F29</f>
        <v>1423742335</v>
      </c>
      <c r="G30" s="34" t="n">
        <f aca="false">G17+G24+G28+G29</f>
        <v>1523525856</v>
      </c>
      <c r="H30" s="34" t="n">
        <f aca="false">H17+H24+H28+H29</f>
        <v>1600439975</v>
      </c>
      <c r="I30" s="46" t="n">
        <f aca="false">IF(OR(C30&lt;=0,H30&lt;=0),"",(H30/C30)^(1/5)-1)</f>
        <v>0.0524112735972226</v>
      </c>
    </row>
    <row r="32" customFormat="false" ht="15" hidden="false" customHeight="false" outlineLevel="0" collapsed="false">
      <c r="A32" s="29" t="s">
        <v>423</v>
      </c>
      <c r="B32" s="29" t="s">
        <v>467</v>
      </c>
      <c r="C32" s="29" t="str">
        <f aca="false">"Réel "&amp;HYPOTHESES!$C$5</f>
        <v>Réel 2024</v>
      </c>
      <c r="D32" s="45" t="n">
        <f aca="false">HYPOTHESES!$C$5+1</f>
        <v>2025</v>
      </c>
      <c r="E32" s="45" t="n">
        <f aca="false">HYPOTHESES!$C$5+2</f>
        <v>2026</v>
      </c>
      <c r="F32" s="45" t="n">
        <f aca="false">HYPOTHESES!$C$5+3</f>
        <v>2027</v>
      </c>
      <c r="G32" s="45" t="n">
        <f aca="false">HYPOTHESES!$C$5+4</f>
        <v>2028</v>
      </c>
      <c r="H32" s="45" t="n">
        <f aca="false">HYPOTHESES!$C$5+5</f>
        <v>2029</v>
      </c>
      <c r="I32" s="29" t="s">
        <v>425</v>
      </c>
    </row>
    <row r="33" customFormat="false" ht="15" hidden="false" customHeight="false" outlineLevel="0" collapsed="false">
      <c r="A33" s="13" t="s">
        <v>270</v>
      </c>
      <c r="B33" s="12" t="s">
        <v>468</v>
      </c>
      <c r="C33" s="15" t="n">
        <f aca="false">SUMIFS('BALANCE 2024'!$I:$I,'BALANCE 2024'!$C:$C,"CA")-(SUMIFS('BALANCE 2024'!$H:$H,'BALANCE 2024'!$C:$C,"CA"))</f>
        <v>10000000</v>
      </c>
      <c r="D33" s="15" t="n">
        <f aca="false">SUMIFS('BALANCE 2025'!$I:$I,'BALANCE 2025'!$C:$C,"CA")-(SUMIFS('BALANCE 2025'!$H:$H,'BALANCE 2025'!$C:$C,"CA"))</f>
        <v>10000000</v>
      </c>
      <c r="E33" s="15" t="n">
        <f aca="false">SUMIFS('BALANCE 2026'!$I:$I,'BALANCE 2026'!$C:$C,"CA")-(SUMIFS('BALANCE 2026'!$H:$H,'BALANCE 2026'!$C:$C,"CA"))</f>
        <v>10000000</v>
      </c>
      <c r="F33" s="15" t="n">
        <f aca="false">SUMIFS('BALANCE 2027'!$I:$I,'BALANCE 2027'!$C:$C,"CA")-(SUMIFS('BALANCE 2027'!$H:$H,'BALANCE 2027'!$C:$C,"CA"))</f>
        <v>10000000</v>
      </c>
      <c r="G33" s="15" t="n">
        <f aca="false">SUMIFS('BALANCE 2028'!$I:$I,'BALANCE 2028'!$C:$C,"CA")-(SUMIFS('BALANCE 2028'!$H:$H,'BALANCE 2028'!$C:$C,"CA"))</f>
        <v>10000000</v>
      </c>
      <c r="H33" s="15" t="n">
        <f aca="false">SUMIFS('BALANCE 2029'!$I:$I,'BALANCE 2029'!$C:$C,"CA")-(SUMIFS('BALANCE 2029'!$H:$H,'BALANCE 2029'!$C:$C,"CA"))</f>
        <v>10000000</v>
      </c>
    </row>
    <row r="34" customFormat="false" ht="15" hidden="false" customHeight="false" outlineLevel="0" collapsed="false">
      <c r="A34" s="13" t="s">
        <v>469</v>
      </c>
      <c r="B34" s="12" t="s">
        <v>470</v>
      </c>
      <c r="C34" s="15" t="n">
        <f aca="false">-(SUMIFS('BALANCE 2024'!$H:$H,'BALANCE 2024'!$C:$C,"CB"))</f>
        <v>-0</v>
      </c>
      <c r="D34" s="15" t="n">
        <f aca="false">-(SUMIFS('BALANCE 2025'!$H:$H,'BALANCE 2025'!$C:$C,"CB"))</f>
        <v>-0</v>
      </c>
      <c r="E34" s="15" t="n">
        <f aca="false">-(SUMIFS('BALANCE 2026'!$H:$H,'BALANCE 2026'!$C:$C,"CB"))</f>
        <v>-0</v>
      </c>
      <c r="F34" s="15" t="n">
        <f aca="false">-(SUMIFS('BALANCE 2027'!$H:$H,'BALANCE 2027'!$C:$C,"CB"))</f>
        <v>-0</v>
      </c>
      <c r="G34" s="15" t="n">
        <f aca="false">-(SUMIFS('BALANCE 2028'!$H:$H,'BALANCE 2028'!$C:$C,"CB"))</f>
        <v>-0</v>
      </c>
      <c r="H34" s="15" t="n">
        <f aca="false">-(SUMIFS('BALANCE 2029'!$H:$H,'BALANCE 2029'!$C:$C,"CB"))</f>
        <v>-0</v>
      </c>
    </row>
    <row r="35" customFormat="false" ht="15" hidden="false" customHeight="false" outlineLevel="0" collapsed="false">
      <c r="A35" s="13" t="s">
        <v>471</v>
      </c>
      <c r="B35" s="12" t="s">
        <v>472</v>
      </c>
      <c r="C35" s="15" t="n">
        <f aca="false">SUMIFS('BALANCE 2024'!$I:$I,'BALANCE 2024'!$C:$C,"CD")-(SUMIFS('BALANCE 2024'!$H:$H,'BALANCE 2024'!$C:$C,"CD"))</f>
        <v>0</v>
      </c>
      <c r="D35" s="15" t="n">
        <f aca="false">SUMIFS('BALANCE 2025'!$I:$I,'BALANCE 2025'!$C:$C,"CD")-(SUMIFS('BALANCE 2025'!$H:$H,'BALANCE 2025'!$C:$C,"CD"))</f>
        <v>0</v>
      </c>
      <c r="E35" s="15" t="n">
        <f aca="false">SUMIFS('BALANCE 2026'!$I:$I,'BALANCE 2026'!$C:$C,"CD")-(SUMIFS('BALANCE 2026'!$H:$H,'BALANCE 2026'!$C:$C,"CD"))</f>
        <v>0</v>
      </c>
      <c r="F35" s="15" t="n">
        <f aca="false">SUMIFS('BALANCE 2027'!$I:$I,'BALANCE 2027'!$C:$C,"CD")-(SUMIFS('BALANCE 2027'!$H:$H,'BALANCE 2027'!$C:$C,"CD"))</f>
        <v>0</v>
      </c>
      <c r="G35" s="15" t="n">
        <f aca="false">SUMIFS('BALANCE 2028'!$I:$I,'BALANCE 2028'!$C:$C,"CD")-(SUMIFS('BALANCE 2028'!$H:$H,'BALANCE 2028'!$C:$C,"CD"))</f>
        <v>0</v>
      </c>
      <c r="H35" s="15" t="n">
        <f aca="false">SUMIFS('BALANCE 2029'!$I:$I,'BALANCE 2029'!$C:$C,"CD")-(SUMIFS('BALANCE 2029'!$H:$H,'BALANCE 2029'!$C:$C,"CD"))</f>
        <v>0</v>
      </c>
    </row>
    <row r="36" customFormat="false" ht="15" hidden="false" customHeight="false" outlineLevel="0" collapsed="false">
      <c r="A36" s="13" t="s">
        <v>473</v>
      </c>
      <c r="B36" s="12" t="s">
        <v>474</v>
      </c>
      <c r="C36" s="15" t="n">
        <f aca="false">SUMIFS('BALANCE 2024'!$I:$I,'BALANCE 2024'!$C:$C,"CE")-(SUMIFS('BALANCE 2024'!$H:$H,'BALANCE 2024'!$C:$C,"CE"))</f>
        <v>0</v>
      </c>
      <c r="D36" s="15" t="n">
        <f aca="false">SUMIFS('BALANCE 2025'!$I:$I,'BALANCE 2025'!$C:$C,"CE")-(SUMIFS('BALANCE 2025'!$H:$H,'BALANCE 2025'!$C:$C,"CE"))</f>
        <v>0</v>
      </c>
      <c r="E36" s="15" t="n">
        <f aca="false">SUMIFS('BALANCE 2026'!$I:$I,'BALANCE 2026'!$C:$C,"CE")-(SUMIFS('BALANCE 2026'!$H:$H,'BALANCE 2026'!$C:$C,"CE"))</f>
        <v>0</v>
      </c>
      <c r="F36" s="15" t="n">
        <f aca="false">SUMIFS('BALANCE 2027'!$I:$I,'BALANCE 2027'!$C:$C,"CE")-(SUMIFS('BALANCE 2027'!$H:$H,'BALANCE 2027'!$C:$C,"CE"))</f>
        <v>0</v>
      </c>
      <c r="G36" s="15" t="n">
        <f aca="false">SUMIFS('BALANCE 2028'!$I:$I,'BALANCE 2028'!$C:$C,"CE")-(SUMIFS('BALANCE 2028'!$H:$H,'BALANCE 2028'!$C:$C,"CE"))</f>
        <v>0</v>
      </c>
      <c r="H36" s="15" t="n">
        <f aca="false">SUMIFS('BALANCE 2029'!$I:$I,'BALANCE 2029'!$C:$C,"CE")-(SUMIFS('BALANCE 2029'!$H:$H,'BALANCE 2029'!$C:$C,"CE"))</f>
        <v>0</v>
      </c>
    </row>
    <row r="37" customFormat="false" ht="15" hidden="false" customHeight="false" outlineLevel="0" collapsed="false">
      <c r="A37" s="13" t="s">
        <v>274</v>
      </c>
      <c r="B37" s="12" t="s">
        <v>475</v>
      </c>
      <c r="C37" s="15" t="n">
        <f aca="false">SUMIFS('BALANCE 2024'!$I:$I,'BALANCE 2024'!$C:$C,"CF")-(SUMIFS('BALANCE 2024'!$H:$H,'BALANCE 2024'!$C:$C,"CF"))</f>
        <v>0</v>
      </c>
      <c r="D37" s="15" t="n">
        <f aca="false">SUMIFS('BALANCE 2025'!$I:$I,'BALANCE 2025'!$C:$C,"CF")-(SUMIFS('BALANCE 2025'!$H:$H,'BALANCE 2025'!$C:$C,"CF"))</f>
        <v>2000000</v>
      </c>
      <c r="E37" s="15" t="n">
        <f aca="false">SUMIFS('BALANCE 2026'!$I:$I,'BALANCE 2026'!$C:$C,"CF")-(SUMIFS('BALANCE 2026'!$H:$H,'BALANCE 2026'!$C:$C,"CF"))</f>
        <v>2000000</v>
      </c>
      <c r="F37" s="15" t="n">
        <f aca="false">SUMIFS('BALANCE 2027'!$I:$I,'BALANCE 2027'!$C:$C,"CF")-(SUMIFS('BALANCE 2027'!$H:$H,'BALANCE 2027'!$C:$C,"CF"))</f>
        <v>2000000</v>
      </c>
      <c r="G37" s="15" t="n">
        <f aca="false">SUMIFS('BALANCE 2028'!$I:$I,'BALANCE 2028'!$C:$C,"CF")-(SUMIFS('BALANCE 2028'!$H:$H,'BALANCE 2028'!$C:$C,"CF"))</f>
        <v>2000000</v>
      </c>
      <c r="H37" s="15" t="n">
        <f aca="false">SUMIFS('BALANCE 2029'!$I:$I,'BALANCE 2029'!$C:$C,"CF")-(SUMIFS('BALANCE 2029'!$H:$H,'BALANCE 2029'!$C:$C,"CF"))</f>
        <v>2000000</v>
      </c>
    </row>
    <row r="38" customFormat="false" ht="15" hidden="false" customHeight="false" outlineLevel="0" collapsed="false">
      <c r="A38" s="13" t="s">
        <v>476</v>
      </c>
      <c r="B38" s="12" t="s">
        <v>477</v>
      </c>
      <c r="C38" s="15" t="n">
        <f aca="false">SUMIFS('BALANCE 2024'!$I:$I,'BALANCE 2024'!$C:$C,"CG")-(SUMIFS('BALANCE 2024'!$H:$H,'BALANCE 2024'!$C:$C,"CG"))</f>
        <v>0</v>
      </c>
      <c r="D38" s="15" t="n">
        <f aca="false">SUMIFS('BALANCE 2025'!$I:$I,'BALANCE 2025'!$C:$C,"CG")-(SUMIFS('BALANCE 2025'!$H:$H,'BALANCE 2025'!$C:$C,"CG"))</f>
        <v>0</v>
      </c>
      <c r="E38" s="15" t="n">
        <f aca="false">SUMIFS('BALANCE 2026'!$I:$I,'BALANCE 2026'!$C:$C,"CG")-(SUMIFS('BALANCE 2026'!$H:$H,'BALANCE 2026'!$C:$C,"CG"))</f>
        <v>0</v>
      </c>
      <c r="F38" s="15" t="n">
        <f aca="false">SUMIFS('BALANCE 2027'!$I:$I,'BALANCE 2027'!$C:$C,"CG")-(SUMIFS('BALANCE 2027'!$H:$H,'BALANCE 2027'!$C:$C,"CG"))</f>
        <v>0</v>
      </c>
      <c r="G38" s="15" t="n">
        <f aca="false">SUMIFS('BALANCE 2028'!$I:$I,'BALANCE 2028'!$C:$C,"CG")-(SUMIFS('BALANCE 2028'!$H:$H,'BALANCE 2028'!$C:$C,"CG"))</f>
        <v>0</v>
      </c>
      <c r="H38" s="15" t="n">
        <f aca="false">SUMIFS('BALANCE 2029'!$I:$I,'BALANCE 2029'!$C:$C,"CG")-(SUMIFS('BALANCE 2029'!$H:$H,'BALANCE 2029'!$C:$C,"CG"))</f>
        <v>0</v>
      </c>
    </row>
    <row r="39" customFormat="false" ht="15" hidden="false" customHeight="false" outlineLevel="0" collapsed="false">
      <c r="A39" s="13" t="s">
        <v>278</v>
      </c>
      <c r="B39" s="12" t="s">
        <v>478</v>
      </c>
      <c r="C39" s="15" t="n">
        <f aca="false">SUMIFS('BALANCE 2024'!$I:$I,'BALANCE 2024'!$C:$C,"CH")-(SUMIFS('BALANCE 2024'!$H:$H,'BALANCE 2024'!$C:$C,"CH"))</f>
        <v>773799851</v>
      </c>
      <c r="D39" s="15" t="n">
        <f aca="false">SUMIFS('BALANCE 2025'!$I:$I,'BALANCE 2025'!$C:$C,"CH")-(SUMIFS('BALANCE 2025'!$H:$H,'BALANCE 2025'!$C:$C,"CH"))</f>
        <v>844498728</v>
      </c>
      <c r="E39" s="15" t="n">
        <f aca="false">SUMIFS('BALANCE 2026'!$I:$I,'BALANCE 2026'!$C:$C,"CH")-(SUMIFS('BALANCE 2026'!$H:$H,'BALANCE 2026'!$C:$C,"CH"))</f>
        <v>937013596</v>
      </c>
      <c r="F39" s="15" t="n">
        <f aca="false">SUMIFS('BALANCE 2027'!$I:$I,'BALANCE 2027'!$C:$C,"CH")-(SUMIFS('BALANCE 2027'!$H:$H,'BALANCE 2027'!$C:$C,"CH"))</f>
        <v>1016549422</v>
      </c>
      <c r="G39" s="15" t="n">
        <f aca="false">SUMIFS('BALANCE 2028'!$I:$I,'BALANCE 2028'!$C:$C,"CH")-(SUMIFS('BALANCE 2028'!$H:$H,'BALANCE 2028'!$C:$C,"CH"))</f>
        <v>1100519406</v>
      </c>
      <c r="H39" s="15" t="n">
        <f aca="false">SUMIFS('BALANCE 2029'!$I:$I,'BALANCE 2029'!$C:$C,"CH")-(SUMIFS('BALANCE 2029'!$H:$H,'BALANCE 2029'!$C:$C,"CH"))</f>
        <v>1193162455</v>
      </c>
    </row>
    <row r="40" customFormat="false" ht="15" hidden="false" customHeight="false" outlineLevel="0" collapsed="false">
      <c r="A40" s="13" t="s">
        <v>479</v>
      </c>
      <c r="B40" s="12" t="s">
        <v>480</v>
      </c>
      <c r="C40" s="15" t="n">
        <f aca="false">'COMPTE DE RESULTAT'!C47</f>
        <v>72698877</v>
      </c>
      <c r="D40" s="15" t="n">
        <f aca="false">'COMPTE DE RESULTAT'!D47</f>
        <v>92514868</v>
      </c>
      <c r="E40" s="15" t="n">
        <f aca="false">'COMPTE DE RESULTAT'!E47</f>
        <v>79535826</v>
      </c>
      <c r="F40" s="15" t="n">
        <f aca="false">'COMPTE DE RESULTAT'!F47</f>
        <v>83969984</v>
      </c>
      <c r="G40" s="15" t="n">
        <f aca="false">'COMPTE DE RESULTAT'!G47</f>
        <v>92643049</v>
      </c>
      <c r="H40" s="15" t="n">
        <f aca="false">'COMPTE DE RESULTAT'!H47</f>
        <v>98851848</v>
      </c>
    </row>
    <row r="41" customFormat="false" ht="15" hidden="false" customHeight="false" outlineLevel="0" collapsed="false">
      <c r="A41" s="13" t="s">
        <v>481</v>
      </c>
      <c r="B41" s="12" t="s">
        <v>482</v>
      </c>
      <c r="C41" s="15" t="n">
        <f aca="false">SUMIFS('BALANCE 2024'!$I:$I,'BALANCE 2024'!$C:$C,"CL")-(SUMIFS('BALANCE 2024'!$H:$H,'BALANCE 2024'!$C:$C,"CL"))</f>
        <v>0</v>
      </c>
      <c r="D41" s="15" t="n">
        <f aca="false">SUMIFS('BALANCE 2025'!$I:$I,'BALANCE 2025'!$C:$C,"CL")-(SUMIFS('BALANCE 2025'!$H:$H,'BALANCE 2025'!$C:$C,"CL"))</f>
        <v>0</v>
      </c>
      <c r="E41" s="15" t="n">
        <f aca="false">SUMIFS('BALANCE 2026'!$I:$I,'BALANCE 2026'!$C:$C,"CL")-(SUMIFS('BALANCE 2026'!$H:$H,'BALANCE 2026'!$C:$C,"CL"))</f>
        <v>0</v>
      </c>
      <c r="F41" s="15" t="n">
        <f aca="false">SUMIFS('BALANCE 2027'!$I:$I,'BALANCE 2027'!$C:$C,"CL")-(SUMIFS('BALANCE 2027'!$H:$H,'BALANCE 2027'!$C:$C,"CL"))</f>
        <v>0</v>
      </c>
      <c r="G41" s="15" t="n">
        <f aca="false">SUMIFS('BALANCE 2028'!$I:$I,'BALANCE 2028'!$C:$C,"CL")-(SUMIFS('BALANCE 2028'!$H:$H,'BALANCE 2028'!$C:$C,"CL"))</f>
        <v>0</v>
      </c>
      <c r="H41" s="15" t="n">
        <f aca="false">SUMIFS('BALANCE 2029'!$I:$I,'BALANCE 2029'!$C:$C,"CL")-(SUMIFS('BALANCE 2029'!$H:$H,'BALANCE 2029'!$C:$C,"CL"))</f>
        <v>0</v>
      </c>
    </row>
    <row r="42" customFormat="false" ht="15" hidden="false" customHeight="false" outlineLevel="0" collapsed="false">
      <c r="A42" s="13" t="s">
        <v>483</v>
      </c>
      <c r="B42" s="12" t="s">
        <v>484</v>
      </c>
      <c r="C42" s="15" t="n">
        <f aca="false">SUMIFS('BALANCE 2024'!$I:$I,'BALANCE 2024'!$C:$C,"CM")-(SUMIFS('BALANCE 2024'!$H:$H,'BALANCE 2024'!$C:$C,"CM"))</f>
        <v>0</v>
      </c>
      <c r="D42" s="15" t="n">
        <f aca="false">SUMIFS('BALANCE 2025'!$I:$I,'BALANCE 2025'!$C:$C,"CM")-(SUMIFS('BALANCE 2025'!$H:$H,'BALANCE 2025'!$C:$C,"CM"))</f>
        <v>0</v>
      </c>
      <c r="E42" s="15" t="n">
        <f aca="false">SUMIFS('BALANCE 2026'!$I:$I,'BALANCE 2026'!$C:$C,"CM")-(SUMIFS('BALANCE 2026'!$H:$H,'BALANCE 2026'!$C:$C,"CM"))</f>
        <v>0</v>
      </c>
      <c r="F42" s="15" t="n">
        <f aca="false">SUMIFS('BALANCE 2027'!$I:$I,'BALANCE 2027'!$C:$C,"CM")-(SUMIFS('BALANCE 2027'!$H:$H,'BALANCE 2027'!$C:$C,"CM"))</f>
        <v>0</v>
      </c>
      <c r="G42" s="15" t="n">
        <f aca="false">SUMIFS('BALANCE 2028'!$I:$I,'BALANCE 2028'!$C:$C,"CM")-(SUMIFS('BALANCE 2028'!$H:$H,'BALANCE 2028'!$C:$C,"CM"))</f>
        <v>0</v>
      </c>
      <c r="H42" s="15" t="n">
        <f aca="false">SUMIFS('BALANCE 2029'!$I:$I,'BALANCE 2029'!$C:$C,"CM")-(SUMIFS('BALANCE 2029'!$H:$H,'BALANCE 2029'!$C:$C,"CM"))</f>
        <v>0</v>
      </c>
    </row>
    <row r="43" customFormat="false" ht="15" hidden="false" customHeight="false" outlineLevel="0" collapsed="false">
      <c r="A43" s="33" t="s">
        <v>485</v>
      </c>
      <c r="B43" s="33" t="s">
        <v>486</v>
      </c>
      <c r="C43" s="34" t="n">
        <f aca="false">C33+C34+C35+C36+C37+C38+C39+C40+C41+C42</f>
        <v>856498728</v>
      </c>
      <c r="D43" s="34" t="n">
        <f aca="false">D33+D34+D35+D36+D37+D38+D39+D40+D41+D42</f>
        <v>949013596</v>
      </c>
      <c r="E43" s="34" t="n">
        <f aca="false">E33+E34+E35+E36+E37+E38+E39+E40+E41+E42</f>
        <v>1028549422</v>
      </c>
      <c r="F43" s="34" t="n">
        <f aca="false">F33+F34+F35+F36+F37+F38+F39+F40+F41+F42</f>
        <v>1112519406</v>
      </c>
      <c r="G43" s="34" t="n">
        <f aca="false">G33+G34+G35+G36+G37+G38+G39+G40+G41+G42</f>
        <v>1205162455</v>
      </c>
      <c r="H43" s="34" t="n">
        <f aca="false">H33+H34+H35+H36+H37+H38+H39+H40+H41+H42</f>
        <v>1304014303</v>
      </c>
      <c r="I43" s="46" t="n">
        <f aca="false">IF(OR(C43&lt;=0,H43&lt;=0),"",(H43/C43)^(1/5)-1)</f>
        <v>0.0877050040291261</v>
      </c>
    </row>
    <row r="44" customFormat="false" ht="15" hidden="false" customHeight="false" outlineLevel="0" collapsed="false">
      <c r="A44" s="13" t="s">
        <v>213</v>
      </c>
      <c r="B44" s="12" t="s">
        <v>487</v>
      </c>
      <c r="C44" s="15" t="n">
        <f aca="false">SUMIFS('BALANCE 2024'!$I:$I,'BALANCE 2024'!$C:$C,"DA")-(SUMIFS('BALANCE 2024'!$H:$H,'BALANCE 2024'!$C:$C,"DA"))</f>
        <v>39658832</v>
      </c>
      <c r="D44" s="15" t="n">
        <f aca="false">SUMIFS('BALANCE 2025'!$I:$I,'BALANCE 2025'!$C:$C,"DA")-(SUMIFS('BALANCE 2025'!$H:$H,'BALANCE 2025'!$C:$C,"DA"))</f>
        <v>0</v>
      </c>
      <c r="E44" s="15" t="n">
        <f aca="false">SUMIFS('BALANCE 2026'!$I:$I,'BALANCE 2026'!$C:$C,"DA")-(SUMIFS('BALANCE 2026'!$H:$H,'BALANCE 2026'!$C:$C,"DA"))</f>
        <v>0</v>
      </c>
      <c r="F44" s="15" t="n">
        <f aca="false">SUMIFS('BALANCE 2027'!$I:$I,'BALANCE 2027'!$C:$C,"DA")-(SUMIFS('BALANCE 2027'!$H:$H,'BALANCE 2027'!$C:$C,"DA"))</f>
        <v>0</v>
      </c>
      <c r="G44" s="15" t="n">
        <f aca="false">SUMIFS('BALANCE 2028'!$I:$I,'BALANCE 2028'!$C:$C,"DA")-(SUMIFS('BALANCE 2028'!$H:$H,'BALANCE 2028'!$C:$C,"DA"))</f>
        <v>0</v>
      </c>
      <c r="H44" s="15" t="n">
        <f aca="false">SUMIFS('BALANCE 2029'!$I:$I,'BALANCE 2029'!$C:$C,"DA")-(SUMIFS('BALANCE 2029'!$H:$H,'BALANCE 2029'!$C:$C,"DA"))</f>
        <v>0</v>
      </c>
    </row>
    <row r="45" customFormat="false" ht="15" hidden="false" customHeight="false" outlineLevel="0" collapsed="false">
      <c r="A45" s="13" t="s">
        <v>216</v>
      </c>
      <c r="B45" s="12" t="s">
        <v>288</v>
      </c>
      <c r="C45" s="15" t="n">
        <f aca="false">SUMIFS('BALANCE 2024'!$I:$I,'BALANCE 2024'!$C:$C,"DB")-(SUMIFS('BALANCE 2024'!$H:$H,'BALANCE 2024'!$C:$C,"DB"))</f>
        <v>10619694</v>
      </c>
      <c r="D45" s="15" t="n">
        <f aca="false">SUMIFS('BALANCE 2025'!$I:$I,'BALANCE 2025'!$C:$C,"DB")-(SUMIFS('BALANCE 2025'!$H:$H,'BALANCE 2025'!$C:$C,"DB"))</f>
        <v>0</v>
      </c>
      <c r="E45" s="15" t="n">
        <f aca="false">SUMIFS('BALANCE 2026'!$I:$I,'BALANCE 2026'!$C:$C,"DB")-(SUMIFS('BALANCE 2026'!$H:$H,'BALANCE 2026'!$C:$C,"DB"))</f>
        <v>0</v>
      </c>
      <c r="F45" s="15" t="n">
        <f aca="false">SUMIFS('BALANCE 2027'!$I:$I,'BALANCE 2027'!$C:$C,"DB")-(SUMIFS('BALANCE 2027'!$H:$H,'BALANCE 2027'!$C:$C,"DB"))</f>
        <v>0</v>
      </c>
      <c r="G45" s="15" t="n">
        <f aca="false">SUMIFS('BALANCE 2028'!$I:$I,'BALANCE 2028'!$C:$C,"DB")-(SUMIFS('BALANCE 2028'!$H:$H,'BALANCE 2028'!$C:$C,"DB"))</f>
        <v>0</v>
      </c>
      <c r="H45" s="15" t="n">
        <f aca="false">SUMIFS('BALANCE 2029'!$I:$I,'BALANCE 2029'!$C:$C,"DB")-(SUMIFS('BALANCE 2029'!$H:$H,'BALANCE 2029'!$C:$C,"DB"))</f>
        <v>0</v>
      </c>
    </row>
    <row r="46" customFormat="false" ht="15" hidden="false" customHeight="false" outlineLevel="0" collapsed="false">
      <c r="A46" s="13" t="s">
        <v>292</v>
      </c>
      <c r="B46" s="12" t="s">
        <v>488</v>
      </c>
      <c r="C46" s="15" t="n">
        <f aca="false">SUMIFS('BALANCE 2024'!$I:$I,'BALANCE 2024'!$C:$C,"DC")-(SUMIFS('BALANCE 2024'!$H:$H,'BALANCE 2024'!$C:$C,"DC"))</f>
        <v>21273896</v>
      </c>
      <c r="D46" s="15" t="n">
        <f aca="false">SUMIFS('BALANCE 2025'!$I:$I,'BALANCE 2025'!$C:$C,"DC")-(SUMIFS('BALANCE 2025'!$H:$H,'BALANCE 2025'!$C:$C,"DC"))</f>
        <v>28219479</v>
      </c>
      <c r="E46" s="15" t="n">
        <f aca="false">SUMIFS('BALANCE 2026'!$I:$I,'BALANCE 2026'!$C:$C,"DC")-(SUMIFS('BALANCE 2026'!$H:$H,'BALANCE 2026'!$C:$C,"DC"))</f>
        <v>35030327</v>
      </c>
      <c r="F46" s="15" t="n">
        <f aca="false">SUMIFS('BALANCE 2027'!$I:$I,'BALANCE 2027'!$C:$C,"DC")-(SUMIFS('BALANCE 2027'!$H:$H,'BALANCE 2027'!$C:$C,"DC"))</f>
        <v>42181718</v>
      </c>
      <c r="G46" s="15" t="n">
        <f aca="false">SUMIFS('BALANCE 2028'!$I:$I,'BALANCE 2028'!$C:$C,"DC")-(SUMIFS('BALANCE 2028'!$H:$H,'BALANCE 2028'!$C:$C,"DC"))</f>
        <v>49690678</v>
      </c>
      <c r="H46" s="15" t="n">
        <f aca="false">SUMIFS('BALANCE 2029'!$I:$I,'BALANCE 2029'!$C:$C,"DC")-(SUMIFS('BALANCE 2029'!$H:$H,'BALANCE 2029'!$C:$C,"DC"))</f>
        <v>57575086</v>
      </c>
    </row>
    <row r="47" customFormat="false" ht="15" hidden="false" customHeight="false" outlineLevel="0" collapsed="false">
      <c r="A47" s="33" t="s">
        <v>489</v>
      </c>
      <c r="B47" s="33" t="s">
        <v>490</v>
      </c>
      <c r="C47" s="34" t="n">
        <f aca="false">C44+C45+C46</f>
        <v>71552422</v>
      </c>
      <c r="D47" s="34" t="n">
        <f aca="false">D44+D45+D46</f>
        <v>28219479</v>
      </c>
      <c r="E47" s="34" t="n">
        <f aca="false">E44+E45+E46</f>
        <v>35030327</v>
      </c>
      <c r="F47" s="34" t="n">
        <f aca="false">F44+F45+F46</f>
        <v>42181718</v>
      </c>
      <c r="G47" s="34" t="n">
        <f aca="false">G44+G45+G46</f>
        <v>49690678</v>
      </c>
      <c r="H47" s="34" t="n">
        <f aca="false">H44+H45+H46</f>
        <v>57575086</v>
      </c>
      <c r="I47" s="32"/>
    </row>
    <row r="48" customFormat="false" ht="15" hidden="false" customHeight="false" outlineLevel="0" collapsed="false">
      <c r="A48" s="33" t="s">
        <v>491</v>
      </c>
      <c r="B48" s="33" t="s">
        <v>492</v>
      </c>
      <c r="C48" s="34" t="n">
        <f aca="false">C43+C47</f>
        <v>928051150</v>
      </c>
      <c r="D48" s="34" t="n">
        <f aca="false">D43+D47</f>
        <v>977233075</v>
      </c>
      <c r="E48" s="34" t="n">
        <f aca="false">E43+E47</f>
        <v>1063579749</v>
      </c>
      <c r="F48" s="34" t="n">
        <f aca="false">F43+F47</f>
        <v>1154701124</v>
      </c>
      <c r="G48" s="34" t="n">
        <f aca="false">G43+G47</f>
        <v>1254853133</v>
      </c>
      <c r="H48" s="34" t="n">
        <f aca="false">H43+H47</f>
        <v>1361589389</v>
      </c>
      <c r="I48" s="32"/>
    </row>
    <row r="49" customFormat="false" ht="15" hidden="false" customHeight="false" outlineLevel="0" collapsed="false">
      <c r="A49" s="13" t="s">
        <v>345</v>
      </c>
      <c r="B49" s="12" t="s">
        <v>493</v>
      </c>
      <c r="C49" s="15" t="n">
        <f aca="false">SUMIFS('BALANCE 2024'!$I:$I,'BALANCE 2024'!$C:$C,"DH")-(SUMIFS('BALANCE 2024'!$H:$H,'BALANCE 2024'!$C:$C,"DH"))</f>
        <v>132896547</v>
      </c>
      <c r="D49" s="15" t="n">
        <f aca="false">SUMIFS('BALANCE 2025'!$I:$I,'BALANCE 2025'!$C:$C,"DH")-(SUMIFS('BALANCE 2025'!$H:$H,'BALANCE 2025'!$C:$C,"DH"))</f>
        <v>112329854</v>
      </c>
      <c r="E49" s="15" t="n">
        <f aca="false">SUMIFS('BALANCE 2026'!$I:$I,'BALANCE 2026'!$C:$C,"DH")-(SUMIFS('BALANCE 2026'!$H:$H,'BALANCE 2026'!$C:$C,"DH"))</f>
        <v>92474039</v>
      </c>
      <c r="F49" s="15" t="n">
        <f aca="false">SUMIFS('BALANCE 2027'!$I:$I,'BALANCE 2027'!$C:$C,"DH")-(SUMIFS('BALANCE 2027'!$H:$H,'BALANCE 2027'!$C:$C,"DH"))</f>
        <v>65894730</v>
      </c>
      <c r="G49" s="15" t="n">
        <f aca="false">SUMIFS('BALANCE 2028'!$I:$I,'BALANCE 2028'!$C:$C,"DH")-(SUMIFS('BALANCE 2028'!$H:$H,'BALANCE 2028'!$C:$C,"DH"))</f>
        <v>53870976</v>
      </c>
      <c r="H49" s="15" t="n">
        <f aca="false">SUMIFS('BALANCE 2029'!$I:$I,'BALANCE 2029'!$C:$C,"DH")-(SUMIFS('BALANCE 2029'!$H:$H,'BALANCE 2029'!$C:$C,"DH"))</f>
        <v>12736111</v>
      </c>
    </row>
    <row r="50" customFormat="false" ht="15" hidden="false" customHeight="false" outlineLevel="0" collapsed="false">
      <c r="A50" s="13" t="s">
        <v>494</v>
      </c>
      <c r="B50" s="12" t="s">
        <v>495</v>
      </c>
      <c r="C50" s="15" t="n">
        <f aca="false">SUMIFS('BALANCE 2024'!$I:$I,'BALANCE 2024'!$C:$C,"DI")-(SUMIFS('BALANCE 2024'!$H:$H,'BALANCE 2024'!$C:$C,"DI"))</f>
        <v>0</v>
      </c>
      <c r="D50" s="15" t="n">
        <f aca="false">SUMIFS('BALANCE 2025'!$I:$I,'BALANCE 2025'!$C:$C,"DI")-(SUMIFS('BALANCE 2025'!$H:$H,'BALANCE 2025'!$C:$C,"DI"))</f>
        <v>0</v>
      </c>
      <c r="E50" s="15" t="n">
        <f aca="false">SUMIFS('BALANCE 2026'!$I:$I,'BALANCE 2026'!$C:$C,"DI")-(SUMIFS('BALANCE 2026'!$H:$H,'BALANCE 2026'!$C:$C,"DI"))</f>
        <v>0</v>
      </c>
      <c r="F50" s="15" t="n">
        <f aca="false">SUMIFS('BALANCE 2027'!$I:$I,'BALANCE 2027'!$C:$C,"DI")-(SUMIFS('BALANCE 2027'!$H:$H,'BALANCE 2027'!$C:$C,"DI"))</f>
        <v>0</v>
      </c>
      <c r="G50" s="15" t="n">
        <f aca="false">SUMIFS('BALANCE 2028'!$I:$I,'BALANCE 2028'!$C:$C,"DI")-(SUMIFS('BALANCE 2028'!$H:$H,'BALANCE 2028'!$C:$C,"DI"))</f>
        <v>0</v>
      </c>
      <c r="H50" s="15" t="n">
        <f aca="false">SUMIFS('BALANCE 2029'!$I:$I,'BALANCE 2029'!$C:$C,"DI")-(SUMIFS('BALANCE 2029'!$H:$H,'BALANCE 2029'!$C:$C,"DI"))</f>
        <v>0</v>
      </c>
    </row>
    <row r="51" customFormat="false" ht="15" hidden="false" customHeight="false" outlineLevel="0" collapsed="false">
      <c r="A51" s="13" t="s">
        <v>316</v>
      </c>
      <c r="B51" s="12" t="s">
        <v>496</v>
      </c>
      <c r="C51" s="15" t="n">
        <f aca="false">SUMIFS('BALANCE 2024'!$I:$I,'BALANCE 2024'!$C:$C,"DJ")-(SUMIFS('BALANCE 2024'!$H:$H,'BALANCE 2024'!$C:$C,"DJ"))</f>
        <v>72947866</v>
      </c>
      <c r="D51" s="15" t="n">
        <f aca="false">SUMIFS('BALANCE 2025'!$I:$I,'BALANCE 2025'!$C:$C,"DJ")-(SUMIFS('BALANCE 2025'!$H:$H,'BALANCE 2025'!$C:$C,"DJ"))</f>
        <v>71671232</v>
      </c>
      <c r="E51" s="15" t="n">
        <f aca="false">SUMIFS('BALANCE 2026'!$I:$I,'BALANCE 2026'!$C:$C,"DJ")-(SUMIFS('BALANCE 2026'!$H:$H,'BALANCE 2026'!$C:$C,"DJ"))</f>
        <v>81170835</v>
      </c>
      <c r="F51" s="15" t="n">
        <f aca="false">SUMIFS('BALANCE 2027'!$I:$I,'BALANCE 2027'!$C:$C,"DJ")-(SUMIFS('BALANCE 2027'!$H:$H,'BALANCE 2027'!$C:$C,"DJ"))</f>
        <v>85229377</v>
      </c>
      <c r="G51" s="15" t="n">
        <f aca="false">SUMIFS('BALANCE 2028'!$I:$I,'BALANCE 2028'!$C:$C,"DJ")-(SUMIFS('BALANCE 2028'!$H:$H,'BALANCE 2028'!$C:$C,"DJ"))</f>
        <v>89490846</v>
      </c>
      <c r="H51" s="15" t="n">
        <f aca="false">SUMIFS('BALANCE 2029'!$I:$I,'BALANCE 2029'!$C:$C,"DJ")-(SUMIFS('BALANCE 2029'!$H:$H,'BALANCE 2029'!$C:$C,"DJ"))</f>
        <v>93965388</v>
      </c>
    </row>
    <row r="52" customFormat="false" ht="15" hidden="false" customHeight="false" outlineLevel="0" collapsed="false">
      <c r="A52" s="13" t="s">
        <v>322</v>
      </c>
      <c r="B52" s="12" t="s">
        <v>497</v>
      </c>
      <c r="C52" s="15" t="n">
        <f aca="false">SUMIFS('BALANCE 2024'!$I:$I,'BALANCE 2024'!$C:$C,"DK")-(SUMIFS('BALANCE 2024'!$H:$H,'BALANCE 2024'!$C:$C,"DK"))</f>
        <v>102091109</v>
      </c>
      <c r="D52" s="15" t="n">
        <f aca="false">SUMIFS('BALANCE 2025'!$I:$I,'BALANCE 2025'!$C:$C,"DK")-(SUMIFS('BALANCE 2025'!$H:$H,'BALANCE 2025'!$C:$C,"DK"))</f>
        <v>111582734</v>
      </c>
      <c r="E52" s="15" t="n">
        <f aca="false">SUMIFS('BALANCE 2026'!$I:$I,'BALANCE 2026'!$C:$C,"DK")-(SUMIFS('BALANCE 2026'!$H:$H,'BALANCE 2026'!$C:$C,"DK"))</f>
        <v>112105839</v>
      </c>
      <c r="F52" s="15" t="n">
        <f aca="false">SUMIFS('BALANCE 2027'!$I:$I,'BALANCE 2027'!$C:$C,"DK")-(SUMIFS('BALANCE 2027'!$H:$H,'BALANCE 2027'!$C:$C,"DK"))</f>
        <v>117917104</v>
      </c>
      <c r="G52" s="15" t="n">
        <f aca="false">SUMIFS('BALANCE 2028'!$I:$I,'BALANCE 2028'!$C:$C,"DK")-(SUMIFS('BALANCE 2028'!$H:$H,'BALANCE 2028'!$C:$C,"DK"))</f>
        <v>125310901</v>
      </c>
      <c r="H52" s="15" t="n">
        <f aca="false">SUMIFS('BALANCE 2029'!$I:$I,'BALANCE 2029'!$C:$C,"DK")-(SUMIFS('BALANCE 2029'!$H:$H,'BALANCE 2029'!$C:$C,"DK"))</f>
        <v>132149087</v>
      </c>
    </row>
    <row r="53" customFormat="false" ht="15" hidden="false" customHeight="false" outlineLevel="0" collapsed="false">
      <c r="A53" s="13" t="s">
        <v>341</v>
      </c>
      <c r="B53" s="12" t="s">
        <v>498</v>
      </c>
      <c r="C53" s="15" t="n">
        <f aca="false">SUMIFS('BALANCE 2024'!$I:$I,'BALANCE 2024'!$C:$C,"DM")+SUMIFS('BALANCE 2024'!$I:$I,'BALANCE 2024'!$C:$C,"DMBJ")-(SUMIFS('BALANCE 2024'!$H:$H,'BALANCE 2024'!$C:$C,"DM"))</f>
        <v>3700000</v>
      </c>
      <c r="D53" s="15" t="n">
        <f aca="false">SUMIFS('BALANCE 2025'!$I:$I,'BALANCE 2025'!$C:$C,"DM")+SUMIFS('BALANCE 2025'!$I:$I,'BALANCE 2025'!$C:$C,"DMBJ")-(SUMIFS('BALANCE 2025'!$H:$H,'BALANCE 2025'!$C:$C,"DM"))</f>
        <v>0</v>
      </c>
      <c r="E53" s="15" t="n">
        <f aca="false">SUMIFS('BALANCE 2026'!$I:$I,'BALANCE 2026'!$C:$C,"DM")+SUMIFS('BALANCE 2026'!$I:$I,'BALANCE 2026'!$C:$C,"DMBJ")-(SUMIFS('BALANCE 2026'!$H:$H,'BALANCE 2026'!$C:$C,"DM"))</f>
        <v>0</v>
      </c>
      <c r="F53" s="15" t="n">
        <f aca="false">SUMIFS('BALANCE 2027'!$I:$I,'BALANCE 2027'!$C:$C,"DM")+SUMIFS('BALANCE 2027'!$I:$I,'BALANCE 2027'!$C:$C,"DMBJ")-(SUMIFS('BALANCE 2027'!$H:$H,'BALANCE 2027'!$C:$C,"DM"))</f>
        <v>0</v>
      </c>
      <c r="G53" s="15" t="n">
        <f aca="false">SUMIFS('BALANCE 2028'!$I:$I,'BALANCE 2028'!$C:$C,"DM")+SUMIFS('BALANCE 2028'!$I:$I,'BALANCE 2028'!$C:$C,"DMBJ")-(SUMIFS('BALANCE 2028'!$H:$H,'BALANCE 2028'!$C:$C,"DM"))</f>
        <v>0</v>
      </c>
      <c r="H53" s="15" t="n">
        <f aca="false">SUMIFS('BALANCE 2029'!$I:$I,'BALANCE 2029'!$C:$C,"DM")+SUMIFS('BALANCE 2029'!$I:$I,'BALANCE 2029'!$C:$C,"DMBJ")-(SUMIFS('BALANCE 2029'!$H:$H,'BALANCE 2029'!$C:$C,"DM"))</f>
        <v>0</v>
      </c>
    </row>
    <row r="54" customFormat="false" ht="15" hidden="false" customHeight="false" outlineLevel="0" collapsed="false">
      <c r="A54" s="13" t="s">
        <v>499</v>
      </c>
      <c r="B54" s="12" t="s">
        <v>500</v>
      </c>
      <c r="C54" s="15" t="n">
        <f aca="false">SUMIFS('BALANCE 2024'!$I:$I,'BALANCE 2024'!$C:$C,"DN")-(SUMIFS('BALANCE 2024'!$H:$H,'BALANCE 2024'!$C:$C,"DN"))</f>
        <v>0</v>
      </c>
      <c r="D54" s="15" t="n">
        <f aca="false">SUMIFS('BALANCE 2025'!$I:$I,'BALANCE 2025'!$C:$C,"DN")-(SUMIFS('BALANCE 2025'!$H:$H,'BALANCE 2025'!$C:$C,"DN"))</f>
        <v>0</v>
      </c>
      <c r="E54" s="15" t="n">
        <f aca="false">SUMIFS('BALANCE 2026'!$I:$I,'BALANCE 2026'!$C:$C,"DN")-(SUMIFS('BALANCE 2026'!$H:$H,'BALANCE 2026'!$C:$C,"DN"))</f>
        <v>0</v>
      </c>
      <c r="F54" s="15" t="n">
        <f aca="false">SUMIFS('BALANCE 2027'!$I:$I,'BALANCE 2027'!$C:$C,"DN")-(SUMIFS('BALANCE 2027'!$H:$H,'BALANCE 2027'!$C:$C,"DN"))</f>
        <v>0</v>
      </c>
      <c r="G54" s="15" t="n">
        <f aca="false">SUMIFS('BALANCE 2028'!$I:$I,'BALANCE 2028'!$C:$C,"DN")-(SUMIFS('BALANCE 2028'!$H:$H,'BALANCE 2028'!$C:$C,"DN"))</f>
        <v>0</v>
      </c>
      <c r="H54" s="15" t="n">
        <f aca="false">SUMIFS('BALANCE 2029'!$I:$I,'BALANCE 2029'!$C:$C,"DN")-(SUMIFS('BALANCE 2029'!$H:$H,'BALANCE 2029'!$C:$C,"DN"))</f>
        <v>0</v>
      </c>
    </row>
    <row r="55" customFormat="false" ht="15" hidden="false" customHeight="false" outlineLevel="0" collapsed="false">
      <c r="A55" s="33" t="s">
        <v>501</v>
      </c>
      <c r="B55" s="33" t="s">
        <v>502</v>
      </c>
      <c r="C55" s="34" t="n">
        <f aca="false">C49+C50+C51+C52+C53+C54</f>
        <v>311635522</v>
      </c>
      <c r="D55" s="34" t="n">
        <f aca="false">D49+D50+D51+D52+D53+D54</f>
        <v>295583820</v>
      </c>
      <c r="E55" s="34" t="n">
        <f aca="false">E49+E50+E51+E52+E53+E54</f>
        <v>285750713</v>
      </c>
      <c r="F55" s="34" t="n">
        <f aca="false">F49+F50+F51+F52+F53+F54</f>
        <v>269041211</v>
      </c>
      <c r="G55" s="34" t="n">
        <f aca="false">G49+G50+G51+G52+G53+G54</f>
        <v>268672723</v>
      </c>
      <c r="H55" s="34" t="n">
        <f aca="false">H49+H50+H51+H52+H53+H54</f>
        <v>238850586</v>
      </c>
      <c r="I55" s="32"/>
    </row>
    <row r="56" customFormat="false" ht="15" hidden="false" customHeight="false" outlineLevel="0" collapsed="false">
      <c r="A56" s="13" t="s">
        <v>503</v>
      </c>
      <c r="B56" s="12" t="s">
        <v>504</v>
      </c>
      <c r="C56" s="15" t="n">
        <f aca="false">SUMIFS('BALANCE 2024'!$I:$I,'BALANCE 2024'!$C:$C,"DQ")-(SUMIFS('BALANCE 2024'!$H:$H,'BALANCE 2024'!$C:$C,"DQ"))</f>
        <v>0</v>
      </c>
      <c r="D56" s="15" t="n">
        <f aca="false">SUMIFS('BALANCE 2025'!$I:$I,'BALANCE 2025'!$C:$C,"DQ")-(SUMIFS('BALANCE 2025'!$H:$H,'BALANCE 2025'!$C:$C,"DQ"))</f>
        <v>0</v>
      </c>
      <c r="E56" s="15" t="n">
        <f aca="false">SUMIFS('BALANCE 2026'!$I:$I,'BALANCE 2026'!$C:$C,"DQ")-(SUMIFS('BALANCE 2026'!$H:$H,'BALANCE 2026'!$C:$C,"DQ"))</f>
        <v>0</v>
      </c>
      <c r="F56" s="15" t="n">
        <f aca="false">SUMIFS('BALANCE 2027'!$I:$I,'BALANCE 2027'!$C:$C,"DQ")-(SUMIFS('BALANCE 2027'!$H:$H,'BALANCE 2027'!$C:$C,"DQ"))</f>
        <v>0</v>
      </c>
      <c r="G56" s="15" t="n">
        <f aca="false">SUMIFS('BALANCE 2028'!$I:$I,'BALANCE 2028'!$C:$C,"DQ")-(SUMIFS('BALANCE 2028'!$H:$H,'BALANCE 2028'!$C:$C,"DQ"))</f>
        <v>0</v>
      </c>
      <c r="H56" s="15" t="n">
        <f aca="false">SUMIFS('BALANCE 2029'!$I:$I,'BALANCE 2029'!$C:$C,"DQ")-(SUMIFS('BALANCE 2029'!$H:$H,'BALANCE 2029'!$C:$C,"DQ"))</f>
        <v>0</v>
      </c>
    </row>
    <row r="57" customFormat="false" ht="15" hidden="false" customHeight="false" outlineLevel="0" collapsed="false">
      <c r="A57" s="13" t="s">
        <v>505</v>
      </c>
      <c r="B57" s="12" t="s">
        <v>506</v>
      </c>
      <c r="C57" s="15" t="n">
        <f aca="false">SUMIFS('BALANCE 2024'!$I:$I,'BALANCE 2024'!$C:$C,"DR")+SUMIFS('BALANCE 2024'!$I:$I,'BALANCE 2024'!$C:$C,"TRESO")-(SUMIFS('BALANCE 2024'!$H:$H,'BALANCE 2024'!$C:$C,"DR"))</f>
        <v>0</v>
      </c>
      <c r="D57" s="15" t="n">
        <f aca="false">SUMIFS('BALANCE 2025'!$I:$I,'BALANCE 2025'!$C:$C,"DR")+SUMIFS('BALANCE 2025'!$I:$I,'BALANCE 2025'!$C:$C,"TRESO")-(SUMIFS('BALANCE 2025'!$H:$H,'BALANCE 2025'!$C:$C,"DR"))</f>
        <v>0</v>
      </c>
      <c r="E57" s="15" t="n">
        <f aca="false">SUMIFS('BALANCE 2026'!$I:$I,'BALANCE 2026'!$C:$C,"DR")+SUMIFS('BALANCE 2026'!$I:$I,'BALANCE 2026'!$C:$C,"TRESO")-(SUMIFS('BALANCE 2026'!$H:$H,'BALANCE 2026'!$C:$C,"DR"))</f>
        <v>0</v>
      </c>
      <c r="F57" s="15" t="n">
        <f aca="false">SUMIFS('BALANCE 2027'!$I:$I,'BALANCE 2027'!$C:$C,"DR")+SUMIFS('BALANCE 2027'!$I:$I,'BALANCE 2027'!$C:$C,"TRESO")-(SUMIFS('BALANCE 2027'!$H:$H,'BALANCE 2027'!$C:$C,"DR"))</f>
        <v>0</v>
      </c>
      <c r="G57" s="15" t="n">
        <f aca="false">SUMIFS('BALANCE 2028'!$I:$I,'BALANCE 2028'!$C:$C,"DR")+SUMIFS('BALANCE 2028'!$I:$I,'BALANCE 2028'!$C:$C,"TRESO")-(SUMIFS('BALANCE 2028'!$H:$H,'BALANCE 2028'!$C:$C,"DR"))</f>
        <v>0</v>
      </c>
      <c r="H57" s="15" t="n">
        <f aca="false">SUMIFS('BALANCE 2029'!$I:$I,'BALANCE 2029'!$C:$C,"DR")+SUMIFS('BALANCE 2029'!$I:$I,'BALANCE 2029'!$C:$C,"TRESO")-(SUMIFS('BALANCE 2029'!$H:$H,'BALANCE 2029'!$C:$C,"DR"))</f>
        <v>0</v>
      </c>
    </row>
    <row r="58" customFormat="false" ht="15" hidden="false" customHeight="false" outlineLevel="0" collapsed="false">
      <c r="A58" s="33" t="s">
        <v>507</v>
      </c>
      <c r="B58" s="33" t="s">
        <v>508</v>
      </c>
      <c r="C58" s="34" t="n">
        <f aca="false">C56+C57</f>
        <v>0</v>
      </c>
      <c r="D58" s="34" t="n">
        <f aca="false">D56+D57</f>
        <v>0</v>
      </c>
      <c r="E58" s="34" t="n">
        <f aca="false">E56+E57</f>
        <v>0</v>
      </c>
      <c r="F58" s="34" t="n">
        <f aca="false">F56+F57</f>
        <v>0</v>
      </c>
      <c r="G58" s="34" t="n">
        <f aca="false">G56+G57</f>
        <v>0</v>
      </c>
      <c r="H58" s="34" t="n">
        <f aca="false">H56+H57</f>
        <v>0</v>
      </c>
      <c r="I58" s="32"/>
    </row>
    <row r="59" customFormat="false" ht="15" hidden="false" customHeight="false" outlineLevel="0" collapsed="false">
      <c r="A59" s="13" t="s">
        <v>509</v>
      </c>
      <c r="B59" s="12" t="s">
        <v>510</v>
      </c>
      <c r="C59" s="15" t="n">
        <f aca="false">SUMIFS('BALANCE 2024'!$I:$I,'BALANCE 2024'!$C:$C,"DV")-(SUMIFS('BALANCE 2024'!$H:$H,'BALANCE 2024'!$C:$C,"DV"))</f>
        <v>0</v>
      </c>
      <c r="D59" s="15" t="n">
        <f aca="false">SUMIFS('BALANCE 2025'!$I:$I,'BALANCE 2025'!$C:$C,"DV")-(SUMIFS('BALANCE 2025'!$H:$H,'BALANCE 2025'!$C:$C,"DV"))</f>
        <v>0</v>
      </c>
      <c r="E59" s="15" t="n">
        <f aca="false">SUMIFS('BALANCE 2026'!$I:$I,'BALANCE 2026'!$C:$C,"DV")-(SUMIFS('BALANCE 2026'!$H:$H,'BALANCE 2026'!$C:$C,"DV"))</f>
        <v>0</v>
      </c>
      <c r="F59" s="15" t="n">
        <f aca="false">SUMIFS('BALANCE 2027'!$I:$I,'BALANCE 2027'!$C:$C,"DV")-(SUMIFS('BALANCE 2027'!$H:$H,'BALANCE 2027'!$C:$C,"DV"))</f>
        <v>0</v>
      </c>
      <c r="G59" s="15" t="n">
        <f aca="false">SUMIFS('BALANCE 2028'!$I:$I,'BALANCE 2028'!$C:$C,"DV")-(SUMIFS('BALANCE 2028'!$H:$H,'BALANCE 2028'!$C:$C,"DV"))</f>
        <v>0</v>
      </c>
      <c r="H59" s="15" t="n">
        <f aca="false">SUMIFS('BALANCE 2029'!$I:$I,'BALANCE 2029'!$C:$C,"DV")-(SUMIFS('BALANCE 2029'!$H:$H,'BALANCE 2029'!$C:$C,"DV"))</f>
        <v>0</v>
      </c>
    </row>
    <row r="60" customFormat="false" ht="15" hidden="false" customHeight="false" outlineLevel="0" collapsed="false">
      <c r="A60" s="33" t="s">
        <v>511</v>
      </c>
      <c r="B60" s="33" t="s">
        <v>512</v>
      </c>
      <c r="C60" s="34" t="n">
        <f aca="false">C48+C55+C58+C59</f>
        <v>1239686672</v>
      </c>
      <c r="D60" s="34" t="n">
        <f aca="false">D48+D55+D58+D59</f>
        <v>1272816895</v>
      </c>
      <c r="E60" s="34" t="n">
        <f aca="false">E48+E55+E58+E59</f>
        <v>1349330462</v>
      </c>
      <c r="F60" s="34" t="n">
        <f aca="false">F48+F55+F58+F59</f>
        <v>1423742335</v>
      </c>
      <c r="G60" s="34" t="n">
        <f aca="false">G48+G55+G58+G59</f>
        <v>1523525856</v>
      </c>
      <c r="H60" s="34" t="n">
        <f aca="false">H48+H55+H58+H59</f>
        <v>1600439975</v>
      </c>
      <c r="I60" s="46" t="n">
        <f aca="false">IF(OR(C60&lt;=0,H60&lt;=0),"",(H60/C60)^(1/5)-1)</f>
        <v>0.0524112735972226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513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514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9" t="s">
        <v>423</v>
      </c>
      <c r="B5" s="29" t="s">
        <v>515</v>
      </c>
      <c r="C5" s="29" t="str">
        <f aca="false">"Réel "&amp;HYPOTHESES!$C$5</f>
        <v>Réel 2024</v>
      </c>
      <c r="D5" s="45" t="n">
        <f aca="false">HYPOTHESES!$C$5+1</f>
        <v>2025</v>
      </c>
      <c r="E5" s="45" t="n">
        <f aca="false">HYPOTHESES!$C$5+2</f>
        <v>2026</v>
      </c>
      <c r="F5" s="45" t="n">
        <f aca="false">HYPOTHESES!$C$5+3</f>
        <v>2027</v>
      </c>
      <c r="G5" s="45" t="n">
        <f aca="false">HYPOTHESES!$C$5+4</f>
        <v>2028</v>
      </c>
      <c r="H5" s="45" t="n">
        <f aca="false">HYPOTHESES!$C$5+5</f>
        <v>2029</v>
      </c>
      <c r="I5" s="29" t="s">
        <v>425</v>
      </c>
    </row>
    <row r="6" customFormat="false" ht="15" hidden="false" customHeight="false" outlineLevel="0" collapsed="false">
      <c r="A6" s="13" t="s">
        <v>516</v>
      </c>
      <c r="B6" s="12" t="s">
        <v>517</v>
      </c>
      <c r="C6" s="15" t="n">
        <f aca="false">SUMIFS('BALANCE 2024'!$I:$I,'BALANCE 2024'!$C:$C,"TA")-(SUMIFS('BALANCE 2024'!$H:$H,'BALANCE 2024'!$C:$C,"TA"))</f>
        <v>0</v>
      </c>
      <c r="D6" s="15" t="n">
        <f aca="false">SUMIFS('BALANCE 2025'!$I:$I,'BALANCE 2025'!$C:$C,"TA")-(SUMIFS('BALANCE 2025'!$H:$H,'BALANCE 2025'!$C:$C,"TA"))</f>
        <v>0</v>
      </c>
      <c r="E6" s="15" t="n">
        <f aca="false">SUMIFS('BALANCE 2026'!$I:$I,'BALANCE 2026'!$C:$C,"TA")-(SUMIFS('BALANCE 2026'!$H:$H,'BALANCE 2026'!$C:$C,"TA"))</f>
        <v>0</v>
      </c>
      <c r="F6" s="15" t="n">
        <f aca="false">SUMIFS('BALANCE 2027'!$I:$I,'BALANCE 2027'!$C:$C,"TA")-(SUMIFS('BALANCE 2027'!$H:$H,'BALANCE 2027'!$C:$C,"TA"))</f>
        <v>0</v>
      </c>
      <c r="G6" s="15" t="n">
        <f aca="false">SUMIFS('BALANCE 2028'!$I:$I,'BALANCE 2028'!$C:$C,"TA")-(SUMIFS('BALANCE 2028'!$H:$H,'BALANCE 2028'!$C:$C,"TA"))</f>
        <v>0</v>
      </c>
      <c r="H6" s="15" t="n">
        <f aca="false">SUMIFS('BALANCE 2029'!$I:$I,'BALANCE 2029'!$C:$C,"TA")-(SUMIFS('BALANCE 2029'!$H:$H,'BALANCE 2029'!$C:$C,"TA"))</f>
        <v>0</v>
      </c>
    </row>
    <row r="7" customFormat="false" ht="15" hidden="false" customHeight="false" outlineLevel="0" collapsed="false">
      <c r="A7" s="13" t="s">
        <v>518</v>
      </c>
      <c r="B7" s="12" t="s">
        <v>519</v>
      </c>
      <c r="C7" s="15" t="n">
        <f aca="false">SUMIFS('BALANCE 2024'!$I:$I,'BALANCE 2024'!$C:$C,"RA")-(SUMIFS('BALANCE 2024'!$H:$H,'BALANCE 2024'!$C:$C,"RA"))</f>
        <v>0</v>
      </c>
      <c r="D7" s="15" t="n">
        <f aca="false">SUMIFS('BALANCE 2025'!$I:$I,'BALANCE 2025'!$C:$C,"RA")-(SUMIFS('BALANCE 2025'!$H:$H,'BALANCE 2025'!$C:$C,"RA"))</f>
        <v>0</v>
      </c>
      <c r="E7" s="15" t="n">
        <f aca="false">SUMIFS('BALANCE 2026'!$I:$I,'BALANCE 2026'!$C:$C,"RA")-(SUMIFS('BALANCE 2026'!$H:$H,'BALANCE 2026'!$C:$C,"RA"))</f>
        <v>0</v>
      </c>
      <c r="F7" s="15" t="n">
        <f aca="false">SUMIFS('BALANCE 2027'!$I:$I,'BALANCE 2027'!$C:$C,"RA")-(SUMIFS('BALANCE 2027'!$H:$H,'BALANCE 2027'!$C:$C,"RA"))</f>
        <v>0</v>
      </c>
      <c r="G7" s="15" t="n">
        <f aca="false">SUMIFS('BALANCE 2028'!$I:$I,'BALANCE 2028'!$C:$C,"RA")-(SUMIFS('BALANCE 2028'!$H:$H,'BALANCE 2028'!$C:$C,"RA"))</f>
        <v>0</v>
      </c>
      <c r="H7" s="15" t="n">
        <f aca="false">SUMIFS('BALANCE 2029'!$I:$I,'BALANCE 2029'!$C:$C,"RA")-(SUMIFS('BALANCE 2029'!$H:$H,'BALANCE 2029'!$C:$C,"RA"))</f>
        <v>0</v>
      </c>
    </row>
    <row r="8" customFormat="false" ht="15" hidden="false" customHeight="false" outlineLevel="0" collapsed="false">
      <c r="A8" s="13" t="s">
        <v>520</v>
      </c>
      <c r="B8" s="12" t="s">
        <v>521</v>
      </c>
      <c r="C8" s="15" t="n">
        <f aca="false">SUMIFS('BALANCE 2024'!$I:$I,'BALANCE 2024'!$C:$C,"RB")-(SUMIFS('BALANCE 2024'!$H:$H,'BALANCE 2024'!$C:$C,"RB"))</f>
        <v>0</v>
      </c>
      <c r="D8" s="15" t="n">
        <f aca="false">SUMIFS('BALANCE 2025'!$I:$I,'BALANCE 2025'!$C:$C,"RB")-(SUMIFS('BALANCE 2025'!$H:$H,'BALANCE 2025'!$C:$C,"RB"))</f>
        <v>0</v>
      </c>
      <c r="E8" s="15" t="n">
        <f aca="false">SUMIFS('BALANCE 2026'!$I:$I,'BALANCE 2026'!$C:$C,"RB")-(SUMIFS('BALANCE 2026'!$H:$H,'BALANCE 2026'!$C:$C,"RB"))</f>
        <v>0</v>
      </c>
      <c r="F8" s="15" t="n">
        <f aca="false">SUMIFS('BALANCE 2027'!$I:$I,'BALANCE 2027'!$C:$C,"RB")-(SUMIFS('BALANCE 2027'!$H:$H,'BALANCE 2027'!$C:$C,"RB"))</f>
        <v>0</v>
      </c>
      <c r="G8" s="15" t="n">
        <f aca="false">SUMIFS('BALANCE 2028'!$I:$I,'BALANCE 2028'!$C:$C,"RB")-(SUMIFS('BALANCE 2028'!$H:$H,'BALANCE 2028'!$C:$C,"RB"))</f>
        <v>0</v>
      </c>
      <c r="H8" s="15" t="n">
        <f aca="false">SUMIFS('BALANCE 2029'!$I:$I,'BALANCE 2029'!$C:$C,"RB")-(SUMIFS('BALANCE 2029'!$H:$H,'BALANCE 2029'!$C:$C,"RB"))</f>
        <v>0</v>
      </c>
    </row>
    <row r="9" customFormat="false" ht="15" hidden="false" customHeight="false" outlineLevel="0" collapsed="false">
      <c r="A9" s="33" t="s">
        <v>522</v>
      </c>
      <c r="B9" s="33" t="s">
        <v>523</v>
      </c>
      <c r="C9" s="34" t="n">
        <f aca="false">C6+C7+C8</f>
        <v>0</v>
      </c>
      <c r="D9" s="34" t="n">
        <f aca="false">D6+D7+D8</f>
        <v>0</v>
      </c>
      <c r="E9" s="34" t="n">
        <f aca="false">E6+E7+E8</f>
        <v>0</v>
      </c>
      <c r="F9" s="34" t="n">
        <f aca="false">F6+F7+F8</f>
        <v>0</v>
      </c>
      <c r="G9" s="34" t="n">
        <f aca="false">G6+G7+G8</f>
        <v>0</v>
      </c>
      <c r="H9" s="34" t="n">
        <f aca="false">H6+H7+H8</f>
        <v>0</v>
      </c>
      <c r="I9" s="32"/>
    </row>
    <row r="10" customFormat="false" ht="15" hidden="false" customHeight="false" outlineLevel="0" collapsed="false">
      <c r="A10" s="13" t="s">
        <v>524</v>
      </c>
      <c r="B10" s="12" t="s">
        <v>525</v>
      </c>
      <c r="C10" s="15" t="n">
        <f aca="false">SUMIFS('BALANCE 2024'!$I:$I,'BALANCE 2024'!$C:$C,"TB")-(SUMIFS('BALANCE 2024'!$H:$H,'BALANCE 2024'!$C:$C,"TB"))</f>
        <v>0</v>
      </c>
      <c r="D10" s="15" t="n">
        <f aca="false">SUMIFS('BALANCE 2025'!$I:$I,'BALANCE 2025'!$C:$C,"TB")-(SUMIFS('BALANCE 2025'!$H:$H,'BALANCE 2025'!$C:$C,"TB"))</f>
        <v>0</v>
      </c>
      <c r="E10" s="15" t="n">
        <f aca="false">SUMIFS('BALANCE 2026'!$I:$I,'BALANCE 2026'!$C:$C,"TB")-(SUMIFS('BALANCE 2026'!$H:$H,'BALANCE 2026'!$C:$C,"TB"))</f>
        <v>0</v>
      </c>
      <c r="F10" s="15" t="n">
        <f aca="false">SUMIFS('BALANCE 2027'!$I:$I,'BALANCE 2027'!$C:$C,"TB")-(SUMIFS('BALANCE 2027'!$H:$H,'BALANCE 2027'!$C:$C,"TB"))</f>
        <v>0</v>
      </c>
      <c r="G10" s="15" t="n">
        <f aca="false">SUMIFS('BALANCE 2028'!$I:$I,'BALANCE 2028'!$C:$C,"TB")-(SUMIFS('BALANCE 2028'!$H:$H,'BALANCE 2028'!$C:$C,"TB"))</f>
        <v>0</v>
      </c>
      <c r="H10" s="15" t="n">
        <f aca="false">SUMIFS('BALANCE 2029'!$I:$I,'BALANCE 2029'!$C:$C,"TB")-(SUMIFS('BALANCE 2029'!$H:$H,'BALANCE 2029'!$C:$C,"TB"))</f>
        <v>0</v>
      </c>
    </row>
    <row r="11" customFormat="false" ht="15" hidden="false" customHeight="false" outlineLevel="0" collapsed="false">
      <c r="A11" s="13" t="s">
        <v>406</v>
      </c>
      <c r="B11" s="12" t="s">
        <v>526</v>
      </c>
      <c r="C11" s="15" t="n">
        <f aca="false">SUMIFS('BALANCE 2024'!$I:$I,'BALANCE 2024'!$C:$C,"TC")-(SUMIFS('BALANCE 2024'!$H:$H,'BALANCE 2024'!$C:$C,"TC"))</f>
        <v>701026695</v>
      </c>
      <c r="D11" s="15" t="n">
        <f aca="false">SUMIFS('BALANCE 2025'!$I:$I,'BALANCE 2025'!$C:$C,"TC")-(SUMIFS('BALANCE 2025'!$H:$H,'BALANCE 2025'!$C:$C,"TC"))</f>
        <v>750098564</v>
      </c>
      <c r="E11" s="15" t="n">
        <f aca="false">SUMIFS('BALANCE 2026'!$I:$I,'BALANCE 2026'!$C:$C,"TC")-(SUMIFS('BALANCE 2026'!$H:$H,'BALANCE 2026'!$C:$C,"TC"))</f>
        <v>787603492</v>
      </c>
      <c r="F11" s="15" t="n">
        <f aca="false">SUMIFS('BALANCE 2027'!$I:$I,'BALANCE 2027'!$C:$C,"TC")-(SUMIFS('BALANCE 2027'!$H:$H,'BALANCE 2027'!$C:$C,"TC"))</f>
        <v>826983667</v>
      </c>
      <c r="G11" s="15" t="n">
        <f aca="false">SUMIFS('BALANCE 2028'!$I:$I,'BALANCE 2028'!$C:$C,"TC")-(SUMIFS('BALANCE 2028'!$H:$H,'BALANCE 2028'!$C:$C,"TC"))</f>
        <v>868332850</v>
      </c>
      <c r="H11" s="15" t="n">
        <f aca="false">SUMIFS('BALANCE 2029'!$I:$I,'BALANCE 2029'!$C:$C,"TC")-(SUMIFS('BALANCE 2029'!$H:$H,'BALANCE 2029'!$C:$C,"TC"))</f>
        <v>911749493</v>
      </c>
    </row>
    <row r="12" customFormat="false" ht="15" hidden="false" customHeight="false" outlineLevel="0" collapsed="false">
      <c r="A12" s="13" t="s">
        <v>527</v>
      </c>
      <c r="B12" s="12" t="s">
        <v>528</v>
      </c>
      <c r="C12" s="15" t="n">
        <f aca="false">SUMIFS('BALANCE 2024'!$I:$I,'BALANCE 2024'!$C:$C,"TD")-(SUMIFS('BALANCE 2024'!$H:$H,'BALANCE 2024'!$C:$C,"TD"))</f>
        <v>0</v>
      </c>
      <c r="D12" s="15" t="n">
        <f aca="false">SUMIFS('BALANCE 2025'!$I:$I,'BALANCE 2025'!$C:$C,"TD")-(SUMIFS('BALANCE 2025'!$H:$H,'BALANCE 2025'!$C:$C,"TD"))</f>
        <v>0</v>
      </c>
      <c r="E12" s="15" t="n">
        <f aca="false">SUMIFS('BALANCE 2026'!$I:$I,'BALANCE 2026'!$C:$C,"TD")-(SUMIFS('BALANCE 2026'!$H:$H,'BALANCE 2026'!$C:$C,"TD"))</f>
        <v>0</v>
      </c>
      <c r="F12" s="15" t="n">
        <f aca="false">SUMIFS('BALANCE 2027'!$I:$I,'BALANCE 2027'!$C:$C,"TD")-(SUMIFS('BALANCE 2027'!$H:$H,'BALANCE 2027'!$C:$C,"TD"))</f>
        <v>0</v>
      </c>
      <c r="G12" s="15" t="n">
        <f aca="false">SUMIFS('BALANCE 2028'!$I:$I,'BALANCE 2028'!$C:$C,"TD")-(SUMIFS('BALANCE 2028'!$H:$H,'BALANCE 2028'!$C:$C,"TD"))</f>
        <v>0</v>
      </c>
      <c r="H12" s="15" t="n">
        <f aca="false">SUMIFS('BALANCE 2029'!$I:$I,'BALANCE 2029'!$C:$C,"TD")-(SUMIFS('BALANCE 2029'!$H:$H,'BALANCE 2029'!$C:$C,"TD"))</f>
        <v>0</v>
      </c>
    </row>
    <row r="13" customFormat="false" ht="15" hidden="false" customHeight="false" outlineLevel="0" collapsed="false">
      <c r="A13" s="33" t="s">
        <v>529</v>
      </c>
      <c r="B13" s="33" t="s">
        <v>530</v>
      </c>
      <c r="C13" s="34" t="n">
        <f aca="false">C6+C10+C11+C12</f>
        <v>701026695</v>
      </c>
      <c r="D13" s="34" t="n">
        <f aca="false">D6+D10+D11+D12</f>
        <v>750098564</v>
      </c>
      <c r="E13" s="34" t="n">
        <f aca="false">E6+E10+E11+E12</f>
        <v>787603492</v>
      </c>
      <c r="F13" s="34" t="n">
        <f aca="false">F6+F10+F11+F12</f>
        <v>826983667</v>
      </c>
      <c r="G13" s="34" t="n">
        <f aca="false">G6+G10+G11+G12</f>
        <v>868332850</v>
      </c>
      <c r="H13" s="34" t="n">
        <f aca="false">H6+H10+H11+H12</f>
        <v>911749493</v>
      </c>
      <c r="I13" s="46" t="n">
        <f aca="false">IF(OR(C13&lt;=0,H13&lt;=0),"",(H13/C13)^(1/5)-1)</f>
        <v>0.0539698677084928</v>
      </c>
    </row>
    <row r="14" customFormat="false" ht="15" hidden="false" customHeight="false" outlineLevel="0" collapsed="false">
      <c r="A14" s="13" t="s">
        <v>531</v>
      </c>
      <c r="B14" s="12" t="s">
        <v>532</v>
      </c>
      <c r="C14" s="15" t="n">
        <f aca="false">SUMIFS('BALANCE 2024'!$I:$I,'BALANCE 2024'!$C:$C,"TE")-(SUMIFS('BALANCE 2024'!$H:$H,'BALANCE 2024'!$C:$C,"TE"))</f>
        <v>0</v>
      </c>
      <c r="D14" s="15" t="n">
        <f aca="false">SUMIFS('BALANCE 2025'!$I:$I,'BALANCE 2025'!$C:$C,"TE")-(SUMIFS('BALANCE 2025'!$H:$H,'BALANCE 2025'!$C:$C,"TE"))</f>
        <v>0</v>
      </c>
      <c r="E14" s="15" t="n">
        <f aca="false">SUMIFS('BALANCE 2026'!$I:$I,'BALANCE 2026'!$C:$C,"TE")-(SUMIFS('BALANCE 2026'!$H:$H,'BALANCE 2026'!$C:$C,"TE"))</f>
        <v>0</v>
      </c>
      <c r="F14" s="15" t="n">
        <f aca="false">SUMIFS('BALANCE 2027'!$I:$I,'BALANCE 2027'!$C:$C,"TE")-(SUMIFS('BALANCE 2027'!$H:$H,'BALANCE 2027'!$C:$C,"TE"))</f>
        <v>0</v>
      </c>
      <c r="G14" s="15" t="n">
        <f aca="false">SUMIFS('BALANCE 2028'!$I:$I,'BALANCE 2028'!$C:$C,"TE")-(SUMIFS('BALANCE 2028'!$H:$H,'BALANCE 2028'!$C:$C,"TE"))</f>
        <v>0</v>
      </c>
      <c r="H14" s="15" t="n">
        <f aca="false">SUMIFS('BALANCE 2029'!$I:$I,'BALANCE 2029'!$C:$C,"TE")-(SUMIFS('BALANCE 2029'!$H:$H,'BALANCE 2029'!$C:$C,"TE"))</f>
        <v>0</v>
      </c>
    </row>
    <row r="15" customFormat="false" ht="15" hidden="false" customHeight="false" outlineLevel="0" collapsed="false">
      <c r="A15" s="13" t="s">
        <v>533</v>
      </c>
      <c r="B15" s="12" t="s">
        <v>534</v>
      </c>
      <c r="C15" s="15" t="n">
        <f aca="false">SUMIFS('BALANCE 2024'!$I:$I,'BALANCE 2024'!$C:$C,"TF")-(SUMIFS('BALANCE 2024'!$H:$H,'BALANCE 2024'!$C:$C,"TF"))</f>
        <v>0</v>
      </c>
      <c r="D15" s="15" t="n">
        <f aca="false">SUMIFS('BALANCE 2025'!$I:$I,'BALANCE 2025'!$C:$C,"TF")-(SUMIFS('BALANCE 2025'!$H:$H,'BALANCE 2025'!$C:$C,"TF"))</f>
        <v>0</v>
      </c>
      <c r="E15" s="15" t="n">
        <f aca="false">SUMIFS('BALANCE 2026'!$I:$I,'BALANCE 2026'!$C:$C,"TF")-(SUMIFS('BALANCE 2026'!$H:$H,'BALANCE 2026'!$C:$C,"TF"))</f>
        <v>0</v>
      </c>
      <c r="F15" s="15" t="n">
        <f aca="false">SUMIFS('BALANCE 2027'!$I:$I,'BALANCE 2027'!$C:$C,"TF")-(SUMIFS('BALANCE 2027'!$H:$H,'BALANCE 2027'!$C:$C,"TF"))</f>
        <v>0</v>
      </c>
      <c r="G15" s="15" t="n">
        <f aca="false">SUMIFS('BALANCE 2028'!$I:$I,'BALANCE 2028'!$C:$C,"TF")-(SUMIFS('BALANCE 2028'!$H:$H,'BALANCE 2028'!$C:$C,"TF"))</f>
        <v>0</v>
      </c>
      <c r="H15" s="15" t="n">
        <f aca="false">SUMIFS('BALANCE 2029'!$I:$I,'BALANCE 2029'!$C:$C,"TF")-(SUMIFS('BALANCE 2029'!$H:$H,'BALANCE 2029'!$C:$C,"TF"))</f>
        <v>0</v>
      </c>
    </row>
    <row r="16" customFormat="false" ht="15" hidden="false" customHeight="false" outlineLevel="0" collapsed="false">
      <c r="A16" s="13" t="s">
        <v>535</v>
      </c>
      <c r="B16" s="12" t="s">
        <v>536</v>
      </c>
      <c r="C16" s="15" t="n">
        <f aca="false">SUMIFS('BALANCE 2024'!$I:$I,'BALANCE 2024'!$C:$C,"TG")-(SUMIFS('BALANCE 2024'!$H:$H,'BALANCE 2024'!$C:$C,"TG"))</f>
        <v>0</v>
      </c>
      <c r="D16" s="15" t="n">
        <f aca="false">SUMIFS('BALANCE 2025'!$I:$I,'BALANCE 2025'!$C:$C,"TG")-(SUMIFS('BALANCE 2025'!$H:$H,'BALANCE 2025'!$C:$C,"TG"))</f>
        <v>0</v>
      </c>
      <c r="E16" s="15" t="n">
        <f aca="false">SUMIFS('BALANCE 2026'!$I:$I,'BALANCE 2026'!$C:$C,"TG")-(SUMIFS('BALANCE 2026'!$H:$H,'BALANCE 2026'!$C:$C,"TG"))</f>
        <v>0</v>
      </c>
      <c r="F16" s="15" t="n">
        <f aca="false">SUMIFS('BALANCE 2027'!$I:$I,'BALANCE 2027'!$C:$C,"TG")-(SUMIFS('BALANCE 2027'!$H:$H,'BALANCE 2027'!$C:$C,"TG"))</f>
        <v>0</v>
      </c>
      <c r="G16" s="15" t="n">
        <f aca="false">SUMIFS('BALANCE 2028'!$I:$I,'BALANCE 2028'!$C:$C,"TG")-(SUMIFS('BALANCE 2028'!$H:$H,'BALANCE 2028'!$C:$C,"TG"))</f>
        <v>0</v>
      </c>
      <c r="H16" s="15" t="n">
        <f aca="false">SUMIFS('BALANCE 2029'!$I:$I,'BALANCE 2029'!$C:$C,"TG")-(SUMIFS('BALANCE 2029'!$H:$H,'BALANCE 2029'!$C:$C,"TG"))</f>
        <v>0</v>
      </c>
    </row>
    <row r="17" customFormat="false" ht="15" hidden="false" customHeight="false" outlineLevel="0" collapsed="false">
      <c r="A17" s="13" t="s">
        <v>537</v>
      </c>
      <c r="B17" s="12" t="s">
        <v>538</v>
      </c>
      <c r="C17" s="15" t="n">
        <f aca="false">SUMIFS('BALANCE 2024'!$I:$I,'BALANCE 2024'!$C:$C,"TH")-(SUMIFS('BALANCE 2024'!$H:$H,'BALANCE 2024'!$C:$C,"TH"))</f>
        <v>0</v>
      </c>
      <c r="D17" s="15" t="n">
        <f aca="false">SUMIFS('BALANCE 2025'!$I:$I,'BALANCE 2025'!$C:$C,"TH")-(SUMIFS('BALANCE 2025'!$H:$H,'BALANCE 2025'!$C:$C,"TH"))</f>
        <v>0</v>
      </c>
      <c r="E17" s="15" t="n">
        <f aca="false">SUMIFS('BALANCE 2026'!$I:$I,'BALANCE 2026'!$C:$C,"TH")-(SUMIFS('BALANCE 2026'!$H:$H,'BALANCE 2026'!$C:$C,"TH"))</f>
        <v>0</v>
      </c>
      <c r="F17" s="15" t="n">
        <f aca="false">SUMIFS('BALANCE 2027'!$I:$I,'BALANCE 2027'!$C:$C,"TH")-(SUMIFS('BALANCE 2027'!$H:$H,'BALANCE 2027'!$C:$C,"TH"))</f>
        <v>0</v>
      </c>
      <c r="G17" s="15" t="n">
        <f aca="false">SUMIFS('BALANCE 2028'!$I:$I,'BALANCE 2028'!$C:$C,"TH")-(SUMIFS('BALANCE 2028'!$H:$H,'BALANCE 2028'!$C:$C,"TH"))</f>
        <v>0</v>
      </c>
      <c r="H17" s="15" t="n">
        <f aca="false">SUMIFS('BALANCE 2029'!$I:$I,'BALANCE 2029'!$C:$C,"TH")-(SUMIFS('BALANCE 2029'!$H:$H,'BALANCE 2029'!$C:$C,"TH"))</f>
        <v>0</v>
      </c>
    </row>
    <row r="18" customFormat="false" ht="15" hidden="false" customHeight="false" outlineLevel="0" collapsed="false">
      <c r="A18" s="13" t="s">
        <v>539</v>
      </c>
      <c r="B18" s="12" t="s">
        <v>540</v>
      </c>
      <c r="C18" s="15" t="n">
        <f aca="false">SUMIFS('BALANCE 2024'!$I:$I,'BALANCE 2024'!$C:$C,"TI")-(SUMIFS('BALANCE 2024'!$H:$H,'BALANCE 2024'!$C:$C,"TI"))</f>
        <v>0</v>
      </c>
      <c r="D18" s="15" t="n">
        <f aca="false">SUMIFS('BALANCE 2025'!$I:$I,'BALANCE 2025'!$C:$C,"TI")-(SUMIFS('BALANCE 2025'!$H:$H,'BALANCE 2025'!$C:$C,"TI"))</f>
        <v>0</v>
      </c>
      <c r="E18" s="15" t="n">
        <f aca="false">SUMIFS('BALANCE 2026'!$I:$I,'BALANCE 2026'!$C:$C,"TI")-(SUMIFS('BALANCE 2026'!$H:$H,'BALANCE 2026'!$C:$C,"TI"))</f>
        <v>0</v>
      </c>
      <c r="F18" s="15" t="n">
        <f aca="false">SUMIFS('BALANCE 2027'!$I:$I,'BALANCE 2027'!$C:$C,"TI")-(SUMIFS('BALANCE 2027'!$H:$H,'BALANCE 2027'!$C:$C,"TI"))</f>
        <v>0</v>
      </c>
      <c r="G18" s="15" t="n">
        <f aca="false">SUMIFS('BALANCE 2028'!$I:$I,'BALANCE 2028'!$C:$C,"TI")-(SUMIFS('BALANCE 2028'!$H:$H,'BALANCE 2028'!$C:$C,"TI"))</f>
        <v>0</v>
      </c>
      <c r="H18" s="15" t="n">
        <f aca="false">SUMIFS('BALANCE 2029'!$I:$I,'BALANCE 2029'!$C:$C,"TI")-(SUMIFS('BALANCE 2029'!$H:$H,'BALANCE 2029'!$C:$C,"TI"))</f>
        <v>0</v>
      </c>
    </row>
    <row r="19" customFormat="false" ht="15" hidden="false" customHeight="false" outlineLevel="0" collapsed="false">
      <c r="A19" s="13" t="s">
        <v>541</v>
      </c>
      <c r="B19" s="12" t="s">
        <v>542</v>
      </c>
      <c r="C19" s="15" t="n">
        <f aca="false">SUMIFS('BALANCE 2024'!$I:$I,'BALANCE 2024'!$C:$C,"RC")-(SUMIFS('BALANCE 2024'!$H:$H,'BALANCE 2024'!$C:$C,"RC"))</f>
        <v>0</v>
      </c>
      <c r="D19" s="15" t="n">
        <f aca="false">SUMIFS('BALANCE 2025'!$I:$I,'BALANCE 2025'!$C:$C,"RC")-(SUMIFS('BALANCE 2025'!$H:$H,'BALANCE 2025'!$C:$C,"RC"))</f>
        <v>0</v>
      </c>
      <c r="E19" s="15" t="n">
        <f aca="false">SUMIFS('BALANCE 2026'!$I:$I,'BALANCE 2026'!$C:$C,"RC")-(SUMIFS('BALANCE 2026'!$H:$H,'BALANCE 2026'!$C:$C,"RC"))</f>
        <v>0</v>
      </c>
      <c r="F19" s="15" t="n">
        <f aca="false">SUMIFS('BALANCE 2027'!$I:$I,'BALANCE 2027'!$C:$C,"RC")-(SUMIFS('BALANCE 2027'!$H:$H,'BALANCE 2027'!$C:$C,"RC"))</f>
        <v>0</v>
      </c>
      <c r="G19" s="15" t="n">
        <f aca="false">SUMIFS('BALANCE 2028'!$I:$I,'BALANCE 2028'!$C:$C,"RC")-(SUMIFS('BALANCE 2028'!$H:$H,'BALANCE 2028'!$C:$C,"RC"))</f>
        <v>0</v>
      </c>
      <c r="H19" s="15" t="n">
        <f aca="false">SUMIFS('BALANCE 2029'!$I:$I,'BALANCE 2029'!$C:$C,"RC")-(SUMIFS('BALANCE 2029'!$H:$H,'BALANCE 2029'!$C:$C,"RC"))</f>
        <v>0</v>
      </c>
    </row>
    <row r="20" customFormat="false" ht="15" hidden="false" customHeight="false" outlineLevel="0" collapsed="false">
      <c r="A20" s="13" t="s">
        <v>543</v>
      </c>
      <c r="B20" s="12" t="s">
        <v>544</v>
      </c>
      <c r="C20" s="15" t="n">
        <f aca="false">SUMIFS('BALANCE 2024'!$I:$I,'BALANCE 2024'!$C:$C,"RD")-(SUMIFS('BALANCE 2024'!$H:$H,'BALANCE 2024'!$C:$C,"RD"))</f>
        <v>0</v>
      </c>
      <c r="D20" s="15" t="n">
        <f aca="false">SUMIFS('BALANCE 2025'!$I:$I,'BALANCE 2025'!$C:$C,"RD")-(SUMIFS('BALANCE 2025'!$H:$H,'BALANCE 2025'!$C:$C,"RD"))</f>
        <v>0</v>
      </c>
      <c r="E20" s="15" t="n">
        <f aca="false">SUMIFS('BALANCE 2026'!$I:$I,'BALANCE 2026'!$C:$C,"RD")-(SUMIFS('BALANCE 2026'!$H:$H,'BALANCE 2026'!$C:$C,"RD"))</f>
        <v>0</v>
      </c>
      <c r="F20" s="15" t="n">
        <f aca="false">SUMIFS('BALANCE 2027'!$I:$I,'BALANCE 2027'!$C:$C,"RD")-(SUMIFS('BALANCE 2027'!$H:$H,'BALANCE 2027'!$C:$C,"RD"))</f>
        <v>0</v>
      </c>
      <c r="G20" s="15" t="n">
        <f aca="false">SUMIFS('BALANCE 2028'!$I:$I,'BALANCE 2028'!$C:$C,"RD")-(SUMIFS('BALANCE 2028'!$H:$H,'BALANCE 2028'!$C:$C,"RD"))</f>
        <v>0</v>
      </c>
      <c r="H20" s="15" t="n">
        <f aca="false">SUMIFS('BALANCE 2029'!$I:$I,'BALANCE 2029'!$C:$C,"RD")-(SUMIFS('BALANCE 2029'!$H:$H,'BALANCE 2029'!$C:$C,"RD"))</f>
        <v>0</v>
      </c>
    </row>
    <row r="21" customFormat="false" ht="15" hidden="false" customHeight="false" outlineLevel="0" collapsed="false">
      <c r="A21" s="13" t="s">
        <v>352</v>
      </c>
      <c r="B21" s="12" t="s">
        <v>545</v>
      </c>
      <c r="C21" s="15" t="n">
        <f aca="false">SUMIFS('BALANCE 2024'!$I:$I,'BALANCE 2024'!$C:$C,"RE")-(SUMIFS('BALANCE 2024'!$H:$H,'BALANCE 2024'!$C:$C,"RE"))</f>
        <v>-278141464</v>
      </c>
      <c r="D21" s="15" t="n">
        <f aca="false">SUMIFS('BALANCE 2025'!$I:$I,'BALANCE 2025'!$C:$C,"RE")-(SUMIFS('BALANCE 2025'!$H:$H,'BALANCE 2025'!$C:$C,"RE"))</f>
        <v>-265319974</v>
      </c>
      <c r="E21" s="15" t="n">
        <f aca="false">SUMIFS('BALANCE 2026'!$I:$I,'BALANCE 2026'!$C:$C,"RE")-(SUMIFS('BALANCE 2026'!$H:$H,'BALANCE 2026'!$C:$C,"RE"))</f>
        <v>-310250783</v>
      </c>
      <c r="F21" s="15" t="n">
        <f aca="false">SUMIFS('BALANCE 2027'!$I:$I,'BALANCE 2027'!$C:$C,"RE")-(SUMIFS('BALANCE 2027'!$H:$H,'BALANCE 2027'!$C:$C,"RE"))</f>
        <v>-325763322</v>
      </c>
      <c r="G21" s="15" t="n">
        <f aca="false">SUMIFS('BALANCE 2028'!$I:$I,'BALANCE 2028'!$C:$C,"RE")-(SUMIFS('BALANCE 2028'!$H:$H,'BALANCE 2028'!$C:$C,"RE"))</f>
        <v>-342051488</v>
      </c>
      <c r="H21" s="15" t="n">
        <f aca="false">SUMIFS('BALANCE 2029'!$I:$I,'BALANCE 2029'!$C:$C,"RE")-(SUMIFS('BALANCE 2029'!$H:$H,'BALANCE 2029'!$C:$C,"RE"))</f>
        <v>-359154063</v>
      </c>
    </row>
    <row r="22" customFormat="false" ht="15" hidden="false" customHeight="false" outlineLevel="0" collapsed="false">
      <c r="A22" s="13" t="s">
        <v>546</v>
      </c>
      <c r="B22" s="12" t="s">
        <v>547</v>
      </c>
      <c r="C22" s="15" t="n">
        <f aca="false">SUMIFS('BALANCE 2024'!$I:$I,'BALANCE 2024'!$C:$C,"RF")-(SUMIFS('BALANCE 2024'!$H:$H,'BALANCE 2024'!$C:$C,"RF"))</f>
        <v>0</v>
      </c>
      <c r="D22" s="15" t="n">
        <f aca="false">SUMIFS('BALANCE 2025'!$I:$I,'BALANCE 2025'!$C:$C,"RF")-(SUMIFS('BALANCE 2025'!$H:$H,'BALANCE 2025'!$C:$C,"RF"))</f>
        <v>0</v>
      </c>
      <c r="E22" s="15" t="n">
        <f aca="false">SUMIFS('BALANCE 2026'!$I:$I,'BALANCE 2026'!$C:$C,"RF")-(SUMIFS('BALANCE 2026'!$H:$H,'BALANCE 2026'!$C:$C,"RF"))</f>
        <v>0</v>
      </c>
      <c r="F22" s="15" t="n">
        <f aca="false">SUMIFS('BALANCE 2027'!$I:$I,'BALANCE 2027'!$C:$C,"RF")-(SUMIFS('BALANCE 2027'!$H:$H,'BALANCE 2027'!$C:$C,"RF"))</f>
        <v>0</v>
      </c>
      <c r="G22" s="15" t="n">
        <f aca="false">SUMIFS('BALANCE 2028'!$I:$I,'BALANCE 2028'!$C:$C,"RF")-(SUMIFS('BALANCE 2028'!$H:$H,'BALANCE 2028'!$C:$C,"RF"))</f>
        <v>0</v>
      </c>
      <c r="H22" s="15" t="n">
        <f aca="false">SUMIFS('BALANCE 2029'!$I:$I,'BALANCE 2029'!$C:$C,"RF")-(SUMIFS('BALANCE 2029'!$H:$H,'BALANCE 2029'!$C:$C,"RF"))</f>
        <v>0</v>
      </c>
    </row>
    <row r="23" customFormat="false" ht="15" hidden="false" customHeight="false" outlineLevel="0" collapsed="false">
      <c r="A23" s="13" t="s">
        <v>361</v>
      </c>
      <c r="B23" s="12" t="s">
        <v>23</v>
      </c>
      <c r="C23" s="15" t="n">
        <f aca="false">SUMIFS('BALANCE 2024'!$I:$I,'BALANCE 2024'!$C:$C,"RG")-(SUMIFS('BALANCE 2024'!$H:$H,'BALANCE 2024'!$C:$C,"RG"))</f>
        <v>-3820098</v>
      </c>
      <c r="D23" s="15" t="n">
        <f aca="false">SUMIFS('BALANCE 2025'!$I:$I,'BALANCE 2025'!$C:$C,"RG")-(SUMIFS('BALANCE 2025'!$H:$H,'BALANCE 2025'!$C:$C,"RG"))</f>
        <v>-4050532</v>
      </c>
      <c r="E23" s="15" t="n">
        <f aca="false">SUMIFS('BALANCE 2026'!$I:$I,'BALANCE 2026'!$C:$C,"RG")-(SUMIFS('BALANCE 2026'!$H:$H,'BALANCE 2026'!$C:$C,"RG"))</f>
        <v>-4253059</v>
      </c>
      <c r="F23" s="15" t="n">
        <f aca="false">SUMIFS('BALANCE 2027'!$I:$I,'BALANCE 2027'!$C:$C,"RG")-(SUMIFS('BALANCE 2027'!$H:$H,'BALANCE 2027'!$C:$C,"RG"))</f>
        <v>-4465712</v>
      </c>
      <c r="G23" s="15" t="n">
        <f aca="false">SUMIFS('BALANCE 2028'!$I:$I,'BALANCE 2028'!$C:$C,"RG")-(SUMIFS('BALANCE 2028'!$H:$H,'BALANCE 2028'!$C:$C,"RG"))</f>
        <v>-4688997</v>
      </c>
      <c r="H23" s="15" t="n">
        <f aca="false">SUMIFS('BALANCE 2029'!$I:$I,'BALANCE 2029'!$C:$C,"RG")-(SUMIFS('BALANCE 2029'!$H:$H,'BALANCE 2029'!$C:$C,"RG"))</f>
        <v>-4923447</v>
      </c>
    </row>
    <row r="24" customFormat="false" ht="15" hidden="false" customHeight="false" outlineLevel="0" collapsed="false">
      <c r="A24" s="13" t="s">
        <v>365</v>
      </c>
      <c r="B24" s="12" t="s">
        <v>26</v>
      </c>
      <c r="C24" s="15" t="n">
        <f aca="false">SUMIFS('BALANCE 2024'!$I:$I,'BALANCE 2024'!$C:$C,"RH")-(SUMIFS('BALANCE 2024'!$H:$H,'BALANCE 2024'!$C:$C,"RH"))</f>
        <v>-106769083</v>
      </c>
      <c r="D24" s="15" t="n">
        <f aca="false">SUMIFS('BALANCE 2025'!$I:$I,'BALANCE 2025'!$C:$C,"RH")-(SUMIFS('BALANCE 2025'!$H:$H,'BALANCE 2025'!$C:$C,"RH"))</f>
        <v>-114240011</v>
      </c>
      <c r="E24" s="15" t="n">
        <f aca="false">SUMIFS('BALANCE 2026'!$I:$I,'BALANCE 2026'!$C:$C,"RH")-(SUMIFS('BALANCE 2026'!$H:$H,'BALANCE 2026'!$C:$C,"RH"))</f>
        <v>-119952012</v>
      </c>
      <c r="F24" s="15" t="n">
        <f aca="false">SUMIFS('BALANCE 2027'!$I:$I,'BALANCE 2027'!$C:$C,"RH")-(SUMIFS('BALANCE 2027'!$H:$H,'BALANCE 2027'!$C:$C,"RH"))</f>
        <v>-125949612</v>
      </c>
      <c r="G24" s="15" t="n">
        <f aca="false">SUMIFS('BALANCE 2028'!$I:$I,'BALANCE 2028'!$C:$C,"RH")-(SUMIFS('BALANCE 2028'!$H:$H,'BALANCE 2028'!$C:$C,"RH"))</f>
        <v>-132247093</v>
      </c>
      <c r="H24" s="15" t="n">
        <f aca="false">SUMIFS('BALANCE 2029'!$I:$I,'BALANCE 2029'!$C:$C,"RH")-(SUMIFS('BALANCE 2029'!$H:$H,'BALANCE 2029'!$C:$C,"RH"))</f>
        <v>-138859448</v>
      </c>
    </row>
    <row r="25" customFormat="false" ht="15" hidden="false" customHeight="false" outlineLevel="0" collapsed="false">
      <c r="A25" s="13" t="s">
        <v>375</v>
      </c>
      <c r="B25" s="12" t="s">
        <v>28</v>
      </c>
      <c r="C25" s="15" t="n">
        <f aca="false">SUMIFS('BALANCE 2024'!$I:$I,'BALANCE 2024'!$C:$C,"RI")-(SUMIFS('BALANCE 2024'!$H:$H,'BALANCE 2024'!$C:$C,"RI"))</f>
        <v>-14869670</v>
      </c>
      <c r="D25" s="15" t="n">
        <f aca="false">SUMIFS('BALANCE 2025'!$I:$I,'BALANCE 2025'!$C:$C,"RI")-(SUMIFS('BALANCE 2025'!$H:$H,'BALANCE 2025'!$C:$C,"RI"))</f>
        <v>-15902090</v>
      </c>
      <c r="E25" s="15" t="n">
        <f aca="false">SUMIFS('BALANCE 2026'!$I:$I,'BALANCE 2026'!$C:$C,"RI")-(SUMIFS('BALANCE 2026'!$H:$H,'BALANCE 2026'!$C:$C,"RI"))</f>
        <v>-16697194</v>
      </c>
      <c r="F25" s="15" t="n">
        <f aca="false">SUMIFS('BALANCE 2027'!$I:$I,'BALANCE 2027'!$C:$C,"RI")-(SUMIFS('BALANCE 2027'!$H:$H,'BALANCE 2027'!$C:$C,"RI"))</f>
        <v>-17532054</v>
      </c>
      <c r="G25" s="15" t="n">
        <f aca="false">SUMIFS('BALANCE 2028'!$I:$I,'BALANCE 2028'!$C:$C,"RI")-(SUMIFS('BALANCE 2028'!$H:$H,'BALANCE 2028'!$C:$C,"RI"))</f>
        <v>-18408656</v>
      </c>
      <c r="H25" s="15" t="n">
        <f aca="false">SUMIFS('BALANCE 2029'!$I:$I,'BALANCE 2029'!$C:$C,"RI")-(SUMIFS('BALANCE 2029'!$H:$H,'BALANCE 2029'!$C:$C,"RI"))</f>
        <v>-19329089</v>
      </c>
    </row>
    <row r="26" customFormat="false" ht="15" hidden="false" customHeight="false" outlineLevel="0" collapsed="false">
      <c r="A26" s="13" t="s">
        <v>385</v>
      </c>
      <c r="B26" s="12" t="s">
        <v>30</v>
      </c>
      <c r="C26" s="15" t="n">
        <f aca="false">SUMIFS('BALANCE 2024'!$I:$I,'BALANCE 2024'!$C:$C,"RJ")-(SUMIFS('BALANCE 2024'!$H:$H,'BALANCE 2024'!$C:$C,"RJ"))</f>
        <v>-1316731</v>
      </c>
      <c r="D26" s="15" t="n">
        <f aca="false">SUMIFS('BALANCE 2025'!$I:$I,'BALANCE 2025'!$C:$C,"RJ")-(SUMIFS('BALANCE 2025'!$H:$H,'BALANCE 2025'!$C:$C,"RJ"))</f>
        <v>-1425187</v>
      </c>
      <c r="E26" s="15" t="n">
        <f aca="false">SUMIFS('BALANCE 2026'!$I:$I,'BALANCE 2026'!$C:$C,"RJ")-(SUMIFS('BALANCE 2026'!$H:$H,'BALANCE 2026'!$C:$C,"RJ"))</f>
        <v>-1496447</v>
      </c>
      <c r="F26" s="15" t="n">
        <f aca="false">SUMIFS('BALANCE 2027'!$I:$I,'BALANCE 2027'!$C:$C,"RJ")-(SUMIFS('BALANCE 2027'!$H:$H,'BALANCE 2027'!$C:$C,"RJ"))</f>
        <v>-1571269</v>
      </c>
      <c r="G26" s="15" t="n">
        <f aca="false">SUMIFS('BALANCE 2028'!$I:$I,'BALANCE 2028'!$C:$C,"RJ")-(SUMIFS('BALANCE 2028'!$H:$H,'BALANCE 2028'!$C:$C,"RJ"))</f>
        <v>-1649832</v>
      </c>
      <c r="H26" s="15" t="n">
        <f aca="false">SUMIFS('BALANCE 2029'!$I:$I,'BALANCE 2029'!$C:$C,"RJ")-(SUMIFS('BALANCE 2029'!$H:$H,'BALANCE 2029'!$C:$C,"RJ"))</f>
        <v>-1732324</v>
      </c>
    </row>
    <row r="27" customFormat="false" ht="15" hidden="false" customHeight="false" outlineLevel="0" collapsed="false">
      <c r="A27" s="33" t="s">
        <v>548</v>
      </c>
      <c r="B27" s="33" t="s">
        <v>549</v>
      </c>
      <c r="C27" s="34" t="n">
        <f aca="false">C13+C7+C8+C14+C15+C16+C17+C18+C19+C20+C21+C22+C23+C24+C25+C26</f>
        <v>296109649</v>
      </c>
      <c r="D27" s="34" t="n">
        <f aca="false">D13+D7+D8+D14+D15+D16+D17+D18+D19+D20+D21+D22+D23+D24+D25+D26</f>
        <v>349160770</v>
      </c>
      <c r="E27" s="34" t="n">
        <f aca="false">E13+E7+E8+E14+E15+E16+E17+E18+E19+E20+E21+E22+E23+E24+E25+E26</f>
        <v>334953997</v>
      </c>
      <c r="F27" s="34" t="n">
        <f aca="false">F13+F7+F8+F14+F15+F16+F17+F18+F19+F20+F21+F22+F23+F24+F25+F26</f>
        <v>351701698</v>
      </c>
      <c r="G27" s="34" t="n">
        <f aca="false">G13+G7+G8+G14+G15+G16+G17+G18+G19+G20+G21+G22+G23+G24+G25+G26</f>
        <v>369286784</v>
      </c>
      <c r="H27" s="34" t="n">
        <f aca="false">H13+H7+H8+H14+H15+H16+H17+H18+H19+H20+H21+H22+H23+H24+H25+H26</f>
        <v>387751122</v>
      </c>
      <c r="I27" s="32"/>
    </row>
    <row r="28" customFormat="false" ht="15" hidden="false" customHeight="false" outlineLevel="0" collapsed="false">
      <c r="A28" s="13" t="s">
        <v>387</v>
      </c>
      <c r="B28" s="12" t="s">
        <v>550</v>
      </c>
      <c r="C28" s="15" t="n">
        <f aca="false">SUMIFS('BALANCE 2024'!$I:$I,'BALANCE 2024'!$C:$C,"RK")-(SUMIFS('BALANCE 2024'!$H:$H,'BALANCE 2024'!$C:$C,"RK"))</f>
        <v>-106025515</v>
      </c>
      <c r="D28" s="15" t="n">
        <f aca="false">SUMIFS('BALANCE 2025'!$I:$I,'BALANCE 2025'!$C:$C,"RK")-(SUMIFS('BALANCE 2025'!$H:$H,'BALANCE 2025'!$C:$C,"RK"))</f>
        <v>-128300143</v>
      </c>
      <c r="E28" s="15" t="n">
        <f aca="false">SUMIFS('BALANCE 2026'!$I:$I,'BALANCE 2026'!$C:$C,"RK")-(SUMIFS('BALANCE 2026'!$H:$H,'BALANCE 2026'!$C:$C,"RK"))</f>
        <v>-126968364</v>
      </c>
      <c r="F28" s="15" t="n">
        <f aca="false">SUMIFS('BALANCE 2027'!$I:$I,'BALANCE 2027'!$C:$C,"RK")-(SUMIFS('BALANCE 2027'!$H:$H,'BALANCE 2027'!$C:$C,"RK"))</f>
        <v>-133958970</v>
      </c>
      <c r="G28" s="15" t="n">
        <f aca="false">SUMIFS('BALANCE 2028'!$I:$I,'BALANCE 2028'!$C:$C,"RK")-(SUMIFS('BALANCE 2028'!$H:$H,'BALANCE 2028'!$C:$C,"RK"))</f>
        <v>-140733982</v>
      </c>
      <c r="H28" s="15" t="n">
        <f aca="false">SUMIFS('BALANCE 2029'!$I:$I,'BALANCE 2029'!$C:$C,"RK")-(SUMIFS('BALANCE 2029'!$H:$H,'BALANCE 2029'!$C:$C,"RK"))</f>
        <v>-148335805</v>
      </c>
    </row>
    <row r="29" customFormat="false" ht="15" hidden="false" customHeight="false" outlineLevel="0" collapsed="false">
      <c r="A29" s="33" t="s">
        <v>551</v>
      </c>
      <c r="B29" s="33" t="s">
        <v>552</v>
      </c>
      <c r="C29" s="34" t="n">
        <f aca="false">C27+C28</f>
        <v>190084134</v>
      </c>
      <c r="D29" s="34" t="n">
        <f aca="false">D27+D28</f>
        <v>220860627</v>
      </c>
      <c r="E29" s="34" t="n">
        <f aca="false">E27+E28</f>
        <v>207985633</v>
      </c>
      <c r="F29" s="34" t="n">
        <f aca="false">F27+F28</f>
        <v>217742728</v>
      </c>
      <c r="G29" s="34" t="n">
        <f aca="false">G27+G28</f>
        <v>228552802</v>
      </c>
      <c r="H29" s="34" t="n">
        <f aca="false">H27+H28</f>
        <v>239415317</v>
      </c>
      <c r="I29" s="46" t="n">
        <f aca="false">IF(OR(C29&lt;=0,H29&lt;=0),"",(H29/C29)^(1/5)-1)</f>
        <v>0.0472279206342081</v>
      </c>
    </row>
    <row r="30" customFormat="false" ht="15" hidden="false" customHeight="false" outlineLevel="0" collapsed="false">
      <c r="A30" s="13" t="s">
        <v>553</v>
      </c>
      <c r="B30" s="12" t="s">
        <v>554</v>
      </c>
      <c r="C30" s="15" t="n">
        <f aca="false">SUMIFS('BALANCE 2024'!$I:$I,'BALANCE 2024'!$C:$C,"TJ")-(SUMIFS('BALANCE 2024'!$H:$H,'BALANCE 2024'!$C:$C,"TJ"))</f>
        <v>0</v>
      </c>
      <c r="D30" s="15" t="n">
        <f aca="false">SUMIFS('BALANCE 2025'!$I:$I,'BALANCE 2025'!$C:$C,"TJ")-(SUMIFS('BALANCE 2025'!$H:$H,'BALANCE 2025'!$C:$C,"TJ"))</f>
        <v>0</v>
      </c>
      <c r="E30" s="15" t="n">
        <f aca="false">SUMIFS('BALANCE 2026'!$I:$I,'BALANCE 2026'!$C:$C,"TJ")-(SUMIFS('BALANCE 2026'!$H:$H,'BALANCE 2026'!$C:$C,"TJ"))</f>
        <v>0</v>
      </c>
      <c r="F30" s="15" t="n">
        <f aca="false">SUMIFS('BALANCE 2027'!$I:$I,'BALANCE 2027'!$C:$C,"TJ")-(SUMIFS('BALANCE 2027'!$H:$H,'BALANCE 2027'!$C:$C,"TJ"))</f>
        <v>0</v>
      </c>
      <c r="G30" s="15" t="n">
        <f aca="false">SUMIFS('BALANCE 2028'!$I:$I,'BALANCE 2028'!$C:$C,"TJ")-(SUMIFS('BALANCE 2028'!$H:$H,'BALANCE 2028'!$C:$C,"TJ"))</f>
        <v>0</v>
      </c>
      <c r="H30" s="15" t="n">
        <f aca="false">SUMIFS('BALANCE 2029'!$I:$I,'BALANCE 2029'!$C:$C,"TJ")-(SUMIFS('BALANCE 2029'!$H:$H,'BALANCE 2029'!$C:$C,"TJ"))</f>
        <v>0</v>
      </c>
    </row>
    <row r="31" customFormat="false" ht="15" hidden="false" customHeight="false" outlineLevel="0" collapsed="false">
      <c r="A31" s="13" t="s">
        <v>400</v>
      </c>
      <c r="B31" s="12" t="s">
        <v>555</v>
      </c>
      <c r="C31" s="15" t="n">
        <f aca="false">SUMIFS('BALANCE 2024'!$I:$I,'BALANCE 2024'!$C:$C,"RL")-(SUMIFS('BALANCE 2024'!$H:$H,'BALANCE 2024'!$C:$C,"RL"))</f>
        <v>-85892595</v>
      </c>
      <c r="D31" s="15" t="n">
        <f aca="false">SUMIFS('BALANCE 2025'!$I:$I,'BALANCE 2025'!$C:$C,"RL")-(SUMIFS('BALANCE 2025'!$H:$H,'BALANCE 2025'!$C:$C,"RL"))</f>
        <v>-93024157</v>
      </c>
      <c r="E31" s="15" t="n">
        <f aca="false">SUMIFS('BALANCE 2026'!$I:$I,'BALANCE 2026'!$C:$C,"RL")-(SUMIFS('BALANCE 2026'!$H:$H,'BALANCE 2026'!$C:$C,"RL"))</f>
        <v>-100516176</v>
      </c>
      <c r="F31" s="15" t="n">
        <f aca="false">SUMIFS('BALANCE 2027'!$I:$I,'BALANCE 2027'!$C:$C,"RL")-(SUMIFS('BALANCE 2027'!$H:$H,'BALANCE 2027'!$C:$C,"RL"))</f>
        <v>-104247546</v>
      </c>
      <c r="G31" s="15" t="n">
        <f aca="false">SUMIFS('BALANCE 2028'!$I:$I,'BALANCE 2028'!$C:$C,"RL")-(SUMIFS('BALANCE 2028'!$H:$H,'BALANCE 2028'!$C:$C,"RL"))</f>
        <v>-103374344</v>
      </c>
      <c r="H31" s="15" t="n">
        <f aca="false">SUMIFS('BALANCE 2029'!$I:$I,'BALANCE 2029'!$C:$C,"RL")-(SUMIFS('BALANCE 2029'!$H:$H,'BALANCE 2029'!$C:$C,"RL"))</f>
        <v>-105833311</v>
      </c>
    </row>
    <row r="32" customFormat="false" ht="15" hidden="false" customHeight="false" outlineLevel="0" collapsed="false">
      <c r="A32" s="33" t="s">
        <v>556</v>
      </c>
      <c r="B32" s="33" t="s">
        <v>557</v>
      </c>
      <c r="C32" s="34" t="n">
        <f aca="false">C29+C30+C31</f>
        <v>104191539</v>
      </c>
      <c r="D32" s="34" t="n">
        <f aca="false">D29+D30+D31</f>
        <v>127836470</v>
      </c>
      <c r="E32" s="34" t="n">
        <f aca="false">E29+E30+E31</f>
        <v>107469457</v>
      </c>
      <c r="F32" s="34" t="n">
        <f aca="false">F29+F30+F31</f>
        <v>113495182</v>
      </c>
      <c r="G32" s="34" t="n">
        <f aca="false">G29+G30+G31</f>
        <v>125178458</v>
      </c>
      <c r="H32" s="34" t="n">
        <f aca="false">H29+H30+H31</f>
        <v>133582006</v>
      </c>
      <c r="I32" s="32"/>
    </row>
    <row r="33" customFormat="false" ht="15" hidden="false" customHeight="false" outlineLevel="0" collapsed="false">
      <c r="A33" s="13" t="s">
        <v>408</v>
      </c>
      <c r="B33" s="12" t="s">
        <v>558</v>
      </c>
      <c r="C33" s="15" t="n">
        <f aca="false">SUMIFS('BALANCE 2024'!$I:$I,'BALANCE 2024'!$C:$C,"TK")-(SUMIFS('BALANCE 2024'!$H:$H,'BALANCE 2024'!$C:$C,"TK"))</f>
        <v>848594</v>
      </c>
      <c r="D33" s="15" t="n">
        <f aca="false">SUMIFS('BALANCE 2025'!$I:$I,'BALANCE 2025'!$C:$C,"TK")-(SUMIFS('BALANCE 2025'!$H:$H,'BALANCE 2025'!$C:$C,"TK"))</f>
        <v>848594</v>
      </c>
      <c r="E33" s="15" t="n">
        <f aca="false">SUMIFS('BALANCE 2026'!$I:$I,'BALANCE 2026'!$C:$C,"TK")-(SUMIFS('BALANCE 2026'!$H:$H,'BALANCE 2026'!$C:$C,"TK"))</f>
        <v>848594</v>
      </c>
      <c r="F33" s="15" t="n">
        <f aca="false">SUMIFS('BALANCE 2027'!$I:$I,'BALANCE 2027'!$C:$C,"TK")-(SUMIFS('BALANCE 2027'!$H:$H,'BALANCE 2027'!$C:$C,"TK"))</f>
        <v>848594</v>
      </c>
      <c r="G33" s="15" t="n">
        <f aca="false">SUMIFS('BALANCE 2028'!$I:$I,'BALANCE 2028'!$C:$C,"TK")-(SUMIFS('BALANCE 2028'!$H:$H,'BALANCE 2028'!$C:$C,"TK"))</f>
        <v>848594</v>
      </c>
      <c r="H33" s="15" t="n">
        <f aca="false">SUMIFS('BALANCE 2029'!$I:$I,'BALANCE 2029'!$C:$C,"TK")-(SUMIFS('BALANCE 2029'!$H:$H,'BALANCE 2029'!$C:$C,"TK"))</f>
        <v>848594</v>
      </c>
    </row>
    <row r="34" customFormat="false" ht="15" hidden="false" customHeight="false" outlineLevel="0" collapsed="false">
      <c r="A34" s="13" t="s">
        <v>559</v>
      </c>
      <c r="B34" s="12" t="s">
        <v>560</v>
      </c>
      <c r="C34" s="15" t="n">
        <f aca="false">SUMIFS('BALANCE 2024'!$I:$I,'BALANCE 2024'!$C:$C,"TL")-(SUMIFS('BALANCE 2024'!$H:$H,'BALANCE 2024'!$C:$C,"TL"))</f>
        <v>0</v>
      </c>
      <c r="D34" s="15" t="n">
        <f aca="false">SUMIFS('BALANCE 2025'!$I:$I,'BALANCE 2025'!$C:$C,"TL")-(SUMIFS('BALANCE 2025'!$H:$H,'BALANCE 2025'!$C:$C,"TL"))</f>
        <v>0</v>
      </c>
      <c r="E34" s="15" t="n">
        <f aca="false">SUMIFS('BALANCE 2026'!$I:$I,'BALANCE 2026'!$C:$C,"TL")-(SUMIFS('BALANCE 2026'!$H:$H,'BALANCE 2026'!$C:$C,"TL"))</f>
        <v>0</v>
      </c>
      <c r="F34" s="15" t="n">
        <f aca="false">SUMIFS('BALANCE 2027'!$I:$I,'BALANCE 2027'!$C:$C,"TL")-(SUMIFS('BALANCE 2027'!$H:$H,'BALANCE 2027'!$C:$C,"TL"))</f>
        <v>0</v>
      </c>
      <c r="G34" s="15" t="n">
        <f aca="false">SUMIFS('BALANCE 2028'!$I:$I,'BALANCE 2028'!$C:$C,"TL")-(SUMIFS('BALANCE 2028'!$H:$H,'BALANCE 2028'!$C:$C,"TL"))</f>
        <v>0</v>
      </c>
      <c r="H34" s="15" t="n">
        <f aca="false">SUMIFS('BALANCE 2029'!$I:$I,'BALANCE 2029'!$C:$C,"TL")-(SUMIFS('BALANCE 2029'!$H:$H,'BALANCE 2029'!$C:$C,"TL"))</f>
        <v>0</v>
      </c>
    </row>
    <row r="35" customFormat="false" ht="15" hidden="false" customHeight="false" outlineLevel="0" collapsed="false">
      <c r="A35" s="13" t="s">
        <v>561</v>
      </c>
      <c r="B35" s="12" t="s">
        <v>562</v>
      </c>
      <c r="C35" s="15" t="n">
        <f aca="false">SUMIFS('BALANCE 2024'!$I:$I,'BALANCE 2024'!$C:$C,"TM")-(SUMIFS('BALANCE 2024'!$H:$H,'BALANCE 2024'!$C:$C,"TM"))</f>
        <v>0</v>
      </c>
      <c r="D35" s="15" t="n">
        <f aca="false">SUMIFS('BALANCE 2025'!$I:$I,'BALANCE 2025'!$C:$C,"TM")-(SUMIFS('BALANCE 2025'!$H:$H,'BALANCE 2025'!$C:$C,"TM"))</f>
        <v>0</v>
      </c>
      <c r="E35" s="15" t="n">
        <f aca="false">SUMIFS('BALANCE 2026'!$I:$I,'BALANCE 2026'!$C:$C,"TM")-(SUMIFS('BALANCE 2026'!$H:$H,'BALANCE 2026'!$C:$C,"TM"))</f>
        <v>0</v>
      </c>
      <c r="F35" s="15" t="n">
        <f aca="false">SUMIFS('BALANCE 2027'!$I:$I,'BALANCE 2027'!$C:$C,"TM")-(SUMIFS('BALANCE 2027'!$H:$H,'BALANCE 2027'!$C:$C,"TM"))</f>
        <v>0</v>
      </c>
      <c r="G35" s="15" t="n">
        <f aca="false">SUMIFS('BALANCE 2028'!$I:$I,'BALANCE 2028'!$C:$C,"TM")-(SUMIFS('BALANCE 2028'!$H:$H,'BALANCE 2028'!$C:$C,"TM"))</f>
        <v>0</v>
      </c>
      <c r="H35" s="15" t="n">
        <f aca="false">SUMIFS('BALANCE 2029'!$I:$I,'BALANCE 2029'!$C:$C,"TM")-(SUMIFS('BALANCE 2029'!$H:$H,'BALANCE 2029'!$C:$C,"TM"))</f>
        <v>0</v>
      </c>
    </row>
    <row r="36" customFormat="false" ht="15" hidden="false" customHeight="false" outlineLevel="0" collapsed="false">
      <c r="A36" s="13" t="s">
        <v>397</v>
      </c>
      <c r="B36" s="12" t="s">
        <v>563</v>
      </c>
      <c r="C36" s="15" t="n">
        <f aca="false">SUMIFS('BALANCE 2024'!$I:$I,'BALANCE 2024'!$C:$C,"RM")-(SUMIFS('BALANCE 2024'!$H:$H,'BALANCE 2024'!$C:$C,"RM"))</f>
        <v>-8108297</v>
      </c>
      <c r="D36" s="15" t="n">
        <f aca="false">SUMIFS('BALANCE 2025'!$I:$I,'BALANCE 2025'!$C:$C,"RM")-(SUMIFS('BALANCE 2025'!$H:$H,'BALANCE 2025'!$C:$C,"RM"))</f>
        <v>-3016712</v>
      </c>
      <c r="E36" s="15" t="n">
        <f aca="false">SUMIFS('BALANCE 2026'!$I:$I,'BALANCE 2026'!$C:$C,"RM")-(SUMIFS('BALANCE 2026'!$H:$H,'BALANCE 2026'!$C:$C,"RM"))</f>
        <v>0</v>
      </c>
      <c r="F36" s="15" t="n">
        <f aca="false">SUMIFS('BALANCE 2027'!$I:$I,'BALANCE 2027'!$C:$C,"RM")-(SUMIFS('BALANCE 2027'!$H:$H,'BALANCE 2027'!$C:$C,"RM"))</f>
        <v>0</v>
      </c>
      <c r="G36" s="15" t="n">
        <f aca="false">SUMIFS('BALANCE 2028'!$I:$I,'BALANCE 2028'!$C:$C,"RM")-(SUMIFS('BALANCE 2028'!$H:$H,'BALANCE 2028'!$C:$C,"RM"))</f>
        <v>0</v>
      </c>
      <c r="H36" s="15" t="n">
        <f aca="false">SUMIFS('BALANCE 2029'!$I:$I,'BALANCE 2029'!$C:$C,"RM")-(SUMIFS('BALANCE 2029'!$H:$H,'BALANCE 2029'!$C:$C,"RM"))</f>
        <v>0</v>
      </c>
    </row>
    <row r="37" customFormat="false" ht="15" hidden="false" customHeight="false" outlineLevel="0" collapsed="false">
      <c r="A37" s="13" t="s">
        <v>564</v>
      </c>
      <c r="B37" s="12" t="s">
        <v>565</v>
      </c>
      <c r="C37" s="15" t="n">
        <f aca="false">SUMIFS('BALANCE 2024'!$I:$I,'BALANCE 2024'!$C:$C,"RN")-(SUMIFS('BALANCE 2024'!$H:$H,'BALANCE 2024'!$C:$C,"RN"))</f>
        <v>0</v>
      </c>
      <c r="D37" s="15" t="n">
        <f aca="false">SUMIFS('BALANCE 2025'!$I:$I,'BALANCE 2025'!$C:$C,"RN")-(SUMIFS('BALANCE 2025'!$H:$H,'BALANCE 2025'!$C:$C,"RN"))</f>
        <v>0</v>
      </c>
      <c r="E37" s="15" t="n">
        <f aca="false">SUMIFS('BALANCE 2026'!$I:$I,'BALANCE 2026'!$C:$C,"RN")-(SUMIFS('BALANCE 2026'!$H:$H,'BALANCE 2026'!$C:$C,"RN"))</f>
        <v>0</v>
      </c>
      <c r="F37" s="15" t="n">
        <f aca="false">SUMIFS('BALANCE 2027'!$I:$I,'BALANCE 2027'!$C:$C,"RN")-(SUMIFS('BALANCE 2027'!$H:$H,'BALANCE 2027'!$C:$C,"RN"))</f>
        <v>0</v>
      </c>
      <c r="G37" s="15" t="n">
        <f aca="false">SUMIFS('BALANCE 2028'!$I:$I,'BALANCE 2028'!$C:$C,"RN")-(SUMIFS('BALANCE 2028'!$H:$H,'BALANCE 2028'!$C:$C,"RN"))</f>
        <v>0</v>
      </c>
      <c r="H37" s="15" t="n">
        <f aca="false">SUMIFS('BALANCE 2029'!$I:$I,'BALANCE 2029'!$C:$C,"RN")-(SUMIFS('BALANCE 2029'!$H:$H,'BALANCE 2029'!$C:$C,"RN"))</f>
        <v>0</v>
      </c>
    </row>
    <row r="38" customFormat="false" ht="15" hidden="false" customHeight="false" outlineLevel="0" collapsed="false">
      <c r="A38" s="33" t="s">
        <v>566</v>
      </c>
      <c r="B38" s="33" t="s">
        <v>567</v>
      </c>
      <c r="C38" s="34" t="n">
        <f aca="false">C33+C34+C35+C36+C37</f>
        <v>-7259703</v>
      </c>
      <c r="D38" s="34" t="n">
        <f aca="false">D33+D34+D35+D36+D37</f>
        <v>-2168118</v>
      </c>
      <c r="E38" s="34" t="n">
        <f aca="false">E33+E34+E35+E36+E37</f>
        <v>848594</v>
      </c>
      <c r="F38" s="34" t="n">
        <f aca="false">F33+F34+F35+F36+F37</f>
        <v>848594</v>
      </c>
      <c r="G38" s="34" t="n">
        <f aca="false">G33+G34+G35+G36+G37</f>
        <v>848594</v>
      </c>
      <c r="H38" s="34" t="n">
        <f aca="false">H33+H34+H35+H36+H37</f>
        <v>848594</v>
      </c>
      <c r="I38" s="32"/>
    </row>
    <row r="39" customFormat="false" ht="15" hidden="false" customHeight="false" outlineLevel="0" collapsed="false">
      <c r="A39" s="33" t="s">
        <v>568</v>
      </c>
      <c r="B39" s="33" t="s">
        <v>569</v>
      </c>
      <c r="C39" s="34" t="n">
        <f aca="false">C32+C38</f>
        <v>96931836</v>
      </c>
      <c r="D39" s="34" t="n">
        <f aca="false">D32+D38</f>
        <v>125668352</v>
      </c>
      <c r="E39" s="34" t="n">
        <f aca="false">E32+E38</f>
        <v>108318051</v>
      </c>
      <c r="F39" s="34" t="n">
        <f aca="false">F32+F38</f>
        <v>114343776</v>
      </c>
      <c r="G39" s="34" t="n">
        <f aca="false">G32+G38</f>
        <v>126027052</v>
      </c>
      <c r="H39" s="34" t="n">
        <f aca="false">H32+H38</f>
        <v>134430600</v>
      </c>
      <c r="I39" s="32"/>
    </row>
    <row r="40" customFormat="false" ht="15" hidden="false" customHeight="false" outlineLevel="0" collapsed="false">
      <c r="A40" s="13" t="s">
        <v>570</v>
      </c>
      <c r="B40" s="12" t="s">
        <v>571</v>
      </c>
      <c r="C40" s="15" t="n">
        <f aca="false">SUMIFS('BALANCE 2024'!$I:$I,'BALANCE 2024'!$C:$C,"TN")-(SUMIFS('BALANCE 2024'!$H:$H,'BALANCE 2024'!$C:$C,"TN"))</f>
        <v>0</v>
      </c>
      <c r="D40" s="15" t="n">
        <f aca="false">SUMIFS('BALANCE 2025'!$I:$I,'BALANCE 2025'!$C:$C,"TN")-(SUMIFS('BALANCE 2025'!$H:$H,'BALANCE 2025'!$C:$C,"TN"))</f>
        <v>0</v>
      </c>
      <c r="E40" s="15" t="n">
        <f aca="false">SUMIFS('BALANCE 2026'!$I:$I,'BALANCE 2026'!$C:$C,"TN")-(SUMIFS('BALANCE 2026'!$H:$H,'BALANCE 2026'!$C:$C,"TN"))</f>
        <v>0</v>
      </c>
      <c r="F40" s="15" t="n">
        <f aca="false">SUMIFS('BALANCE 2027'!$I:$I,'BALANCE 2027'!$C:$C,"TN")-(SUMIFS('BALANCE 2027'!$H:$H,'BALANCE 2027'!$C:$C,"TN"))</f>
        <v>0</v>
      </c>
      <c r="G40" s="15" t="n">
        <f aca="false">SUMIFS('BALANCE 2028'!$I:$I,'BALANCE 2028'!$C:$C,"TN")-(SUMIFS('BALANCE 2028'!$H:$H,'BALANCE 2028'!$C:$C,"TN"))</f>
        <v>0</v>
      </c>
      <c r="H40" s="15" t="n">
        <f aca="false">SUMIFS('BALANCE 2029'!$I:$I,'BALANCE 2029'!$C:$C,"TN")-(SUMIFS('BALANCE 2029'!$H:$H,'BALANCE 2029'!$C:$C,"TN"))</f>
        <v>0</v>
      </c>
    </row>
    <row r="41" customFormat="false" ht="15" hidden="false" customHeight="false" outlineLevel="0" collapsed="false">
      <c r="A41" s="13" t="s">
        <v>572</v>
      </c>
      <c r="B41" s="12" t="s">
        <v>573</v>
      </c>
      <c r="C41" s="15" t="n">
        <f aca="false">SUMIFS('BALANCE 2024'!$I:$I,'BALANCE 2024'!$C:$C,"TO")-(SUMIFS('BALANCE 2024'!$H:$H,'BALANCE 2024'!$C:$C,"TO"))</f>
        <v>0</v>
      </c>
      <c r="D41" s="15" t="n">
        <f aca="false">SUMIFS('BALANCE 2025'!$I:$I,'BALANCE 2025'!$C:$C,"TO")-(SUMIFS('BALANCE 2025'!$H:$H,'BALANCE 2025'!$C:$C,"TO"))</f>
        <v>0</v>
      </c>
      <c r="E41" s="15" t="n">
        <f aca="false">SUMIFS('BALANCE 2026'!$I:$I,'BALANCE 2026'!$C:$C,"TO")-(SUMIFS('BALANCE 2026'!$H:$H,'BALANCE 2026'!$C:$C,"TO"))</f>
        <v>0</v>
      </c>
      <c r="F41" s="15" t="n">
        <f aca="false">SUMIFS('BALANCE 2027'!$I:$I,'BALANCE 2027'!$C:$C,"TO")-(SUMIFS('BALANCE 2027'!$H:$H,'BALANCE 2027'!$C:$C,"TO"))</f>
        <v>0</v>
      </c>
      <c r="G41" s="15" t="n">
        <f aca="false">SUMIFS('BALANCE 2028'!$I:$I,'BALANCE 2028'!$C:$C,"TO")-(SUMIFS('BALANCE 2028'!$H:$H,'BALANCE 2028'!$C:$C,"TO"))</f>
        <v>0</v>
      </c>
      <c r="H41" s="15" t="n">
        <f aca="false">SUMIFS('BALANCE 2029'!$I:$I,'BALANCE 2029'!$C:$C,"TO")-(SUMIFS('BALANCE 2029'!$H:$H,'BALANCE 2029'!$C:$C,"TO"))</f>
        <v>0</v>
      </c>
    </row>
    <row r="42" customFormat="false" ht="15" hidden="false" customHeight="false" outlineLevel="0" collapsed="false">
      <c r="A42" s="13" t="s">
        <v>574</v>
      </c>
      <c r="B42" s="12" t="s">
        <v>575</v>
      </c>
      <c r="C42" s="15" t="n">
        <f aca="false">SUMIFS('BALANCE 2024'!$I:$I,'BALANCE 2024'!$C:$C,"RO")-(SUMIFS('BALANCE 2024'!$H:$H,'BALANCE 2024'!$C:$C,"RO"))</f>
        <v>0</v>
      </c>
      <c r="D42" s="15" t="n">
        <f aca="false">SUMIFS('BALANCE 2025'!$I:$I,'BALANCE 2025'!$C:$C,"RO")-(SUMIFS('BALANCE 2025'!$H:$H,'BALANCE 2025'!$C:$C,"RO"))</f>
        <v>0</v>
      </c>
      <c r="E42" s="15" t="n">
        <f aca="false">SUMIFS('BALANCE 2026'!$I:$I,'BALANCE 2026'!$C:$C,"RO")-(SUMIFS('BALANCE 2026'!$H:$H,'BALANCE 2026'!$C:$C,"RO"))</f>
        <v>0</v>
      </c>
      <c r="F42" s="15" t="n">
        <f aca="false">SUMIFS('BALANCE 2027'!$I:$I,'BALANCE 2027'!$C:$C,"RO")-(SUMIFS('BALANCE 2027'!$H:$H,'BALANCE 2027'!$C:$C,"RO"))</f>
        <v>0</v>
      </c>
      <c r="G42" s="15" t="n">
        <f aca="false">SUMIFS('BALANCE 2028'!$I:$I,'BALANCE 2028'!$C:$C,"RO")-(SUMIFS('BALANCE 2028'!$H:$H,'BALANCE 2028'!$C:$C,"RO"))</f>
        <v>0</v>
      </c>
      <c r="H42" s="15" t="n">
        <f aca="false">SUMIFS('BALANCE 2029'!$I:$I,'BALANCE 2029'!$C:$C,"RO")-(SUMIFS('BALANCE 2029'!$H:$H,'BALANCE 2029'!$C:$C,"RO"))</f>
        <v>0</v>
      </c>
    </row>
    <row r="43" customFormat="false" ht="15" hidden="false" customHeight="false" outlineLevel="0" collapsed="false">
      <c r="A43" s="13" t="s">
        <v>576</v>
      </c>
      <c r="B43" s="12" t="s">
        <v>577</v>
      </c>
      <c r="C43" s="15" t="n">
        <f aca="false">SUMIFS('BALANCE 2024'!$I:$I,'BALANCE 2024'!$C:$C,"RP")-(SUMIFS('BALANCE 2024'!$H:$H,'BALANCE 2024'!$C:$C,"RP"))</f>
        <v>0</v>
      </c>
      <c r="D43" s="15" t="n">
        <f aca="false">SUMIFS('BALANCE 2025'!$I:$I,'BALANCE 2025'!$C:$C,"RP")-(SUMIFS('BALANCE 2025'!$H:$H,'BALANCE 2025'!$C:$C,"RP"))</f>
        <v>0</v>
      </c>
      <c r="E43" s="15" t="n">
        <f aca="false">SUMIFS('BALANCE 2026'!$I:$I,'BALANCE 2026'!$C:$C,"RP")-(SUMIFS('BALANCE 2026'!$H:$H,'BALANCE 2026'!$C:$C,"RP"))</f>
        <v>0</v>
      </c>
      <c r="F43" s="15" t="n">
        <f aca="false">SUMIFS('BALANCE 2027'!$I:$I,'BALANCE 2027'!$C:$C,"RP")-(SUMIFS('BALANCE 2027'!$H:$H,'BALANCE 2027'!$C:$C,"RP"))</f>
        <v>0</v>
      </c>
      <c r="G43" s="15" t="n">
        <f aca="false">SUMIFS('BALANCE 2028'!$I:$I,'BALANCE 2028'!$C:$C,"RP")-(SUMIFS('BALANCE 2028'!$H:$H,'BALANCE 2028'!$C:$C,"RP"))</f>
        <v>0</v>
      </c>
      <c r="H43" s="15" t="n">
        <f aca="false">SUMIFS('BALANCE 2029'!$I:$I,'BALANCE 2029'!$C:$C,"RP")-(SUMIFS('BALANCE 2029'!$H:$H,'BALANCE 2029'!$C:$C,"RP"))</f>
        <v>0</v>
      </c>
    </row>
    <row r="44" customFormat="false" ht="15" hidden="false" customHeight="false" outlineLevel="0" collapsed="false">
      <c r="A44" s="33" t="s">
        <v>578</v>
      </c>
      <c r="B44" s="33" t="s">
        <v>579</v>
      </c>
      <c r="C44" s="34" t="n">
        <f aca="false">C40+C41+C42+C43</f>
        <v>0</v>
      </c>
      <c r="D44" s="34" t="n">
        <f aca="false">D40+D41+D42+D43</f>
        <v>0</v>
      </c>
      <c r="E44" s="34" t="n">
        <f aca="false">E40+E41+E42+E43</f>
        <v>0</v>
      </c>
      <c r="F44" s="34" t="n">
        <f aca="false">F40+F41+F42+F43</f>
        <v>0</v>
      </c>
      <c r="G44" s="34" t="n">
        <f aca="false">G40+G41+G42+G43</f>
        <v>0</v>
      </c>
      <c r="H44" s="34" t="n">
        <f aca="false">H40+H41+H42+H43</f>
        <v>0</v>
      </c>
      <c r="I44" s="32"/>
    </row>
    <row r="45" customFormat="false" ht="15" hidden="false" customHeight="false" outlineLevel="0" collapsed="false">
      <c r="A45" s="13" t="s">
        <v>580</v>
      </c>
      <c r="B45" s="12" t="s">
        <v>581</v>
      </c>
      <c r="C45" s="15" t="n">
        <f aca="false">SUMIFS('BALANCE 2024'!$I:$I,'BALANCE 2024'!$C:$C,"RQ")-(SUMIFS('BALANCE 2024'!$H:$H,'BALANCE 2024'!$C:$C,"RQ"))</f>
        <v>0</v>
      </c>
      <c r="D45" s="15" t="n">
        <f aca="false">SUMIFS('BALANCE 2025'!$I:$I,'BALANCE 2025'!$C:$C,"RQ")-(SUMIFS('BALANCE 2025'!$H:$H,'BALANCE 2025'!$C:$C,"RQ"))</f>
        <v>0</v>
      </c>
      <c r="E45" s="15" t="n">
        <f aca="false">SUMIFS('BALANCE 2026'!$I:$I,'BALANCE 2026'!$C:$C,"RQ")-(SUMIFS('BALANCE 2026'!$H:$H,'BALANCE 2026'!$C:$C,"RQ"))</f>
        <v>0</v>
      </c>
      <c r="F45" s="15" t="n">
        <f aca="false">SUMIFS('BALANCE 2027'!$I:$I,'BALANCE 2027'!$C:$C,"RQ")-(SUMIFS('BALANCE 2027'!$H:$H,'BALANCE 2027'!$C:$C,"RQ"))</f>
        <v>0</v>
      </c>
      <c r="G45" s="15" t="n">
        <f aca="false">SUMIFS('BALANCE 2028'!$I:$I,'BALANCE 2028'!$C:$C,"RQ")-(SUMIFS('BALANCE 2028'!$H:$H,'BALANCE 2028'!$C:$C,"RQ"))</f>
        <v>0</v>
      </c>
      <c r="H45" s="15" t="n">
        <f aca="false">SUMIFS('BALANCE 2029'!$I:$I,'BALANCE 2029'!$C:$C,"RQ")-(SUMIFS('BALANCE 2029'!$H:$H,'BALANCE 2029'!$C:$C,"RQ"))</f>
        <v>0</v>
      </c>
    </row>
    <row r="46" customFormat="false" ht="15" hidden="false" customHeight="false" outlineLevel="0" collapsed="false">
      <c r="A46" s="13" t="s">
        <v>410</v>
      </c>
      <c r="B46" s="12" t="s">
        <v>582</v>
      </c>
      <c r="C46" s="15" t="n">
        <f aca="false">SUMIFS('BALANCE 2024'!$I:$I,'BALANCE 2024'!$C:$C,"RS")-(SUMIFS('BALANCE 2024'!$H:$H,'BALANCE 2024'!$C:$C,"RS"))</f>
        <v>-24232959</v>
      </c>
      <c r="D46" s="15" t="n">
        <f aca="false">SUMIFS('BALANCE 2025'!$I:$I,'BALANCE 2025'!$C:$C,"RS")-(SUMIFS('BALANCE 2025'!$H:$H,'BALANCE 2025'!$C:$C,"RS"))</f>
        <v>-33153484</v>
      </c>
      <c r="E46" s="15" t="n">
        <f aca="false">SUMIFS('BALANCE 2026'!$I:$I,'BALANCE 2026'!$C:$C,"RS")-(SUMIFS('BALANCE 2026'!$H:$H,'BALANCE 2026'!$C:$C,"RS"))</f>
        <v>-28782225</v>
      </c>
      <c r="F46" s="15" t="n">
        <f aca="false">SUMIFS('BALANCE 2027'!$I:$I,'BALANCE 2027'!$C:$C,"RS")-(SUMIFS('BALANCE 2027'!$H:$H,'BALANCE 2027'!$C:$C,"RS"))</f>
        <v>-30373792</v>
      </c>
      <c r="G46" s="15" t="n">
        <f aca="false">SUMIFS('BALANCE 2028'!$I:$I,'BALANCE 2028'!$C:$C,"RS")-(SUMIFS('BALANCE 2028'!$H:$H,'BALANCE 2028'!$C:$C,"RS"))</f>
        <v>-33384003</v>
      </c>
      <c r="H46" s="15" t="n">
        <f aca="false">SUMIFS('BALANCE 2029'!$I:$I,'BALANCE 2029'!$C:$C,"RS")-(SUMIFS('BALANCE 2029'!$H:$H,'BALANCE 2029'!$C:$C,"RS"))</f>
        <v>-35578752</v>
      </c>
    </row>
    <row r="47" customFormat="false" ht="15" hidden="false" customHeight="false" outlineLevel="0" collapsed="false">
      <c r="A47" s="33" t="s">
        <v>129</v>
      </c>
      <c r="B47" s="33" t="s">
        <v>583</v>
      </c>
      <c r="C47" s="34" t="n">
        <f aca="false">C39+C44+C45+C46</f>
        <v>72698877</v>
      </c>
      <c r="D47" s="34" t="n">
        <f aca="false">D39+D44+D45+D46</f>
        <v>92514868</v>
      </c>
      <c r="E47" s="34" t="n">
        <f aca="false">E39+E44+E45+E46</f>
        <v>79535826</v>
      </c>
      <c r="F47" s="34" t="n">
        <f aca="false">F39+F44+F45+F46</f>
        <v>83969984</v>
      </c>
      <c r="G47" s="34" t="n">
        <f aca="false">G39+G44+G45+G46</f>
        <v>92643049</v>
      </c>
      <c r="H47" s="34" t="n">
        <f aca="false">H39+H44+H45+H46</f>
        <v>98851848</v>
      </c>
      <c r="I47" s="46" t="n">
        <f aca="false">IF(OR(C47&lt;=0,H47&lt;=0),"",(H47/C47)^(1/5)-1)</f>
        <v>0.0633871747536865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584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585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9" t="s">
        <v>423</v>
      </c>
      <c r="B5" s="29" t="s">
        <v>586</v>
      </c>
      <c r="C5" s="29" t="str">
        <f aca="false">"Réel "&amp;HYPOTHESES!$C$5</f>
        <v>Réel 2024</v>
      </c>
      <c r="D5" s="45" t="n">
        <f aca="false">HYPOTHESES!$C$5+1</f>
        <v>2025</v>
      </c>
      <c r="E5" s="45" t="n">
        <f aca="false">HYPOTHESES!$C$5+2</f>
        <v>2026</v>
      </c>
      <c r="F5" s="45" t="n">
        <f aca="false">HYPOTHESES!$C$5+3</f>
        <v>2027</v>
      </c>
      <c r="G5" s="45" t="n">
        <f aca="false">HYPOTHESES!$C$5+4</f>
        <v>2028</v>
      </c>
      <c r="H5" s="45" t="n">
        <f aca="false">HYPOTHESES!$C$5+5</f>
        <v>2029</v>
      </c>
      <c r="I5" s="29" t="s">
        <v>425</v>
      </c>
    </row>
    <row r="6" customFormat="false" ht="15" hidden="false" customHeight="false" outlineLevel="0" collapsed="false">
      <c r="A6" s="33" t="s">
        <v>587</v>
      </c>
      <c r="B6" s="33" t="s">
        <v>588</v>
      </c>
      <c r="C6" s="47" t="s">
        <v>589</v>
      </c>
      <c r="D6" s="34" t="n">
        <f aca="false">BILAN!C28-BILAN!C58</f>
        <v>128133958</v>
      </c>
      <c r="E6" s="34" t="n">
        <f aca="false">BILAN!D28-BILAN!D58</f>
        <v>215946214</v>
      </c>
      <c r="F6" s="34" t="n">
        <f aca="false">BILAN!E28-BILAN!E58</f>
        <v>309736749</v>
      </c>
      <c r="G6" s="34" t="n">
        <f aca="false">BILAN!F28-BILAN!F58</f>
        <v>420816123</v>
      </c>
      <c r="H6" s="34" t="n">
        <f aca="false">BILAN!G28-BILAN!G58</f>
        <v>514764941</v>
      </c>
      <c r="I6" s="32"/>
    </row>
    <row r="7" customFormat="false" ht="15" hidden="false" customHeight="false" outlineLevel="0" collapsed="false">
      <c r="A7" s="13" t="s">
        <v>229</v>
      </c>
      <c r="B7" s="12" t="s">
        <v>590</v>
      </c>
      <c r="C7" s="48" t="s">
        <v>589</v>
      </c>
      <c r="D7" s="15" t="n">
        <f aca="false">'COMPTE DE RESULTAT'!D47-'COMPTE DE RESULTAT'!D31-'COMPTE DE RESULTAT'!D37-'COMPTE DE RESULTAT'!D30-'COMPTE DE RESULTAT'!D34-'COMPTE DE RESULTAT'!D42-'COMPTE DE RESULTAT'!D40</f>
        <v>185539025</v>
      </c>
      <c r="E7" s="15" t="n">
        <f aca="false">'COMPTE DE RESULTAT'!E47-'COMPTE DE RESULTAT'!E31-'COMPTE DE RESULTAT'!E37-'COMPTE DE RESULTAT'!E30-'COMPTE DE RESULTAT'!E34-'COMPTE DE RESULTAT'!E42-'COMPTE DE RESULTAT'!E40</f>
        <v>180052002</v>
      </c>
      <c r="F7" s="15" t="n">
        <f aca="false">'COMPTE DE RESULTAT'!F47-'COMPTE DE RESULTAT'!F31-'COMPTE DE RESULTAT'!F37-'COMPTE DE RESULTAT'!F30-'COMPTE DE RESULTAT'!F34-'COMPTE DE RESULTAT'!F42-'COMPTE DE RESULTAT'!F40</f>
        <v>188217530</v>
      </c>
      <c r="G7" s="15" t="n">
        <f aca="false">'COMPTE DE RESULTAT'!G47-'COMPTE DE RESULTAT'!G31-'COMPTE DE RESULTAT'!G37-'COMPTE DE RESULTAT'!G30-'COMPTE DE RESULTAT'!G34-'COMPTE DE RESULTAT'!G42-'COMPTE DE RESULTAT'!G40</f>
        <v>196017393</v>
      </c>
      <c r="H7" s="15" t="n">
        <f aca="false">'COMPTE DE RESULTAT'!H47-'COMPTE DE RESULTAT'!H31-'COMPTE DE RESULTAT'!H37-'COMPTE DE RESULTAT'!H30-'COMPTE DE RESULTAT'!H34-'COMPTE DE RESULTAT'!H42-'COMPTE DE RESULTAT'!H40</f>
        <v>204685159</v>
      </c>
    </row>
    <row r="8" customFormat="false" ht="15" hidden="false" customHeight="false" outlineLevel="0" collapsed="false">
      <c r="A8" s="13" t="s">
        <v>591</v>
      </c>
      <c r="B8" s="12" t="s">
        <v>592</v>
      </c>
      <c r="C8" s="48" t="s">
        <v>589</v>
      </c>
      <c r="D8" s="15" t="n">
        <f aca="false">-(BILAN!D18-BILAN!C18)</f>
        <v>-0</v>
      </c>
      <c r="E8" s="15" t="n">
        <f aca="false">-(BILAN!E18-BILAN!D18)</f>
        <v>-0</v>
      </c>
      <c r="F8" s="15" t="n">
        <f aca="false">-(BILAN!F18-BILAN!E18)</f>
        <v>-0</v>
      </c>
      <c r="G8" s="15" t="n">
        <f aca="false">-(BILAN!G18-BILAN!F18)</f>
        <v>-0</v>
      </c>
      <c r="H8" s="15" t="n">
        <f aca="false">-(BILAN!H18-BILAN!G18)</f>
        <v>-0</v>
      </c>
    </row>
    <row r="9" customFormat="false" ht="15" hidden="false" customHeight="false" outlineLevel="0" collapsed="false">
      <c r="A9" s="13" t="s">
        <v>593</v>
      </c>
      <c r="B9" s="12" t="s">
        <v>594</v>
      </c>
      <c r="C9" s="48" t="s">
        <v>589</v>
      </c>
      <c r="D9" s="15" t="n">
        <f aca="false">-(BILAN!D19-BILAN!C19)</f>
        <v>-0</v>
      </c>
      <c r="E9" s="15" t="n">
        <f aca="false">-(BILAN!E19-BILAN!D19)</f>
        <v>-0</v>
      </c>
      <c r="F9" s="15" t="n">
        <f aca="false">-(BILAN!F19-BILAN!E19)</f>
        <v>-0</v>
      </c>
      <c r="G9" s="15" t="n">
        <f aca="false">-(BILAN!G19-BILAN!F19)</f>
        <v>-0</v>
      </c>
      <c r="H9" s="15" t="n">
        <f aca="false">-(BILAN!H19-BILAN!G19)</f>
        <v>-0</v>
      </c>
    </row>
    <row r="10" customFormat="false" ht="15" hidden="false" customHeight="false" outlineLevel="0" collapsed="false">
      <c r="A10" s="13" t="s">
        <v>595</v>
      </c>
      <c r="B10" s="12" t="s">
        <v>596</v>
      </c>
      <c r="C10" s="48" t="s">
        <v>589</v>
      </c>
      <c r="D10" s="15" t="n">
        <f aca="false">-(BILAN!D23-BILAN!C23)</f>
        <v>-14873321</v>
      </c>
      <c r="E10" s="15" t="n">
        <f aca="false">-(BILAN!E23-BILAN!D23)</f>
        <v>-41428360</v>
      </c>
      <c r="F10" s="15" t="n">
        <f aca="false">-(BILAN!F23-BILAN!E23)</f>
        <v>-25428654</v>
      </c>
      <c r="G10" s="15" t="n">
        <f aca="false">-(BILAN!G23-BILAN!F23)</f>
        <v>-26700087</v>
      </c>
      <c r="H10" s="15" t="n">
        <f aca="false">-(BILAN!H23-BILAN!G23)</f>
        <v>-28035091</v>
      </c>
    </row>
    <row r="11" customFormat="false" ht="15" hidden="false" customHeight="false" outlineLevel="0" collapsed="false">
      <c r="A11" s="13" t="s">
        <v>597</v>
      </c>
      <c r="B11" s="12" t="s">
        <v>598</v>
      </c>
      <c r="C11" s="48" t="s">
        <v>589</v>
      </c>
      <c r="D11" s="15" t="n">
        <f aca="false">(BILAN!D55-BILAN!D49)-(BILAN!C55-BILAN!C49)</f>
        <v>4514991</v>
      </c>
      <c r="E11" s="15" t="n">
        <f aca="false">(BILAN!E55-BILAN!E49)-(BILAN!D55-BILAN!D49)</f>
        <v>10022708</v>
      </c>
      <c r="F11" s="15" t="n">
        <f aca="false">(BILAN!F55-BILAN!F49)-(BILAN!E55-BILAN!E49)</f>
        <v>9869807</v>
      </c>
      <c r="G11" s="15" t="n">
        <f aca="false">(BILAN!G55-BILAN!G49)-(BILAN!F55-BILAN!F49)</f>
        <v>11655266</v>
      </c>
      <c r="H11" s="15" t="n">
        <f aca="false">(BILAN!H55-BILAN!H49)-(BILAN!G55-BILAN!G49)</f>
        <v>11312728</v>
      </c>
    </row>
    <row r="12" customFormat="false" ht="15" hidden="false" customHeight="false" outlineLevel="0" collapsed="false">
      <c r="A12" s="33" t="s">
        <v>599</v>
      </c>
      <c r="B12" s="33" t="s">
        <v>600</v>
      </c>
      <c r="C12" s="47" t="s">
        <v>589</v>
      </c>
      <c r="D12" s="34" t="n">
        <f aca="false">D7+D8+D9+D10+D11</f>
        <v>175180695</v>
      </c>
      <c r="E12" s="34" t="n">
        <f aca="false">E7+E8+E9+E10+E11</f>
        <v>148646350</v>
      </c>
      <c r="F12" s="34" t="n">
        <f aca="false">F7+F8+F9+F10+F11</f>
        <v>172658683</v>
      </c>
      <c r="G12" s="34" t="n">
        <f aca="false">G7+G8+G9+G10+G11</f>
        <v>180972572</v>
      </c>
      <c r="H12" s="34" t="n">
        <f aca="false">H7+H8+H9+H10+H11</f>
        <v>187962796</v>
      </c>
      <c r="I12" s="32"/>
    </row>
    <row r="13" customFormat="false" ht="15" hidden="false" customHeight="false" outlineLevel="0" collapsed="false">
      <c r="A13" s="13" t="s">
        <v>601</v>
      </c>
      <c r="B13" s="12" t="s">
        <v>602</v>
      </c>
      <c r="C13" s="48" t="s">
        <v>589</v>
      </c>
      <c r="D13" s="15" t="n">
        <f aca="false">-((SUMIFS('BALANCE 2025'!$H:$H,'BALANCE 2025'!$C:$C,"AD"))-(SUMIFS('BALANCE 2024'!$H:$H,'BALANCE 2024'!$C:$C,"AD")))</f>
        <v>-0</v>
      </c>
      <c r="E13" s="15" t="n">
        <f aca="false">-((SUMIFS('BALANCE 2026'!$H:$H,'BALANCE 2026'!$C:$C,"AD"))-(SUMIFS('BALANCE 2025'!$H:$H,'BALANCE 2025'!$C:$C,"AD")))</f>
        <v>-0</v>
      </c>
      <c r="F13" s="15" t="n">
        <f aca="false">-((SUMIFS('BALANCE 2027'!$H:$H,'BALANCE 2027'!$C:$C,"AD"))-(SUMIFS('BALANCE 2026'!$H:$H,'BALANCE 2026'!$C:$C,"AD")))</f>
        <v>-0</v>
      </c>
      <c r="G13" s="15" t="n">
        <f aca="false">-((SUMIFS('BALANCE 2028'!$H:$H,'BALANCE 2028'!$C:$C,"AD"))-(SUMIFS('BALANCE 2027'!$H:$H,'BALANCE 2027'!$C:$C,"AD")))</f>
        <v>-0</v>
      </c>
      <c r="H13" s="15" t="n">
        <f aca="false">-((SUMIFS('BALANCE 2029'!$H:$H,'BALANCE 2029'!$C:$C,"AD"))-(SUMIFS('BALANCE 2028'!$H:$H,'BALANCE 2028'!$C:$C,"AD")))</f>
        <v>-0</v>
      </c>
    </row>
    <row r="14" customFormat="false" ht="15" hidden="false" customHeight="false" outlineLevel="0" collapsed="false">
      <c r="A14" s="13" t="s">
        <v>603</v>
      </c>
      <c r="B14" s="12" t="s">
        <v>604</v>
      </c>
      <c r="C14" s="48" t="s">
        <v>589</v>
      </c>
      <c r="D14" s="15" t="n">
        <f aca="false">-((SUMIFS('BALANCE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2025'!$C:$C,"AP"))-(SUMIFS('BALANCE 2024'!$H:$H,'BALANCE 2024'!$C:$C,"AJ")+SUMIFS('BALANCE 2024'!$H:$H,'BALANCE 2024'!$C:$C,"AK")+SUMIFS('BALANCE 2024'!$H:$H,'BALANCE 2024'!$C:$C,"AL")+SUMIFS('BALANCE 2024'!$H:$H,'BALANCE 2024'!$C:$C,"AM")+SUMIFS('BALANCE 2024'!$H:$H,'BALANCE 2024'!$C:$C,"AN")+SUMIFS('BALANCE 2024'!$H:$H,'BALANCE 2024'!$C:$C,"AP")))+(BILAN!D49-BILAN!C49)</f>
        <v>-37089913</v>
      </c>
      <c r="E14" s="15" t="n">
        <f aca="false">-((SUMIFS('BALANCE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2026'!$C:$C,"AP"))-(SUMIFS('BALANCE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2025'!$C:$C,"AP")))+(BILAN!E49-BILAN!D49)</f>
        <v>-54855815</v>
      </c>
      <c r="F14" s="15" t="n">
        <f aca="false">-((SUMIFS('BALANCE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2027'!$C:$C,"AP"))-(SUMIFS('BALANCE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2026'!$C:$C,"AP")))+(BILAN!F49-BILAN!E49)</f>
        <v>-61579309</v>
      </c>
      <c r="G14" s="15" t="n">
        <f aca="false">-((SUMIFS('BALANCE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2028'!$C:$C,"AP"))-(SUMIFS('BALANCE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2027'!$C:$C,"AP")))+(BILAN!G49-BILAN!F49)</f>
        <v>-87023754</v>
      </c>
      <c r="H14" s="15" t="n">
        <f aca="false">-((SUMIFS('BALANCE 2029'!$H:$H,'BALANCE 2029'!$C:$C,"AJ")+SUMIFS('BALANCE 2029'!$H:$H,'BALANCE 2029'!$C:$C,"AK")+SUMIFS('BALANCE 2029'!$H:$H,'BALANCE 2029'!$C:$C,"AL")+SUMIFS('BALANCE 2029'!$H:$H,'BALANCE 2029'!$C:$C,"AM")+SUMIFS('BALANCE 2029'!$H:$H,'BALANCE 2029'!$C:$C,"AN")+SUMIFS('BALANCE 2029'!$H:$H,'BALANCE 2029'!$C:$C,"AP"))-(SUMIFS('BALANCE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2028'!$C:$C,"AP")))+(BILAN!H49-BILAN!G49)</f>
        <v>-76134865</v>
      </c>
    </row>
    <row r="15" customFormat="false" ht="15" hidden="false" customHeight="false" outlineLevel="0" collapsed="false">
      <c r="A15" s="13" t="s">
        <v>605</v>
      </c>
      <c r="B15" s="12" t="s">
        <v>606</v>
      </c>
      <c r="C15" s="48" t="s">
        <v>589</v>
      </c>
      <c r="D15" s="15" t="n">
        <f aca="false">-(BILAN!D16-BILAN!C16)</f>
        <v>-0</v>
      </c>
      <c r="E15" s="15" t="n">
        <f aca="false">-(BILAN!E16-BILAN!D16)</f>
        <v>-0</v>
      </c>
      <c r="F15" s="15" t="n">
        <f aca="false">-(BILAN!F16-BILAN!E16)</f>
        <v>-0</v>
      </c>
      <c r="G15" s="15" t="n">
        <f aca="false">-(BILAN!G16-BILAN!F16)</f>
        <v>-0</v>
      </c>
      <c r="H15" s="15" t="n">
        <f aca="false">-(BILAN!H16-BILAN!G16)</f>
        <v>-0</v>
      </c>
    </row>
    <row r="16" customFormat="false" ht="15" hidden="false" customHeight="false" outlineLevel="0" collapsed="false">
      <c r="A16" s="13" t="s">
        <v>607</v>
      </c>
      <c r="B16" s="12" t="s">
        <v>608</v>
      </c>
      <c r="C16" s="48" t="s">
        <v>589</v>
      </c>
      <c r="D16" s="15" t="n">
        <f aca="false">'COMPTE DE RESULTAT'!D40</f>
        <v>0</v>
      </c>
      <c r="E16" s="15" t="n">
        <f aca="false">'COMPTE DE RESULTAT'!E40</f>
        <v>0</v>
      </c>
      <c r="F16" s="15" t="n">
        <f aca="false">'COMPTE DE RESULTAT'!F40</f>
        <v>0</v>
      </c>
      <c r="G16" s="15" t="n">
        <f aca="false">'COMPTE DE RESULTAT'!G40</f>
        <v>0</v>
      </c>
      <c r="H16" s="15" t="n">
        <f aca="false">'COMPTE DE RESULTAT'!H40</f>
        <v>0</v>
      </c>
    </row>
    <row r="17" customFormat="false" ht="15" hidden="false" customHeight="false" outlineLevel="0" collapsed="false">
      <c r="A17" s="13" t="s">
        <v>609</v>
      </c>
      <c r="B17" s="12" t="s">
        <v>610</v>
      </c>
      <c r="C17" s="48" t="s">
        <v>589</v>
      </c>
      <c r="D17" s="21" t="n">
        <f aca="false">0</f>
        <v>0</v>
      </c>
      <c r="E17" s="21" t="n">
        <f aca="false">0</f>
        <v>0</v>
      </c>
      <c r="F17" s="21" t="n">
        <f aca="false">0</f>
        <v>0</v>
      </c>
      <c r="G17" s="21" t="n">
        <f aca="false">0</f>
        <v>0</v>
      </c>
      <c r="H17" s="21" t="n">
        <f aca="false">0</f>
        <v>0</v>
      </c>
    </row>
    <row r="18" customFormat="false" ht="15" hidden="false" customHeight="false" outlineLevel="0" collapsed="false">
      <c r="A18" s="33" t="s">
        <v>611</v>
      </c>
      <c r="B18" s="33" t="s">
        <v>612</v>
      </c>
      <c r="C18" s="47" t="s">
        <v>589</v>
      </c>
      <c r="D18" s="34" t="n">
        <f aca="false">D13+D14+D15+D16+D17</f>
        <v>-37089913</v>
      </c>
      <c r="E18" s="34" t="n">
        <f aca="false">E13+E14+E15+E16+E17</f>
        <v>-54855815</v>
      </c>
      <c r="F18" s="34" t="n">
        <f aca="false">F13+F14+F15+F16+F17</f>
        <v>-61579309</v>
      </c>
      <c r="G18" s="34" t="n">
        <f aca="false">G13+G14+G15+G16+G17</f>
        <v>-87023754</v>
      </c>
      <c r="H18" s="34" t="n">
        <f aca="false">H13+H14+H15+H16+H17</f>
        <v>-76134865</v>
      </c>
      <c r="I18" s="32"/>
    </row>
    <row r="19" customFormat="false" ht="15" hidden="false" customHeight="false" outlineLevel="0" collapsed="false">
      <c r="A19" s="13" t="s">
        <v>613</v>
      </c>
      <c r="B19" s="12" t="s">
        <v>614</v>
      </c>
      <c r="C19" s="48" t="s">
        <v>589</v>
      </c>
      <c r="D19" s="15" t="n">
        <f aca="false">BILAN!D33-BILAN!C33</f>
        <v>0</v>
      </c>
      <c r="E19" s="15" t="n">
        <f aca="false">BILAN!E33-BILAN!D33</f>
        <v>0</v>
      </c>
      <c r="F19" s="15" t="n">
        <f aca="false">BILAN!F33-BILAN!E33</f>
        <v>0</v>
      </c>
      <c r="G19" s="15" t="n">
        <f aca="false">BILAN!G33-BILAN!F33</f>
        <v>0</v>
      </c>
      <c r="H19" s="15" t="n">
        <f aca="false">BILAN!H33-BILAN!G33</f>
        <v>0</v>
      </c>
    </row>
    <row r="20" customFormat="false" ht="15" hidden="false" customHeight="false" outlineLevel="0" collapsed="false">
      <c r="A20" s="13" t="s">
        <v>615</v>
      </c>
      <c r="B20" s="12" t="s">
        <v>616</v>
      </c>
      <c r="C20" s="48" t="s">
        <v>589</v>
      </c>
      <c r="D20" s="15" t="n">
        <f aca="false">BILAN!D41-BILAN!C41</f>
        <v>0</v>
      </c>
      <c r="E20" s="15" t="n">
        <f aca="false">BILAN!E41-BILAN!D41</f>
        <v>0</v>
      </c>
      <c r="F20" s="15" t="n">
        <f aca="false">BILAN!F41-BILAN!E41</f>
        <v>0</v>
      </c>
      <c r="G20" s="15" t="n">
        <f aca="false">BILAN!G41-BILAN!F41</f>
        <v>0</v>
      </c>
      <c r="H20" s="15" t="n">
        <f aca="false">BILAN!H41-BILAN!G41</f>
        <v>0</v>
      </c>
    </row>
    <row r="21" customFormat="false" ht="15" hidden="false" customHeight="false" outlineLevel="0" collapsed="false">
      <c r="A21" s="13" t="s">
        <v>617</v>
      </c>
      <c r="B21" s="12" t="s">
        <v>618</v>
      </c>
      <c r="C21" s="48" t="s">
        <v>589</v>
      </c>
      <c r="D21" s="21" t="n">
        <f aca="false">0</f>
        <v>0</v>
      </c>
      <c r="E21" s="21" t="n">
        <f aca="false">0</f>
        <v>0</v>
      </c>
      <c r="F21" s="21" t="n">
        <f aca="false">0</f>
        <v>0</v>
      </c>
      <c r="G21" s="21" t="n">
        <f aca="false">0</f>
        <v>0</v>
      </c>
      <c r="H21" s="21" t="n">
        <f aca="false">0</f>
        <v>0</v>
      </c>
    </row>
    <row r="22" customFormat="false" ht="15" hidden="false" customHeight="false" outlineLevel="0" collapsed="false">
      <c r="A22" s="13" t="s">
        <v>619</v>
      </c>
      <c r="B22" s="12" t="s">
        <v>620</v>
      </c>
      <c r="C22" s="48" t="s">
        <v>589</v>
      </c>
      <c r="D22" s="15" t="n">
        <f aca="false">-((BILAN!C37+BILAN!C38+BILAN!C39+BILAN!C40)-(BILAN!D37+BILAN!D38+BILAN!D39))</f>
        <v>-0</v>
      </c>
      <c r="E22" s="15" t="n">
        <f aca="false">-((BILAN!D37+BILAN!D38+BILAN!D39+BILAN!D40)-(BILAN!E37+BILAN!E38+BILAN!E39))</f>
        <v>-0</v>
      </c>
      <c r="F22" s="15" t="n">
        <f aca="false">-((BILAN!E37+BILAN!E38+BILAN!E39+BILAN!E40)-(BILAN!F37+BILAN!F38+BILAN!F39))</f>
        <v>-0</v>
      </c>
      <c r="G22" s="15" t="n">
        <f aca="false">-((BILAN!F37+BILAN!F38+BILAN!F39+BILAN!F40)-(BILAN!G37+BILAN!G38+BILAN!G39))</f>
        <v>-0</v>
      </c>
      <c r="H22" s="15" t="n">
        <f aca="false">-((BILAN!G37+BILAN!G38+BILAN!G39+BILAN!G40)-(BILAN!H37+BILAN!H38+BILAN!H39))</f>
        <v>-0</v>
      </c>
    </row>
    <row r="23" customFormat="false" ht="15" hidden="false" customHeight="false" outlineLevel="0" collapsed="false">
      <c r="A23" s="33" t="s">
        <v>621</v>
      </c>
      <c r="B23" s="33" t="s">
        <v>622</v>
      </c>
      <c r="C23" s="47" t="s">
        <v>589</v>
      </c>
      <c r="D23" s="34" t="n">
        <f aca="false">D19+D20+D21+D22</f>
        <v>0</v>
      </c>
      <c r="E23" s="34" t="n">
        <f aca="false">E19+E20+E21+E22</f>
        <v>0</v>
      </c>
      <c r="F23" s="34" t="n">
        <f aca="false">F19+F20+F21+F22</f>
        <v>0</v>
      </c>
      <c r="G23" s="34" t="n">
        <f aca="false">G19+G20+G21+G22</f>
        <v>0</v>
      </c>
      <c r="H23" s="34" t="n">
        <f aca="false">H19+H20+H21+H22</f>
        <v>0</v>
      </c>
      <c r="I23" s="32"/>
    </row>
    <row r="24" customFormat="false" ht="15" hidden="false" customHeight="false" outlineLevel="0" collapsed="false">
      <c r="A24" s="13" t="s">
        <v>623</v>
      </c>
      <c r="B24" s="12" t="s">
        <v>624</v>
      </c>
      <c r="C24" s="48" t="s">
        <v>589</v>
      </c>
      <c r="D24" s="15" t="n">
        <f aca="false">'INVEST ET FINANCEMENT'!D48</f>
        <v>54395682</v>
      </c>
      <c r="E24" s="15" t="n">
        <f aca="false">'INVEST ET FINANCEMENT'!E48</f>
        <v>0</v>
      </c>
      <c r="F24" s="15" t="n">
        <f aca="false">'INVEST ET FINANCEMENT'!F48</f>
        <v>0</v>
      </c>
      <c r="G24" s="15" t="n">
        <f aca="false">'INVEST ET FINANCEMENT'!G48</f>
        <v>0</v>
      </c>
      <c r="H24" s="15" t="n">
        <f aca="false">'INVEST ET FINANCEMENT'!H48</f>
        <v>0</v>
      </c>
    </row>
    <row r="25" customFormat="false" ht="15" hidden="false" customHeight="false" outlineLevel="0" collapsed="false">
      <c r="A25" s="13" t="s">
        <v>625</v>
      </c>
      <c r="B25" s="12" t="s">
        <v>626</v>
      </c>
      <c r="C25" s="48" t="s">
        <v>589</v>
      </c>
      <c r="D25" s="21" t="n">
        <f aca="false">0</f>
        <v>0</v>
      </c>
      <c r="E25" s="21" t="n">
        <f aca="false">0</f>
        <v>0</v>
      </c>
      <c r="F25" s="21" t="n">
        <f aca="false">0</f>
        <v>0</v>
      </c>
      <c r="G25" s="21" t="n">
        <f aca="false">0</f>
        <v>0</v>
      </c>
      <c r="H25" s="21" t="n">
        <f aca="false">0</f>
        <v>0</v>
      </c>
    </row>
    <row r="26" customFormat="false" ht="15" hidden="false" customHeight="false" outlineLevel="0" collapsed="false">
      <c r="A26" s="13" t="s">
        <v>627</v>
      </c>
      <c r="B26" s="12" t="s">
        <v>628</v>
      </c>
      <c r="C26" s="48" t="s">
        <v>589</v>
      </c>
      <c r="D26" s="15" t="n">
        <f aca="false">-('INVEST ET FINANCEMENT'!D49+'INVEST ET FINANCEMENT'!D50)</f>
        <v>-104674208</v>
      </c>
      <c r="E26" s="15" t="n">
        <f aca="false">-('INVEST ET FINANCEMENT'!E49+'INVEST ET FINANCEMENT'!E50)</f>
        <v>-0</v>
      </c>
      <c r="F26" s="15" t="n">
        <f aca="false">-('INVEST ET FINANCEMENT'!F49+'INVEST ET FINANCEMENT'!F50)</f>
        <v>-0</v>
      </c>
      <c r="G26" s="15" t="n">
        <f aca="false">-('INVEST ET FINANCEMENT'!G49+'INVEST ET FINANCEMENT'!G50)</f>
        <v>-0</v>
      </c>
      <c r="H26" s="15" t="n">
        <f aca="false">-('INVEST ET FINANCEMENT'!H49+'INVEST ET FINANCEMENT'!H50)</f>
        <v>-0</v>
      </c>
    </row>
    <row r="27" customFormat="false" ht="15" hidden="false" customHeight="false" outlineLevel="0" collapsed="false">
      <c r="A27" s="33" t="s">
        <v>629</v>
      </c>
      <c r="B27" s="33" t="s">
        <v>630</v>
      </c>
      <c r="C27" s="47" t="s">
        <v>589</v>
      </c>
      <c r="D27" s="34" t="n">
        <f aca="false">D24+D25+D26</f>
        <v>-50278526</v>
      </c>
      <c r="E27" s="34" t="n">
        <f aca="false">E24+E25+E26</f>
        <v>0</v>
      </c>
      <c r="F27" s="34" t="n">
        <f aca="false">F24+F25+F26</f>
        <v>0</v>
      </c>
      <c r="G27" s="34" t="n">
        <f aca="false">G24+G25+G26</f>
        <v>0</v>
      </c>
      <c r="H27" s="34" t="n">
        <f aca="false">H24+H25+H26</f>
        <v>0</v>
      </c>
      <c r="I27" s="32"/>
    </row>
    <row r="28" customFormat="false" ht="15" hidden="false" customHeight="false" outlineLevel="0" collapsed="false">
      <c r="A28" s="33" t="s">
        <v>631</v>
      </c>
      <c r="B28" s="33" t="s">
        <v>632</v>
      </c>
      <c r="C28" s="47" t="s">
        <v>589</v>
      </c>
      <c r="D28" s="34" t="n">
        <f aca="false">D23+D27</f>
        <v>-50278526</v>
      </c>
      <c r="E28" s="34" t="n">
        <f aca="false">E23+E27</f>
        <v>0</v>
      </c>
      <c r="F28" s="34" t="n">
        <f aca="false">F23+F27</f>
        <v>0</v>
      </c>
      <c r="G28" s="34" t="n">
        <f aca="false">G23+G27</f>
        <v>0</v>
      </c>
      <c r="H28" s="34" t="n">
        <f aca="false">H23+H27</f>
        <v>0</v>
      </c>
      <c r="I28" s="32"/>
    </row>
    <row r="29" customFormat="false" ht="15" hidden="false" customHeight="false" outlineLevel="0" collapsed="false">
      <c r="A29" s="33" t="s">
        <v>633</v>
      </c>
      <c r="B29" s="33" t="s">
        <v>634</v>
      </c>
      <c r="C29" s="47" t="s">
        <v>589</v>
      </c>
      <c r="D29" s="34" t="n">
        <f aca="false">D12+D18+D28</f>
        <v>87812256</v>
      </c>
      <c r="E29" s="34" t="n">
        <f aca="false">E12+E18+E28</f>
        <v>93790535</v>
      </c>
      <c r="F29" s="34" t="n">
        <f aca="false">F12+F18+F28</f>
        <v>111079374</v>
      </c>
      <c r="G29" s="34" t="n">
        <f aca="false">G12+G18+G28</f>
        <v>93948818</v>
      </c>
      <c r="H29" s="34" t="n">
        <f aca="false">H12+H18+H28</f>
        <v>111827931</v>
      </c>
      <c r="I29" s="32"/>
    </row>
    <row r="30" customFormat="false" ht="15" hidden="false" customHeight="false" outlineLevel="0" collapsed="false">
      <c r="A30" s="33" t="s">
        <v>635</v>
      </c>
      <c r="B30" s="33" t="s">
        <v>636</v>
      </c>
      <c r="C30" s="47" t="s">
        <v>589</v>
      </c>
      <c r="D30" s="34" t="n">
        <f aca="false">D29+D6</f>
        <v>215946214</v>
      </c>
      <c r="E30" s="34" t="n">
        <f aca="false">E29+E6</f>
        <v>309736749</v>
      </c>
      <c r="F30" s="34" t="n">
        <f aca="false">F29+F6</f>
        <v>420816123</v>
      </c>
      <c r="G30" s="34" t="n">
        <f aca="false">G29+G6</f>
        <v>514764941</v>
      </c>
      <c r="H30" s="34" t="n">
        <f aca="false">H29+H6</f>
        <v>626592872</v>
      </c>
      <c r="I30" s="32"/>
    </row>
    <row r="31" customFormat="false" ht="15" hidden="false" customHeight="false" outlineLevel="0" collapsed="false">
      <c r="B31" s="7" t="s">
        <v>637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638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639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9" t="s">
        <v>423</v>
      </c>
      <c r="B5" s="29" t="s">
        <v>640</v>
      </c>
      <c r="C5" s="29" t="str">
        <f aca="false">"Réel "&amp;HYPOTHESES!$C$5</f>
        <v>Réel 2024</v>
      </c>
      <c r="D5" s="45" t="n">
        <f aca="false">HYPOTHESES!$C$5+1</f>
        <v>2025</v>
      </c>
      <c r="E5" s="45" t="n">
        <f aca="false">HYPOTHESES!$C$5+2</f>
        <v>2026</v>
      </c>
      <c r="F5" s="45" t="n">
        <f aca="false">HYPOTHESES!$C$5+3</f>
        <v>2027</v>
      </c>
      <c r="G5" s="45" t="n">
        <f aca="false">HYPOTHESES!$C$5+4</f>
        <v>2028</v>
      </c>
      <c r="H5" s="45" t="n">
        <f aca="false">HYPOTHESES!$C$5+5</f>
        <v>2029</v>
      </c>
      <c r="I5" s="29" t="s">
        <v>641</v>
      </c>
    </row>
    <row r="6" customFormat="false" ht="15" hidden="false" customHeight="false" outlineLevel="0" collapsed="false">
      <c r="A6" s="13"/>
      <c r="B6" s="12" t="s">
        <v>642</v>
      </c>
      <c r="C6" s="15" t="n">
        <f aca="false">ABS('BALANCE 2024'!D6)+ABS('BALANCE 2024'!F6)+ABS('BALANCE 2024'!H6)</f>
        <v>0</v>
      </c>
      <c r="D6" s="15" t="n">
        <f aca="false">ABS('BALANCE 2025'!D6)+ABS('BALANCE 2025'!F6)+ABS('BALANCE 2025'!H6)</f>
        <v>0</v>
      </c>
      <c r="E6" s="15" t="n">
        <f aca="false">ABS('BALANCE 2026'!D6)+ABS('BALANCE 2026'!F6)+ABS('BALANCE 2026'!H6)</f>
        <v>0</v>
      </c>
      <c r="F6" s="15" t="n">
        <f aca="false">ABS('BALANCE 2027'!D6)+ABS('BALANCE 2027'!F6)+ABS('BALANCE 2027'!H6)</f>
        <v>0</v>
      </c>
      <c r="G6" s="15" t="n">
        <f aca="false">ABS('BALANCE 2028'!D6)+ABS('BALANCE 2028'!F6)+ABS('BALANCE 2028'!H6)</f>
        <v>0</v>
      </c>
      <c r="H6" s="15" t="n">
        <f aca="false">ABS('BALANCE 2029'!D6)+ABS('BALANCE 2029'!F6)+ABS('BALANCE 2029'!H6)</f>
        <v>0</v>
      </c>
    </row>
    <row r="7" customFormat="false" ht="15" hidden="false" customHeight="false" outlineLevel="0" collapsed="false">
      <c r="A7" s="13"/>
      <c r="B7" s="12" t="s">
        <v>643</v>
      </c>
      <c r="C7" s="21" t="n">
        <f aca="false">SUMPRODUCT(ABS(T_BAL_2024[Contrôle]))</f>
        <v>0</v>
      </c>
      <c r="D7" s="21" t="n">
        <f aca="false">SUMPRODUCT(ABS(T_BAL_2025[Contrôle]))</f>
        <v>0</v>
      </c>
      <c r="E7" s="21" t="n">
        <f aca="false">SUMPRODUCT(ABS(T_BAL_2026[Contrôle]))</f>
        <v>0</v>
      </c>
      <c r="F7" s="21" t="n">
        <f aca="false">SUMPRODUCT(ABS(T_BAL_2027[Contrôle]))</f>
        <v>0</v>
      </c>
      <c r="G7" s="21" t="n">
        <f aca="false">SUMPRODUCT(ABS(T_BAL_2028[Contrôle]))</f>
        <v>0</v>
      </c>
      <c r="H7" s="21" t="n">
        <f aca="false">SUMPRODUCT(ABS(T_BAL_2029[Contrôle]))</f>
        <v>0</v>
      </c>
    </row>
    <row r="8" customFormat="false" ht="15" hidden="false" customHeight="false" outlineLevel="0" collapsed="false">
      <c r="A8" s="13"/>
      <c r="B8" s="12" t="s">
        <v>644</v>
      </c>
      <c r="C8" s="48" t="s">
        <v>589</v>
      </c>
      <c r="D8" s="15" t="n">
        <f aca="false">SUMPRODUCT(ABS((T_BAL_2024[Clôture Débit]-T_BAL_2024[Clôture Crédit])-(SUMIFS('BALANCE 2025'!$D:$D,'BALANCE 2025'!$A:$A,T_BAL_2024[Compte])-SUMIFS('BALANCE 2025'!$E:$E,'BALANCE 2025'!$A:$A,T_BAL_2024[Compte])))*(LEFT(T_BAL_2024[Compte],1)&lt;="5")*(LEFT(T_BAL_2024[Compte],2)&lt;&gt;"13"))</f>
        <v>0</v>
      </c>
      <c r="E8" s="15" t="n">
        <f aca="false">SUMPRODUCT(ABS((T_BAL_2025[Clôture Débit]-T_BAL_2025[Clôture Crédit])-(SUMIFS('BALANCE 2026'!$D:$D,'BALANCE 2026'!$A:$A,T_BAL_2025[Compte])-SUMIFS('BALANCE 2026'!$E:$E,'BALANCE 2026'!$A:$A,T_BAL_2025[Compte])))*(LEFT(T_BAL_2025[Compte],1)&lt;="5")*(LEFT(T_BAL_2025[Compte],2)&lt;&gt;"13"))</f>
        <v>0</v>
      </c>
      <c r="F8" s="15" t="n">
        <f aca="false">SUMPRODUCT(ABS((T_BAL_2026[Clôture Débit]-T_BAL_2026[Clôture Crédit])-(SUMIFS('BALANCE 2027'!$D:$D,'BALANCE 2027'!$A:$A,T_BAL_2026[Compte])-SUMIFS('BALANCE 2027'!$E:$E,'BALANCE 2027'!$A:$A,T_BAL_2026[Compte])))*(LEFT(T_BAL_2026[Compte],1)&lt;="5")*(LEFT(T_BAL_2026[Compte],2)&lt;&gt;"13"))</f>
        <v>0</v>
      </c>
      <c r="G8" s="15" t="n">
        <f aca="false">SUMPRODUCT(ABS((T_BAL_2027[Clôture Débit]-T_BAL_2027[Clôture Crédit])-(SUMIFS('BALANCE 2028'!$D:$D,'BALANCE 2028'!$A:$A,T_BAL_2027[Compte])-SUMIFS('BALANCE 2028'!$E:$E,'BALANCE 2028'!$A:$A,T_BAL_2027[Compte])))*(LEFT(T_BAL_2027[Compte],1)&lt;="5")*(LEFT(T_BAL_2027[Compte],2)&lt;&gt;"13"))</f>
        <v>0</v>
      </c>
      <c r="H8" s="15" t="n">
        <f aca="false">SUMPRODUCT(ABS((T_BAL_2028[Clôture Débit]-T_BAL_2028[Clôture Crédit])-(SUMIFS('BALANCE 2029'!$D:$D,'BALANCE 2029'!$A:$A,T_BAL_2028[Compte])-SUMIFS('BALANCE 2029'!$E:$E,'BALANCE 2029'!$A:$A,T_BAL_2028[Compte])))*(LEFT(T_BAL_2028[Compte],1)&lt;="5")*(LEFT(T_BAL_2028[Compte],2)&lt;&gt;"13"))</f>
        <v>0</v>
      </c>
    </row>
    <row r="9" customFormat="false" ht="15" hidden="false" customHeight="false" outlineLevel="0" collapsed="false">
      <c r="A9" s="13"/>
      <c r="B9" s="12" t="s">
        <v>645</v>
      </c>
      <c r="C9" s="48" t="s">
        <v>589</v>
      </c>
      <c r="D9" s="15" t="n">
        <f aca="false">(SUMPRODUCT(((LEFT(T_BAL_2025[Compte],2)="13"))*(T_BAL_2025[Ouverture Crédit]-T_BAL_2025[Ouverture Débit])))-'COMPTE DE RESULTAT'!C47</f>
        <v>0</v>
      </c>
      <c r="E9" s="15" t="n">
        <f aca="false">(SUMPRODUCT(((LEFT(T_BAL_2026[Compte],2)="13"))*(T_BAL_2026[Ouverture Crédit]-T_BAL_2026[Ouverture Débit])))-'COMPTE DE RESULTAT'!D47</f>
        <v>0</v>
      </c>
      <c r="F9" s="15" t="n">
        <f aca="false">(SUMPRODUCT(((LEFT(T_BAL_2027[Compte],2)="13"))*(T_BAL_2027[Ouverture Crédit]-T_BAL_2027[Ouverture Débit])))-'COMPTE DE RESULTAT'!E47</f>
        <v>0</v>
      </c>
      <c r="G9" s="15" t="n">
        <f aca="false">(SUMPRODUCT(((LEFT(T_BAL_2028[Compte],2)="13"))*(T_BAL_2028[Ouverture Crédit]-T_BAL_2028[Ouverture Débit])))-'COMPTE DE RESULTAT'!F47</f>
        <v>0</v>
      </c>
      <c r="H9" s="15" t="n">
        <f aca="false">(SUMPRODUCT(((LEFT(T_BAL_2029[Compte],2)="13"))*(T_BAL_2029[Ouverture Crédit]-T_BAL_2029[Ouverture Débit])))-'COMPTE DE RESULTAT'!G47</f>
        <v>0</v>
      </c>
    </row>
    <row r="10" customFormat="false" ht="15" hidden="false" customHeight="false" outlineLevel="0" collapsed="false">
      <c r="A10" s="13"/>
      <c r="B10" s="12" t="s">
        <v>646</v>
      </c>
      <c r="C10" s="15" t="n">
        <f aca="false">SUMPRODUCT(((LEFT(T_BAL_2024[Compte],1)="2"))*(T_BAL_2024[Clôture Débit]-T_BAL_2024[Clôture Crédit]))-BILAN!C17</f>
        <v>0</v>
      </c>
      <c r="D10" s="15" t="n">
        <f aca="false">SUMPRODUCT(((LEFT(T_BAL_2025[Compte],1)="2"))*(T_BAL_2025[Clôture Débit]-T_BAL_2025[Clôture Crédit]))-BILAN!D17</f>
        <v>0</v>
      </c>
      <c r="E10" s="15" t="n">
        <f aca="false">SUMPRODUCT(((LEFT(T_BAL_2026[Compte],1)="2"))*(T_BAL_2026[Clôture Débit]-T_BAL_2026[Clôture Crédit]))-BILAN!E17</f>
        <v>0</v>
      </c>
      <c r="F10" s="15" t="n">
        <f aca="false">SUMPRODUCT(((LEFT(T_BAL_2027[Compte],1)="2"))*(T_BAL_2027[Clôture Débit]-T_BAL_2027[Clôture Crédit]))-BILAN!F17</f>
        <v>0</v>
      </c>
      <c r="G10" s="15" t="n">
        <f aca="false">SUMPRODUCT(((LEFT(T_BAL_2028[Compte],1)="2"))*(T_BAL_2028[Clôture Débit]-T_BAL_2028[Clôture Crédit]))-BILAN!G17</f>
        <v>0</v>
      </c>
      <c r="H10" s="15" t="n">
        <f aca="false">SUMPRODUCT(((LEFT(T_BAL_2029[Compte],1)="2"))*(T_BAL_2029[Clôture Débit]-T_BAL_2029[Clôture Crédit]))-BILAN!H17</f>
        <v>0</v>
      </c>
    </row>
    <row r="11" customFormat="false" ht="15" hidden="false" customHeight="false" outlineLevel="0" collapsed="false">
      <c r="A11" s="13"/>
      <c r="B11" s="12" t="s">
        <v>647</v>
      </c>
      <c r="C11" s="15" t="n">
        <f aca="false">SUMPRODUCT(((LEFT(T_BAL_2024[Compte],1)="3")+(LEFT(T_BAL_2024[Compte],1)="4"))*(T_BAL_2024[Clôture Débit]-T_BAL_2024[Clôture Crédit]))-(BILAN!C24-BILAN!C55)</f>
        <v>0</v>
      </c>
      <c r="D11" s="15" t="n">
        <f aca="false">SUMPRODUCT(((LEFT(T_BAL_2025[Compte],1)="3")+(LEFT(T_BAL_2025[Compte],1)="4"))*(T_BAL_2025[Clôture Débit]-T_BAL_2025[Clôture Crédit]))-(BILAN!D24-BILAN!D55)</f>
        <v>0</v>
      </c>
      <c r="E11" s="15" t="n">
        <f aca="false">SUMPRODUCT(((LEFT(T_BAL_2026[Compte],1)="3")+(LEFT(T_BAL_2026[Compte],1)="4"))*(T_BAL_2026[Clôture Débit]-T_BAL_2026[Clôture Crédit]))-(BILAN!E24-BILAN!E55)</f>
        <v>0</v>
      </c>
      <c r="F11" s="15" t="n">
        <f aca="false">SUMPRODUCT(((LEFT(T_BAL_2027[Compte],1)="3")+(LEFT(T_BAL_2027[Compte],1)="4"))*(T_BAL_2027[Clôture Débit]-T_BAL_2027[Clôture Crédit]))-(BILAN!F24-BILAN!F55)</f>
        <v>0</v>
      </c>
      <c r="G11" s="15" t="n">
        <f aca="false">SUMPRODUCT(((LEFT(T_BAL_2028[Compte],1)="3")+(LEFT(T_BAL_2028[Compte],1)="4"))*(T_BAL_2028[Clôture Débit]-T_BAL_2028[Clôture Crédit]))-(BILAN!G24-BILAN!G55)</f>
        <v>0</v>
      </c>
      <c r="H11" s="15" t="n">
        <f aca="false">SUMPRODUCT(((LEFT(T_BAL_2029[Compte],1)="3")+(LEFT(T_BAL_2029[Compte],1)="4"))*(T_BAL_2029[Clôture Débit]-T_BAL_2029[Clôture Crédit]))-(BILAN!H24-BILAN!H55)</f>
        <v>0</v>
      </c>
    </row>
    <row r="12" customFormat="false" ht="15" hidden="false" customHeight="false" outlineLevel="0" collapsed="false">
      <c r="A12" s="13"/>
      <c r="B12" s="12" t="s">
        <v>648</v>
      </c>
      <c r="C12" s="15" t="n">
        <f aca="false">SUMPRODUCT(((LEFT(T_BAL_2024[Compte],1)="5"))*(T_BAL_2024[Clôture Débit]-T_BAL_2024[Clôture Crédit]))-(BILAN!C28-BILAN!C58)</f>
        <v>0</v>
      </c>
      <c r="D12" s="15" t="n">
        <f aca="false">SUMPRODUCT(((LEFT(T_BAL_2025[Compte],1)="5"))*(T_BAL_2025[Clôture Débit]-T_BAL_2025[Clôture Crédit]))-(BILAN!D28-BILAN!D58)</f>
        <v>0</v>
      </c>
      <c r="E12" s="15" t="n">
        <f aca="false">SUMPRODUCT(((LEFT(T_BAL_2026[Compte],1)="5"))*(T_BAL_2026[Clôture Débit]-T_BAL_2026[Clôture Crédit]))-(BILAN!E28-BILAN!E58)</f>
        <v>0</v>
      </c>
      <c r="F12" s="15" t="n">
        <f aca="false">SUMPRODUCT(((LEFT(T_BAL_2027[Compte],1)="5"))*(T_BAL_2027[Clôture Débit]-T_BAL_2027[Clôture Crédit]))-(BILAN!F28-BILAN!F58)</f>
        <v>0</v>
      </c>
      <c r="G12" s="15" t="n">
        <f aca="false">SUMPRODUCT(((LEFT(T_BAL_2028[Compte],1)="5"))*(T_BAL_2028[Clôture Débit]-T_BAL_2028[Clôture Crédit]))-(BILAN!G28-BILAN!G58)</f>
        <v>0</v>
      </c>
      <c r="H12" s="15" t="n">
        <f aca="false">SUMPRODUCT(((LEFT(T_BAL_2029[Compte],1)="5"))*(T_BAL_2029[Clôture Débit]-T_BAL_2029[Clôture Crédit]))-(BILAN!H28-BILAN!H58)</f>
        <v>0</v>
      </c>
    </row>
    <row r="13" customFormat="false" ht="15" hidden="false" customHeight="false" outlineLevel="0" collapsed="false">
      <c r="A13" s="13"/>
      <c r="B13" s="12" t="s">
        <v>649</v>
      </c>
      <c r="C13" s="15" t="n">
        <f aca="false">-(SUMPRODUCT(((LEFT(T_BAL_2024[Compte],1)="1"))*(T_BAL_2024[Clôture Débit]-T_BAL_2024[Clôture Crédit])))+'COMPTE DE RESULTAT'!C47-(BILAN!C43+BILAN!C47)</f>
        <v>0</v>
      </c>
      <c r="D13" s="15" t="n">
        <f aca="false">-(SUMPRODUCT(((LEFT(T_BAL_2025[Compte],1)="1"))*(T_BAL_2025[Clôture Débit]-T_BAL_2025[Clôture Crédit])))+'COMPTE DE RESULTAT'!D47-(BILAN!D43+BILAN!D47)</f>
        <v>0</v>
      </c>
      <c r="E13" s="15" t="n">
        <f aca="false">-(SUMPRODUCT(((LEFT(T_BAL_2026[Compte],1)="1"))*(T_BAL_2026[Clôture Débit]-T_BAL_2026[Clôture Crédit])))+'COMPTE DE RESULTAT'!E47-(BILAN!E43+BILAN!E47)</f>
        <v>0</v>
      </c>
      <c r="F13" s="15" t="n">
        <f aca="false">-(SUMPRODUCT(((LEFT(T_BAL_2027[Compte],1)="1"))*(T_BAL_2027[Clôture Débit]-T_BAL_2027[Clôture Crédit])))+'COMPTE DE RESULTAT'!F47-(BILAN!F43+BILAN!F47)</f>
        <v>0</v>
      </c>
      <c r="G13" s="15" t="n">
        <f aca="false">-(SUMPRODUCT(((LEFT(T_BAL_2028[Compte],1)="1"))*(T_BAL_2028[Clôture Débit]-T_BAL_2028[Clôture Crédit])))+'COMPTE DE RESULTAT'!G47-(BILAN!G43+BILAN!G47)</f>
        <v>0</v>
      </c>
      <c r="H13" s="15" t="n">
        <f aca="false">-(SUMPRODUCT(((LEFT(T_BAL_2029[Compte],1)="1"))*(T_BAL_2029[Clôture Débit]-T_BAL_2029[Clôture Crédit])))+'COMPTE DE RESULTAT'!H47-(BILAN!H43+BILAN!H47)</f>
        <v>0</v>
      </c>
    </row>
    <row r="14" customFormat="false" ht="15" hidden="false" customHeight="false" outlineLevel="0" collapsed="false">
      <c r="A14" s="13"/>
      <c r="B14" s="12" t="s">
        <v>650</v>
      </c>
      <c r="C14" s="15" t="n">
        <f aca="false">-(SUMPRODUCT(((LEFT(T_BAL_2024[Compte],1)="6")+(LEFT(T_BAL_2024[Compte],1)="7")+(LEFT(T_BAL_2024[Compte],1)="8"))*(T_BAL_2024[Clôture Débit]-T_BAL_2024[Clôture Crédit])))-'COMPTE DE RESULTAT'!C47</f>
        <v>0</v>
      </c>
      <c r="D14" s="15" t="n">
        <f aca="false">-(SUMPRODUCT(((LEFT(T_BAL_2025[Compte],1)="6")+(LEFT(T_BAL_2025[Compte],1)="7")+(LEFT(T_BAL_2025[Compte],1)="8"))*(T_BAL_2025[Clôture Débit]-T_BAL_2025[Clôture Crédit])))-'COMPTE DE RESULTAT'!D47</f>
        <v>0</v>
      </c>
      <c r="E14" s="15" t="n">
        <f aca="false">-(SUMPRODUCT(((LEFT(T_BAL_2026[Compte],1)="6")+(LEFT(T_BAL_2026[Compte],1)="7")+(LEFT(T_BAL_2026[Compte],1)="8"))*(T_BAL_2026[Clôture Débit]-T_BAL_2026[Clôture Crédit])))-'COMPTE DE RESULTAT'!E47</f>
        <v>0</v>
      </c>
      <c r="F14" s="15" t="n">
        <f aca="false">-(SUMPRODUCT(((LEFT(T_BAL_2027[Compte],1)="6")+(LEFT(T_BAL_2027[Compte],1)="7")+(LEFT(T_BAL_2027[Compte],1)="8"))*(T_BAL_2027[Clôture Débit]-T_BAL_2027[Clôture Crédit])))-'COMPTE DE RESULTAT'!F47</f>
        <v>0</v>
      </c>
      <c r="G14" s="15" t="n">
        <f aca="false">-(SUMPRODUCT(((LEFT(T_BAL_2028[Compte],1)="6")+(LEFT(T_BAL_2028[Compte],1)="7")+(LEFT(T_BAL_2028[Compte],1)="8"))*(T_BAL_2028[Clôture Débit]-T_BAL_2028[Clôture Crédit])))-'COMPTE DE RESULTAT'!G47</f>
        <v>0</v>
      </c>
      <c r="H14" s="15" t="n">
        <f aca="false">-(SUMPRODUCT(((LEFT(T_BAL_2029[Compte],1)="6")+(LEFT(T_BAL_2029[Compte],1)="7")+(LEFT(T_BAL_2029[Compte],1)="8"))*(T_BAL_2029[Clôture Débit]-T_BAL_2029[Clôture Crédit])))-'COMPTE DE RESULTAT'!H47</f>
        <v>0</v>
      </c>
    </row>
    <row r="15" customFormat="false" ht="15" hidden="false" customHeight="false" outlineLevel="0" collapsed="false">
      <c r="A15" s="13"/>
      <c r="B15" s="12" t="s">
        <v>651</v>
      </c>
      <c r="C15" s="15" t="n">
        <f aca="false">-(SUMPRODUCT(((LEFT(T_BAL_2024[Compte],2)="70"))*(T_BAL_2024[Clôture Débit]-T_BAL_2024[Clôture Crédit])))-'COMPTE DE RESULTAT'!C13</f>
        <v>0</v>
      </c>
      <c r="D15" s="15" t="n">
        <f aca="false">-(SUMPRODUCT(((LEFT(T_BAL_2025[Compte],2)="70"))*(T_BAL_2025[Clôture Débit]-T_BAL_2025[Clôture Crédit])))-'COMPTE DE RESULTAT'!D13</f>
        <v>0</v>
      </c>
      <c r="E15" s="15" t="n">
        <f aca="false">-(SUMPRODUCT(((LEFT(T_BAL_2026[Compte],2)="70"))*(T_BAL_2026[Clôture Débit]-T_BAL_2026[Clôture Crédit])))-'COMPTE DE RESULTAT'!E13</f>
        <v>0</v>
      </c>
      <c r="F15" s="15" t="n">
        <f aca="false">-(SUMPRODUCT(((LEFT(T_BAL_2027[Compte],2)="70"))*(T_BAL_2027[Clôture Débit]-T_BAL_2027[Clôture Crédit])))-'COMPTE DE RESULTAT'!F13</f>
        <v>0</v>
      </c>
      <c r="G15" s="15" t="n">
        <f aca="false">-(SUMPRODUCT(((LEFT(T_BAL_2028[Compte],2)="70"))*(T_BAL_2028[Clôture Débit]-T_BAL_2028[Clôture Crédit])))-'COMPTE DE RESULTAT'!G13</f>
        <v>0</v>
      </c>
      <c r="H15" s="15" t="n">
        <f aca="false">-(SUMPRODUCT(((LEFT(T_BAL_2029[Compte],2)="70"))*(T_BAL_2029[Clôture Débit]-T_BAL_2029[Clôture Crédit])))-'COMPTE DE RESULTAT'!H13</f>
        <v>0</v>
      </c>
    </row>
    <row r="16" customFormat="false" ht="15" hidden="false" customHeight="false" outlineLevel="0" collapsed="false">
      <c r="A16" s="13"/>
      <c r="B16" s="12" t="s">
        <v>652</v>
      </c>
      <c r="C16" s="15" t="n">
        <f aca="false">BILAN!C30-BILAN!C60</f>
        <v>0</v>
      </c>
      <c r="D16" s="15" t="n">
        <f aca="false">BILAN!D30-BILAN!D60</f>
        <v>0</v>
      </c>
      <c r="E16" s="15" t="n">
        <f aca="false">BILAN!E30-BILAN!E60</f>
        <v>0</v>
      </c>
      <c r="F16" s="15" t="n">
        <f aca="false">BILAN!F30-BILAN!F60</f>
        <v>0</v>
      </c>
      <c r="G16" s="15" t="n">
        <f aca="false">BILAN!G30-BILAN!G60</f>
        <v>0</v>
      </c>
      <c r="H16" s="15" t="n">
        <f aca="false">BILAN!H30-BILAN!H60</f>
        <v>0</v>
      </c>
    </row>
    <row r="17" customFormat="false" ht="15" hidden="false" customHeight="false" outlineLevel="0" collapsed="false">
      <c r="A17" s="13"/>
      <c r="B17" s="12" t="s">
        <v>653</v>
      </c>
      <c r="C17" s="15" t="n">
        <f aca="false">'COMPTE DE RESULTAT'!C47-HYPOTHESES!C73</f>
        <v>0</v>
      </c>
      <c r="D17" s="15" t="n">
        <f aca="false">'COMPTE DE RESULTAT'!D47-HYPOTHESES!D73</f>
        <v>0</v>
      </c>
      <c r="E17" s="15" t="n">
        <f aca="false">'COMPTE DE RESULTAT'!E47-HYPOTHESES!E73</f>
        <v>0</v>
      </c>
      <c r="F17" s="15" t="n">
        <f aca="false">'COMPTE DE RESULTAT'!F47-HYPOTHESES!F73</f>
        <v>0</v>
      </c>
      <c r="G17" s="15" t="n">
        <f aca="false">'COMPTE DE RESULTAT'!G47-HYPOTHESES!G73</f>
        <v>0</v>
      </c>
      <c r="H17" s="15" t="n">
        <f aca="false">'COMPTE DE RESULTAT'!H47-HYPOTHESES!H73</f>
        <v>0</v>
      </c>
    </row>
    <row r="18" customFormat="false" ht="15" hidden="false" customHeight="false" outlineLevel="0" collapsed="false">
      <c r="A18" s="13"/>
      <c r="B18" s="12" t="s">
        <v>654</v>
      </c>
      <c r="C18" s="48" t="s">
        <v>589</v>
      </c>
      <c r="D18" s="15" t="n">
        <f aca="false">TFT!D30-(BILAN!D28-BILAN!D58)</f>
        <v>0</v>
      </c>
      <c r="E18" s="15" t="n">
        <f aca="false">TFT!E30-(BILAN!E28-BILAN!E58)</f>
        <v>0</v>
      </c>
      <c r="F18" s="15" t="n">
        <f aca="false">TFT!F30-(BILAN!F28-BILAN!F58)</f>
        <v>0</v>
      </c>
      <c r="G18" s="15" t="n">
        <f aca="false">TFT!G30-(BILAN!G28-BILAN!G58)</f>
        <v>0</v>
      </c>
      <c r="H18" s="15" t="n">
        <f aca="false">TFT!H30-(BILAN!H28-BILAN!H58)</f>
        <v>0</v>
      </c>
    </row>
    <row r="19" customFormat="false" ht="15" hidden="false" customHeight="false" outlineLevel="0" collapsed="false">
      <c r="A19" s="13"/>
      <c r="B19" s="12" t="s">
        <v>655</v>
      </c>
      <c r="C19" s="48" t="s">
        <v>589</v>
      </c>
      <c r="D19" s="15" t="n">
        <f aca="false">BILAN!D43-(BILAN!C43+'COMPTE DE RESULTAT'!D47+TFT!D22+TFT!D19+TFT!D20)</f>
        <v>0</v>
      </c>
      <c r="E19" s="15" t="n">
        <f aca="false">BILAN!E43-(BILAN!D43+'COMPTE DE RESULTAT'!E47+TFT!E22+TFT!E19+TFT!E20)</f>
        <v>0</v>
      </c>
      <c r="F19" s="15" t="n">
        <f aca="false">BILAN!F43-(BILAN!E43+'COMPTE DE RESULTAT'!F47+TFT!F22+TFT!F19+TFT!F20)</f>
        <v>0</v>
      </c>
      <c r="G19" s="15" t="n">
        <f aca="false">BILAN!G43-(BILAN!F43+'COMPTE DE RESULTAT'!G47+TFT!G22+TFT!G19+TFT!G20)</f>
        <v>0</v>
      </c>
      <c r="H19" s="15" t="n">
        <f aca="false">BILAN!H43-(BILAN!G43+'COMPTE DE RESULTAT'!H47+TFT!H22+TFT!H19+TFT!H20)</f>
        <v>0</v>
      </c>
    </row>
    <row r="20" customFormat="false" ht="15" hidden="false" customHeight="false" outlineLevel="0" collapsed="false">
      <c r="A20" s="13"/>
      <c r="B20" s="12" t="s">
        <v>656</v>
      </c>
      <c r="C20" s="48" t="s">
        <v>589</v>
      </c>
      <c r="D20" s="15" t="n">
        <f aca="false">TFT!D6-(BILAN!C28-BILAN!C58)</f>
        <v>0</v>
      </c>
      <c r="E20" s="15" t="n">
        <f aca="false">TFT!E6-(BILAN!D28-BILAN!D58)</f>
        <v>0</v>
      </c>
      <c r="F20" s="15" t="n">
        <f aca="false">TFT!F6-(BILAN!E28-BILAN!E58)</f>
        <v>0</v>
      </c>
      <c r="G20" s="15" t="n">
        <f aca="false">TFT!G6-(BILAN!F28-BILAN!F58)</f>
        <v>0</v>
      </c>
      <c r="H20" s="15" t="n">
        <f aca="false">TFT!H6-(BILAN!G28-BILAN!G58)</f>
        <v>0</v>
      </c>
    </row>
    <row r="21" customFormat="false" ht="15" hidden="false" customHeight="false" outlineLevel="0" collapsed="false">
      <c r="A21" s="13"/>
      <c r="B21" s="12" t="s">
        <v>657</v>
      </c>
      <c r="C21" s="15" t="n">
        <f aca="false">'INVEST ET FINANCEMENT'!C46-BILAN!C12</f>
        <v>0</v>
      </c>
      <c r="D21" s="15" t="n">
        <f aca="false">'INVEST ET FINANCEMENT'!D46-BILAN!D12</f>
        <v>0</v>
      </c>
      <c r="E21" s="15" t="n">
        <f aca="false">'INVEST ET FINANCEMENT'!E46-BILAN!E12</f>
        <v>0</v>
      </c>
      <c r="F21" s="15" t="n">
        <f aca="false">'INVEST ET FINANCEMENT'!F46-BILAN!F12</f>
        <v>0</v>
      </c>
      <c r="G21" s="15" t="n">
        <f aca="false">'INVEST ET FINANCEMENT'!G46-BILAN!G12</f>
        <v>0</v>
      </c>
      <c r="H21" s="15" t="n">
        <f aca="false">'INVEST ET FINANCEMENT'!H46-BILAN!H12</f>
        <v>0</v>
      </c>
    </row>
    <row r="22" customFormat="false" ht="15" hidden="false" customHeight="false" outlineLevel="0" collapsed="false">
      <c r="A22" s="13"/>
      <c r="B22" s="12" t="s">
        <v>658</v>
      </c>
      <c r="C22" s="48" t="s">
        <v>589</v>
      </c>
      <c r="D22" s="15" t="n">
        <f aca="false">'INVEST ET FINANCEMENT'!D78-((BILAN!D48-BILAN!D17)-(BILAN!C48-BILAN!C17))</f>
        <v>0</v>
      </c>
      <c r="E22" s="15" t="n">
        <f aca="false">'INVEST ET FINANCEMENT'!E78-((BILAN!E48-BILAN!E17)-(BILAN!D48-BILAN!D17))</f>
        <v>0</v>
      </c>
      <c r="F22" s="15" t="n">
        <f aca="false">'INVEST ET FINANCEMENT'!F78-((BILAN!F48-BILAN!F17)-(BILAN!E48-BILAN!E17))</f>
        <v>0</v>
      </c>
      <c r="G22" s="15" t="n">
        <f aca="false">'INVEST ET FINANCEMENT'!G78-((BILAN!G48-BILAN!G17)-(BILAN!F48-BILAN!F17))</f>
        <v>0</v>
      </c>
      <c r="H22" s="15" t="n">
        <f aca="false">'INVEST ET FINANCEMENT'!H78-((BILAN!H48-BILAN!H17)-(BILAN!G48-BILAN!G17))</f>
        <v>0</v>
      </c>
    </row>
    <row r="23" customFormat="false" ht="15" hidden="false" customHeight="false" outlineLevel="0" collapsed="false">
      <c r="A23" s="13"/>
      <c r="B23" s="12" t="s">
        <v>659</v>
      </c>
      <c r="C23" s="42" t="n">
        <f aca="false">COUNTIF(T_BAL_2024[Mouvements Débit],"&lt;-0.5")+COUNTIF(T_BAL_2024[Mouvements Crédit],"&lt;-0.5")</f>
        <v>0</v>
      </c>
      <c r="D23" s="42" t="n">
        <f aca="false">COUNTIF(T_BAL_2025[Mouvements Débit],"&lt;-0.5")+COUNTIF(T_BAL_2025[Mouvements Crédit],"&lt;-0.5")</f>
        <v>0</v>
      </c>
      <c r="E23" s="42" t="n">
        <f aca="false">COUNTIF(T_BAL_2026[Mouvements Débit],"&lt;-0.5")+COUNTIF(T_BAL_2026[Mouvements Crédit],"&lt;-0.5")</f>
        <v>0</v>
      </c>
      <c r="F23" s="42" t="n">
        <f aca="false">COUNTIF(T_BAL_2027[Mouvements Débit],"&lt;-0.5")+COUNTIF(T_BAL_2027[Mouvements Crédit],"&lt;-0.5")</f>
        <v>0</v>
      </c>
      <c r="G23" s="42" t="n">
        <f aca="false">COUNTIF(T_BAL_2028[Mouvements Débit],"&lt;-0.5")+COUNTIF(T_BAL_2028[Mouvements Crédit],"&lt;-0.5")</f>
        <v>0</v>
      </c>
      <c r="H23" s="42" t="n">
        <f aca="false">COUNTIF(T_BAL_2029[Mouvements Débit],"&lt;-0.5")+COUNTIF(T_BAL_2029[Mouvements Crédit],"&lt;-0.5")</f>
        <v>0</v>
      </c>
    </row>
    <row r="24" customFormat="false" ht="15" hidden="false" customHeight="false" outlineLevel="0" collapsed="false">
      <c r="A24" s="13"/>
      <c r="B24" s="12" t="s">
        <v>660</v>
      </c>
      <c r="C24" s="49" t="n">
        <f aca="false">IF(OR(BILAN!C44&lt;-0.5,BILAN!C45&lt;-0.5),1,0)</f>
        <v>0</v>
      </c>
      <c r="D24" s="49" t="n">
        <f aca="false">IF(OR(BILAN!D44&lt;-0.5,BILAN!D45&lt;-0.5),1,0)</f>
        <v>0</v>
      </c>
      <c r="E24" s="49" t="n">
        <f aca="false">IF(OR(BILAN!E44&lt;-0.5,BILAN!E45&lt;-0.5),1,0)</f>
        <v>0</v>
      </c>
      <c r="F24" s="49" t="n">
        <f aca="false">IF(OR(BILAN!F44&lt;-0.5,BILAN!F45&lt;-0.5),1,0)</f>
        <v>0</v>
      </c>
      <c r="G24" s="49" t="n">
        <f aca="false">IF(OR(BILAN!G44&lt;-0.5,BILAN!G45&lt;-0.5),1,0)</f>
        <v>0</v>
      </c>
      <c r="H24" s="49" t="n">
        <f aca="false">IF(OR(BILAN!H44&lt;-0.5,BILAN!H45&lt;-0.5),1,0)</f>
        <v>0</v>
      </c>
    </row>
    <row r="25" customFormat="false" ht="15" hidden="false" customHeight="false" outlineLevel="0" collapsed="false">
      <c r="A25" s="13"/>
      <c r="B25" s="12" t="s">
        <v>661</v>
      </c>
      <c r="C25" s="49" t="n">
        <f aca="false">IF('BALANCE 2024'!I57&gt;0.5,1,0)</f>
        <v>0</v>
      </c>
      <c r="D25" s="49" t="n">
        <f aca="false">IF('BALANCE 2025'!I57&gt;0.5,1,0)</f>
        <v>0</v>
      </c>
      <c r="E25" s="49" t="n">
        <f aca="false">IF('BALANCE 2026'!I57&gt;0.5,1,0)</f>
        <v>0</v>
      </c>
      <c r="F25" s="49" t="n">
        <f aca="false">IF('BALANCE 2027'!I57&gt;0.5,1,0)</f>
        <v>0</v>
      </c>
      <c r="G25" s="49" t="n">
        <f aca="false">IF('BALANCE 2028'!I57&gt;0.5,1,0)</f>
        <v>0</v>
      </c>
      <c r="H25" s="49" t="n">
        <f aca="false">IF('BALANCE 2029'!I57&gt;0.5,1,0)</f>
        <v>0</v>
      </c>
    </row>
    <row r="26" customFormat="false" ht="15" hidden="false" customHeight="false" outlineLevel="0" collapsed="false">
      <c r="A26" s="13"/>
      <c r="B26" s="12" t="s">
        <v>662</v>
      </c>
      <c r="C26" s="48" t="s">
        <v>589</v>
      </c>
      <c r="D26" s="15" t="n">
        <f aca="false">IF(ABS('BALANCE 2025'!G56-'BALANCE 2025'!H8)&lt;=2,0,'BALANCE 2025'!G56-'BALANCE 2025'!H8)</f>
        <v>0</v>
      </c>
      <c r="E26" s="15" t="n">
        <f aca="false">IF(ABS('BALANCE 2026'!G56-'BALANCE 2026'!H8)&lt;=2,0,'BALANCE 2026'!G56-'BALANCE 2026'!H8)</f>
        <v>0</v>
      </c>
      <c r="F26" s="15" t="n">
        <f aca="false">IF(ABS('BALANCE 2027'!G56-'BALANCE 2027'!H8)&lt;=2,0,'BALANCE 2027'!G56-'BALANCE 2027'!H8)</f>
        <v>0</v>
      </c>
      <c r="G26" s="15" t="n">
        <f aca="false">IF(ABS('BALANCE 2028'!G56-'BALANCE 2028'!H8)&lt;=2,0,'BALANCE 2028'!G56-'BALANCE 2028'!H8)</f>
        <v>0</v>
      </c>
      <c r="H26" s="15" t="n">
        <f aca="false">IF(ABS('BALANCE 2029'!G56-'BALANCE 2029'!H8)&lt;=2,0,'BALANCE 2029'!G56-'BALANCE 2029'!H8)</f>
        <v>0</v>
      </c>
    </row>
    <row r="27" customFormat="false" ht="15" hidden="false" customHeight="false" outlineLevel="0" collapsed="false">
      <c r="A27" s="13"/>
      <c r="B27" s="12" t="s">
        <v>663</v>
      </c>
      <c r="C27" s="49" t="n">
        <f aca="false">IF(BILAN!C28-BILAN!C58&lt;0,1,0)</f>
        <v>0</v>
      </c>
      <c r="D27" s="49" t="n">
        <f aca="false">IF(BILAN!D28-BILAN!D58&lt;0,1,0)</f>
        <v>0</v>
      </c>
      <c r="E27" s="49" t="n">
        <f aca="false">IF(BILAN!E28-BILAN!E58&lt;0,1,0)</f>
        <v>0</v>
      </c>
      <c r="F27" s="49" t="n">
        <f aca="false">IF(BILAN!F28-BILAN!F58&lt;0,1,0)</f>
        <v>0</v>
      </c>
      <c r="G27" s="49" t="n">
        <f aca="false">IF(BILAN!G28-BILAN!G58&lt;0,1,0)</f>
        <v>0</v>
      </c>
      <c r="H27" s="49" t="n">
        <f aca="false">IF(BILAN!H28-BILAN!H58&lt;0,1,0)</f>
        <v>0</v>
      </c>
    </row>
    <row r="28" customFormat="false" ht="15" hidden="false" customHeight="false" outlineLevel="0" collapsed="false">
      <c r="A28" s="13"/>
      <c r="B28" s="12" t="s">
        <v>664</v>
      </c>
      <c r="C28" s="49" t="n">
        <f aca="false">IF(BILAN!C43&lt;BILAN!C33/2,1,0)</f>
        <v>0</v>
      </c>
      <c r="D28" s="49" t="n">
        <f aca="false">IF(BILAN!D43&lt;BILAN!D33/2,1,0)</f>
        <v>0</v>
      </c>
      <c r="E28" s="49" t="n">
        <f aca="false">IF(BILAN!E43&lt;BILAN!E33/2,1,0)</f>
        <v>0</v>
      </c>
      <c r="F28" s="49" t="n">
        <f aca="false">IF(BILAN!F43&lt;BILAN!F33/2,1,0)</f>
        <v>0</v>
      </c>
      <c r="G28" s="49" t="n">
        <f aca="false">IF(BILAN!G43&lt;BILAN!G33/2,1,0)</f>
        <v>0</v>
      </c>
      <c r="H28" s="49" t="n">
        <f aca="false">IF(BILAN!H43&lt;BILAN!H33/2,1,0)</f>
        <v>0</v>
      </c>
    </row>
    <row r="29" customFormat="false" ht="15" hidden="false" customHeight="false" outlineLevel="0" collapsed="false">
      <c r="B29" s="50" t="s">
        <v>665</v>
      </c>
      <c r="C29" s="51" t="n">
        <f aca="false">(ABS(N(C6))&gt;0.5)+(ABS(N(C7))&gt;0.5)+(ABS(N(C8))&gt;0.5)+(ABS(N(C9))&gt;0.5)+(ABS(N(C10))&gt;0.5)+(ABS(N(C11))&gt;0.5)+(ABS(N(C12))&gt;0.5)+(ABS(N(C13))&gt;0.5)+(ABS(N(C14))&gt;0.5)+(ABS(N(C15))&gt;0.5)+(ABS(N(C16))&gt;0.5)+(ABS(N(C17))&gt;0.5)+(ABS(N(C18))&gt;0.5)+(ABS(N(C19))&gt;0.5)+(ABS(N(C20))&gt;0.5)+(ABS(N(C21))&gt;0.5)+(ABS(N(C22))&gt;0.5)+(ABS(N(C23))&gt;0.5)+(ABS(N(C24))&gt;0.5)+(ABS(N(C25))&gt;0.5)+(ABS(N(C26))&gt;0.5)+(ABS(N(C27))&gt;0.5)+(ABS(N(C28))&gt;0.5)</f>
        <v>0</v>
      </c>
      <c r="D29" s="51" t="n">
        <f aca="false">(ABS(N(D6))&gt;0.5)+(ABS(N(D7))&gt;0.5)+(ABS(N(D8))&gt;0.5)+(ABS(N(D9))&gt;0.5)+(ABS(N(D10))&gt;0.5)+(ABS(N(D11))&gt;0.5)+(ABS(N(D12))&gt;0.5)+(ABS(N(D13))&gt;0.5)+(ABS(N(D14))&gt;0.5)+(ABS(N(D15))&gt;0.5)+(ABS(N(D16))&gt;0.5)+(ABS(N(D17))&gt;0.5)+(ABS(N(D18))&gt;0.5)+(ABS(N(D19))&gt;0.5)+(ABS(N(D20))&gt;0.5)+(ABS(N(D21))&gt;0.5)+(ABS(N(D22))&gt;0.5)+(ABS(N(D23))&gt;0.5)+(ABS(N(D24))&gt;0.5)+(ABS(N(D25))&gt;0.5)+(ABS(N(D26))&gt;0.5)+(ABS(N(D27))&gt;0.5)+(ABS(N(D28))&gt;0.5)</f>
        <v>0</v>
      </c>
      <c r="E29" s="51" t="n">
        <f aca="false">(ABS(N(E6))&gt;0.5)+(ABS(N(E7))&gt;0.5)+(ABS(N(E8))&gt;0.5)+(ABS(N(E9))&gt;0.5)+(ABS(N(E10))&gt;0.5)+(ABS(N(E11))&gt;0.5)+(ABS(N(E12))&gt;0.5)+(ABS(N(E13))&gt;0.5)+(ABS(N(E14))&gt;0.5)+(ABS(N(E15))&gt;0.5)+(ABS(N(E16))&gt;0.5)+(ABS(N(E17))&gt;0.5)+(ABS(N(E18))&gt;0.5)+(ABS(N(E19))&gt;0.5)+(ABS(N(E20))&gt;0.5)+(ABS(N(E21))&gt;0.5)+(ABS(N(E22))&gt;0.5)+(ABS(N(E23))&gt;0.5)+(ABS(N(E24))&gt;0.5)+(ABS(N(E25))&gt;0.5)+(ABS(N(E26))&gt;0.5)+(ABS(N(E27))&gt;0.5)+(ABS(N(E28))&gt;0.5)</f>
        <v>0</v>
      </c>
      <c r="F29" s="51" t="n">
        <f aca="false">(ABS(N(F6))&gt;0.5)+(ABS(N(F7))&gt;0.5)+(ABS(N(F8))&gt;0.5)+(ABS(N(F9))&gt;0.5)+(ABS(N(F10))&gt;0.5)+(ABS(N(F11))&gt;0.5)+(ABS(N(F12))&gt;0.5)+(ABS(N(F13))&gt;0.5)+(ABS(N(F14))&gt;0.5)+(ABS(N(F15))&gt;0.5)+(ABS(N(F16))&gt;0.5)+(ABS(N(F17))&gt;0.5)+(ABS(N(F18))&gt;0.5)+(ABS(N(F19))&gt;0.5)+(ABS(N(F20))&gt;0.5)+(ABS(N(F21))&gt;0.5)+(ABS(N(F22))&gt;0.5)+(ABS(N(F23))&gt;0.5)+(ABS(N(F24))&gt;0.5)+(ABS(N(F25))&gt;0.5)+(ABS(N(F26))&gt;0.5)+(ABS(N(F27))&gt;0.5)+(ABS(N(F28))&gt;0.5)</f>
        <v>0</v>
      </c>
      <c r="G29" s="51" t="n">
        <f aca="false">(ABS(N(G6))&gt;0.5)+(ABS(N(G7))&gt;0.5)+(ABS(N(G8))&gt;0.5)+(ABS(N(G9))&gt;0.5)+(ABS(N(G10))&gt;0.5)+(ABS(N(G11))&gt;0.5)+(ABS(N(G12))&gt;0.5)+(ABS(N(G13))&gt;0.5)+(ABS(N(G14))&gt;0.5)+(ABS(N(G15))&gt;0.5)+(ABS(N(G16))&gt;0.5)+(ABS(N(G17))&gt;0.5)+(ABS(N(G18))&gt;0.5)+(ABS(N(G19))&gt;0.5)+(ABS(N(G20))&gt;0.5)+(ABS(N(G21))&gt;0.5)+(ABS(N(G22))&gt;0.5)+(ABS(N(G23))&gt;0.5)+(ABS(N(G24))&gt;0.5)+(ABS(N(G25))&gt;0.5)+(ABS(N(G26))&gt;0.5)+(ABS(N(G27))&gt;0.5)+(ABS(N(G28))&gt;0.5)</f>
        <v>0</v>
      </c>
      <c r="H29" s="51" t="n">
        <f aca="false">(ABS(N(H6))&gt;0.5)+(ABS(N(H7))&gt;0.5)+(ABS(N(H8))&gt;0.5)+(ABS(N(H9))&gt;0.5)+(ABS(N(H10))&gt;0.5)+(ABS(N(H11))&gt;0.5)+(ABS(N(H12))&gt;0.5)+(ABS(N(H13))&gt;0.5)+(ABS(N(H14))&gt;0.5)+(ABS(N(H15))&gt;0.5)+(ABS(N(H16))&gt;0.5)+(ABS(N(H17))&gt;0.5)+(ABS(N(H18))&gt;0.5)+(ABS(N(H19))&gt;0.5)+(ABS(N(H20))&gt;0.5)+(ABS(N(H21))&gt;0.5)+(ABS(N(H22))&gt;0.5)+(ABS(N(H23))&gt;0.5)+(ABS(N(H24))&gt;0.5)+(ABS(N(H25))&gt;0.5)+(ABS(N(H26))&gt;0.5)+(ABS(N(H27))&gt;0.5)+(ABS(N(H28))&gt;0.5)</f>
        <v>0</v>
      </c>
      <c r="I29" s="50" t="str">
        <f aca="false">IF(SUM(C29:H29)=0,"OK","À VÉRIFIER")</f>
        <v>OK</v>
      </c>
    </row>
    <row r="31" customFormat="false" ht="15" hidden="false" customHeight="false" outlineLevel="0" collapsed="false">
      <c r="A31" s="29" t="s">
        <v>423</v>
      </c>
      <c r="B31" s="29" t="s">
        <v>666</v>
      </c>
      <c r="C31" s="29" t="str">
        <f aca="false">"Réel "&amp;HYPOTHESES!$C$5</f>
        <v>Réel 2024</v>
      </c>
      <c r="D31" s="45" t="n">
        <f aca="false">HYPOTHESES!$C$5+1</f>
        <v>2025</v>
      </c>
      <c r="E31" s="45" t="n">
        <f aca="false">HYPOTHESES!$C$5+2</f>
        <v>2026</v>
      </c>
      <c r="F31" s="45" t="n">
        <f aca="false">HYPOTHESES!$C$5+3</f>
        <v>2027</v>
      </c>
      <c r="G31" s="45" t="n">
        <f aca="false">HYPOTHESES!$C$5+4</f>
        <v>2028</v>
      </c>
      <c r="H31" s="45" t="n">
        <f aca="false">HYPOTHESES!$C$5+5</f>
        <v>2029</v>
      </c>
      <c r="I31" s="29"/>
    </row>
    <row r="32" customFormat="false" ht="15" hidden="false" customHeight="false" outlineLevel="0" collapsed="false">
      <c r="A32" s="13"/>
      <c r="B32" s="12" t="s">
        <v>667</v>
      </c>
      <c r="C32" s="20" t="str">
        <f aca="false">""</f>
        <v/>
      </c>
      <c r="D32" s="17" t="n">
        <f aca="false">IF('COMPTE DE RESULTAT'!C13=0,0,'COMPTE DE RESULTAT'!D13/'COMPTE DE RESULTAT'!C13-1)</f>
        <v>0.0700000004992678</v>
      </c>
      <c r="E32" s="17" t="n">
        <f aca="false">IF('COMPTE DE RESULTAT'!D13=0,0,'COMPTE DE RESULTAT'!E13/'COMPTE DE RESULTAT'!D13-1)</f>
        <v>0.0499999997333684</v>
      </c>
      <c r="F32" s="17" t="n">
        <f aca="false">IF('COMPTE DE RESULTAT'!E13=0,0,'COMPTE DE RESULTAT'!F13/'COMPTE DE RESULTAT'!E13-1)</f>
        <v>0.0500000005078698</v>
      </c>
      <c r="G32" s="17" t="n">
        <f aca="false">IF('COMPTE DE RESULTAT'!F13=0,0,'COMPTE DE RESULTAT'!G13/'COMPTE DE RESULTAT'!F13-1)</f>
        <v>0.0499999995767753</v>
      </c>
      <c r="H32" s="17" t="n">
        <f aca="false">IF('COMPTE DE RESULTAT'!G13=0,0,'COMPTE DE RESULTAT'!H13/'COMPTE DE RESULTAT'!G13-1)</f>
        <v>0.0500000005758161</v>
      </c>
    </row>
    <row r="33" customFormat="false" ht="15" hidden="false" customHeight="false" outlineLevel="0" collapsed="false">
      <c r="A33" s="13"/>
      <c r="B33" s="12" t="s">
        <v>668</v>
      </c>
      <c r="C33" s="17" t="n">
        <f aca="false">IF('COMPTE DE RESULTAT'!C13=0,0,'COMPTE DE RESULTAT'!C27/'COMPTE DE RESULTAT'!C13)</f>
        <v>0.422394255613904</v>
      </c>
      <c r="D33" s="17" t="n">
        <f aca="false">IF('COMPTE DE RESULTAT'!D13=0,0,'COMPTE DE RESULTAT'!D27/'COMPTE DE RESULTAT'!D13)</f>
        <v>0.465486519715561</v>
      </c>
      <c r="E33" s="17" t="n">
        <f aca="false">IF('COMPTE DE RESULTAT'!E13=0,0,'COMPTE DE RESULTAT'!E27/'COMPTE DE RESULTAT'!E13)</f>
        <v>0.425282518935302</v>
      </c>
      <c r="F33" s="17" t="n">
        <f aca="false">IF('COMPTE DE RESULTAT'!F13=0,0,'COMPTE DE RESULTAT'!F27/'COMPTE DE RESULTAT'!F13)</f>
        <v>0.425282520120195</v>
      </c>
      <c r="G33" s="17" t="n">
        <f aca="false">IF('COMPTE DE RESULTAT'!G13=0,0,'COMPTE DE RESULTAT'!G27/'COMPTE DE RESULTAT'!G13)</f>
        <v>0.425282521558409</v>
      </c>
      <c r="H33" s="17" t="n">
        <f aca="false">IF('COMPTE DE RESULTAT'!H13=0,0,'COMPTE DE RESULTAT'!H27/'COMPTE DE RESULTAT'!H13)</f>
        <v>0.425282520009035</v>
      </c>
    </row>
    <row r="34" customFormat="false" ht="15" hidden="false" customHeight="false" outlineLevel="0" collapsed="false">
      <c r="A34" s="13"/>
      <c r="B34" s="12" t="s">
        <v>669</v>
      </c>
      <c r="C34" s="17" t="n">
        <f aca="false">IF('COMPTE DE RESULTAT'!C13=0,0,'COMPTE DE RESULTAT'!C29/'COMPTE DE RESULTAT'!C13)</f>
        <v>0.271151063655286</v>
      </c>
      <c r="D34" s="17" t="n">
        <f aca="false">IF('COMPTE DE RESULTAT'!D13=0,0,'COMPTE DE RESULTAT'!D29/'COMPTE DE RESULTAT'!D13)</f>
        <v>0.294442140806445</v>
      </c>
      <c r="E34" s="17" t="n">
        <f aca="false">IF('COMPTE DE RESULTAT'!E13=0,0,'COMPTE DE RESULTAT'!E29/'COMPTE DE RESULTAT'!E13)</f>
        <v>0.264074036126798</v>
      </c>
      <c r="F34" s="17" t="n">
        <f aca="false">IF('COMPTE DE RESULTAT'!F13=0,0,'COMPTE DE RESULTAT'!F29/'COMPTE DE RESULTAT'!F13)</f>
        <v>0.263297495088255</v>
      </c>
      <c r="G34" s="17" t="n">
        <f aca="false">IF('COMPTE DE RESULTAT'!G13=0,0,'COMPTE DE RESULTAT'!G29/'COMPTE DE RESULTAT'!G13)</f>
        <v>0.26320874765938</v>
      </c>
      <c r="H34" s="17" t="n">
        <f aca="false">IF('COMPTE DE RESULTAT'!H13=0,0,'COMPTE DE RESULTAT'!H29/'COMPTE DE RESULTAT'!H13)</f>
        <v>0.262588922547391</v>
      </c>
    </row>
    <row r="35" customFormat="false" ht="15" hidden="false" customHeight="false" outlineLevel="0" collapsed="false">
      <c r="A35" s="13"/>
      <c r="B35" s="12" t="s">
        <v>670</v>
      </c>
      <c r="C35" s="17" t="n">
        <f aca="false">IF('COMPTE DE RESULTAT'!C13=0,0,'COMPTE DE RESULTAT'!C47/'COMPTE DE RESULTAT'!C13)</f>
        <v>0.103703436001107</v>
      </c>
      <c r="D35" s="17" t="n">
        <f aca="false">IF('COMPTE DE RESULTAT'!D13=0,0,'COMPTE DE RESULTAT'!D47/'COMPTE DE RESULTAT'!D13)</f>
        <v>0.123336948556003</v>
      </c>
      <c r="E35" s="17" t="n">
        <f aca="false">IF('COMPTE DE RESULTAT'!E13=0,0,'COMPTE DE RESULTAT'!E47/'COMPTE DE RESULTAT'!E13)</f>
        <v>0.100984603049475</v>
      </c>
      <c r="F35" s="17" t="n">
        <f aca="false">IF('COMPTE DE RESULTAT'!F13=0,0,'COMPTE DE RESULTAT'!F47/'COMPTE DE RESULTAT'!F13)</f>
        <v>0.101537657091358</v>
      </c>
      <c r="G35" s="17" t="n">
        <f aca="false">IF('COMPTE DE RESULTAT'!G13=0,0,'COMPTE DE RESULTAT'!G47/'COMPTE DE RESULTAT'!G13)</f>
        <v>0.106690710825923</v>
      </c>
      <c r="H35" s="17" t="n">
        <f aca="false">IF('COMPTE DE RESULTAT'!H13=0,0,'COMPTE DE RESULTAT'!H47/'COMPTE DE RESULTAT'!H13)</f>
        <v>0.108419964868574</v>
      </c>
    </row>
    <row r="36" customFormat="false" ht="15" hidden="false" customHeight="false" outlineLevel="0" collapsed="false">
      <c r="A36" s="13"/>
      <c r="B36" s="12" t="s">
        <v>671</v>
      </c>
      <c r="C36" s="15" t="n">
        <f aca="false">BILAN!C48-BILAN!C17</f>
        <v>268769832</v>
      </c>
      <c r="D36" s="15" t="n">
        <f aca="false">BILAN!D48-BILAN!D17</f>
        <v>387507111</v>
      </c>
      <c r="E36" s="15" t="n">
        <f aca="false">BILAN!E48-BILAN!E17</f>
        <v>532559113</v>
      </c>
      <c r="F36" s="15" t="n">
        <f aca="false">BILAN!F48-BILAN!F17</f>
        <v>685776643</v>
      </c>
      <c r="G36" s="15" t="n">
        <f aca="false">BILAN!G48-BILAN!G17</f>
        <v>806794036</v>
      </c>
      <c r="H36" s="15" t="n">
        <f aca="false">BILAN!H48-BILAN!H17</f>
        <v>976479195</v>
      </c>
    </row>
    <row r="37" customFormat="false" ht="15" hidden="false" customHeight="false" outlineLevel="0" collapsed="false">
      <c r="A37" s="13"/>
      <c r="B37" s="12" t="s">
        <v>672</v>
      </c>
      <c r="C37" s="15" t="n">
        <f aca="false">BILAN!C24-BILAN!C55</f>
        <v>140635874</v>
      </c>
      <c r="D37" s="15" t="n">
        <f aca="false">BILAN!D24-BILAN!D55</f>
        <v>171560897</v>
      </c>
      <c r="E37" s="15" t="n">
        <f aca="false">BILAN!E24-BILAN!E55</f>
        <v>222822364</v>
      </c>
      <c r="F37" s="15" t="n">
        <f aca="false">BILAN!F24-BILAN!F55</f>
        <v>264960520</v>
      </c>
      <c r="G37" s="15" t="n">
        <f aca="false">BILAN!G24-BILAN!G55</f>
        <v>292029095</v>
      </c>
      <c r="H37" s="15" t="n">
        <f aca="false">BILAN!H24-BILAN!H55</f>
        <v>349886323</v>
      </c>
    </row>
    <row r="38" customFormat="false" ht="15" hidden="false" customHeight="false" outlineLevel="0" collapsed="false">
      <c r="A38" s="33"/>
      <c r="B38" s="33" t="s">
        <v>673</v>
      </c>
      <c r="C38" s="34" t="n">
        <f aca="false">BILAN!C28-BILAN!C58</f>
        <v>128133958</v>
      </c>
      <c r="D38" s="34" t="n">
        <f aca="false">BILAN!D28-BILAN!D58</f>
        <v>215946214</v>
      </c>
      <c r="E38" s="34" t="n">
        <f aca="false">BILAN!E28-BILAN!E58</f>
        <v>309736749</v>
      </c>
      <c r="F38" s="34" t="n">
        <f aca="false">BILAN!F28-BILAN!F58</f>
        <v>420816123</v>
      </c>
      <c r="G38" s="34" t="n">
        <f aca="false">BILAN!G28-BILAN!G58</f>
        <v>514764941</v>
      </c>
      <c r="H38" s="34" t="n">
        <f aca="false">BILAN!H28-BILAN!H58</f>
        <v>626592872</v>
      </c>
      <c r="I38" s="32"/>
    </row>
    <row r="39" customFormat="false" ht="15" hidden="false" customHeight="false" outlineLevel="0" collapsed="false">
      <c r="A39" s="13"/>
      <c r="B39" s="12" t="s">
        <v>674</v>
      </c>
      <c r="C39" s="22" t="n">
        <f aca="false">IF('COMPTE DE RESULTAT'!C13=0,0,C37/'COMPTE DE RESULTAT'!C13*360)</f>
        <v>72.2210937202613</v>
      </c>
      <c r="D39" s="22" t="n">
        <f aca="false">IF('COMPTE DE RESULTAT'!D13=0,0,D37/'COMPTE DE RESULTAT'!D13*360)</f>
        <v>82.3384097559744</v>
      </c>
      <c r="E39" s="22" t="n">
        <f aca="false">IF('COMPTE DE RESULTAT'!E13=0,0,E37/'COMPTE DE RESULTAT'!E13*360)</f>
        <v>101.848267376651</v>
      </c>
      <c r="F39" s="22" t="n">
        <f aca="false">IF('COMPTE DE RESULTAT'!F13=0,0,F37/'COMPTE DE RESULTAT'!F13*360)</f>
        <v>115.341802995971</v>
      </c>
      <c r="G39" s="22" t="n">
        <f aca="false">IF('COMPTE DE RESULTAT'!G13=0,0,G37/'COMPTE DE RESULTAT'!G13*360)</f>
        <v>121.071630769238</v>
      </c>
      <c r="H39" s="22" t="n">
        <f aca="false">IF('COMPTE DE RESULTAT'!H13=0,0,H37/'COMPTE DE RESULTAT'!H13*360)</f>
        <v>138.15096936939</v>
      </c>
    </row>
    <row r="40" customFormat="false" ht="15" hidden="false" customHeight="false" outlineLevel="0" collapsed="false">
      <c r="A40" s="13"/>
      <c r="B40" s="12" t="s">
        <v>675</v>
      </c>
      <c r="C40" s="52" t="n">
        <f aca="false">IF(BILAN!C43=0,0,(BILAN!C44+BILAN!C45+BILAN!C58)/BILAN!C43)</f>
        <v>0.0587023942433689</v>
      </c>
      <c r="D40" s="52" t="n">
        <f aca="false">IF(BILAN!D43=0,0,(BILAN!D44+BILAN!D45+BILAN!D58)/BILAN!D43)</f>
        <v>0</v>
      </c>
      <c r="E40" s="52" t="n">
        <f aca="false">IF(BILAN!E43=0,0,(BILAN!E44+BILAN!E45+BILAN!E58)/BILAN!E43)</f>
        <v>0</v>
      </c>
      <c r="F40" s="52" t="n">
        <f aca="false">IF(BILAN!F43=0,0,(BILAN!F44+BILAN!F45+BILAN!F58)/BILAN!F43)</f>
        <v>0</v>
      </c>
      <c r="G40" s="52" t="n">
        <f aca="false">IF(BILAN!G43=0,0,(BILAN!G44+BILAN!G45+BILAN!G58)/BILAN!G43)</f>
        <v>0</v>
      </c>
      <c r="H40" s="52" t="n">
        <f aca="false">IF(BILAN!H43=0,0,(BILAN!H44+BILAN!H45+BILAN!H58)/BILAN!H43)</f>
        <v>0</v>
      </c>
    </row>
    <row r="41" customFormat="false" ht="15" hidden="false" customHeight="false" outlineLevel="0" collapsed="false">
      <c r="A41" s="13"/>
      <c r="B41" s="12" t="s">
        <v>676</v>
      </c>
      <c r="C41" s="17" t="n">
        <f aca="false">IF(BILAN!C43=0,0,'COMPTE DE RESULTAT'!C47/BILAN!C43)</f>
        <v>0.0848791418170092</v>
      </c>
      <c r="D41" s="17" t="n">
        <f aca="false">IF(BILAN!D43=0,0,'COMPTE DE RESULTAT'!D47/BILAN!D43)</f>
        <v>0.0974852925078641</v>
      </c>
      <c r="E41" s="17" t="n">
        <f aca="false">IF(BILAN!E43=0,0,'COMPTE DE RESULTAT'!E47/BILAN!E43)</f>
        <v>0.0773281519572912</v>
      </c>
      <c r="F41" s="17" t="n">
        <f aca="false">IF(BILAN!F43=0,0,'COMPTE DE RESULTAT'!F47/BILAN!F43)</f>
        <v>0.0754773207075185</v>
      </c>
      <c r="G41" s="17" t="n">
        <f aca="false">IF(BILAN!G43=0,0,'COMPTE DE RESULTAT'!G47/BILAN!G43)</f>
        <v>0.0768718346772594</v>
      </c>
      <c r="H41" s="17" t="n">
        <f aca="false">IF(BILAN!H43=0,0,'COMPTE DE RESULTAT'!H47/BILAN!H43)</f>
        <v>0.0758058004215004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2026-10-08T17:27:10Z</dcterms:created>
  <dc:creator>openpyxl</dc:creator>
  <dc:description/>
  <dc:language>en-US</dc:language>
  <cp:lastModifiedBy/>
  <dcterms:modified xsi:type="dcterms:W3CDTF">2026-10-08T17:27:10Z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