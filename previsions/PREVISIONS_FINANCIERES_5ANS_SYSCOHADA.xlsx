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YPOTHESES" sheetId="1" state="visible" r:id="rId3"/>
    <sheet name="BALANCES" sheetId="2" state="visible" r:id="rId4"/>
    <sheet name="BILAN" sheetId="3" state="visible" r:id="rId5"/>
    <sheet name="COMPTE DE RESULTAT" sheetId="4" state="visible" r:id="rId6"/>
    <sheet name="TFT" sheetId="5" state="visible" r:id="rId7"/>
    <sheet name="CONTROL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Soldes réels repris de l'onglet « 2025 » (colonnes J/K, clôture 2024) du fichier source.</t>
        </r>
      </text>
    </comment>
  </commentList>
</comments>
</file>

<file path=xl/sharedStrings.xml><?xml version="1.0" encoding="utf-8"?>
<sst xmlns="http://schemas.openxmlformats.org/spreadsheetml/2006/main" count="707" uniqueCount="506">
  <si>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</si>
  <si>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</si>
  <si>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</si>
  <si>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</si>
  <si>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</si>
  <si>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</si>
  <si>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</si>
  <si>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</si>
  <si>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</si>
  <si>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</si>
  <si>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</si>
  <si>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</si>
  <si>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</si>
  <si>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</si>
  <si>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</si>
  <si>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</si>
  <si>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</si>
  <si>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</si>
  <si>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</si>
  <si>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</si>
  <si>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</si>
  <si>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</si>
  <si>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</si>
  <si>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</si>
  <si>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</si>
  <si>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</si>
  <si>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</si>
  <si>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</si>
  <si>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</si>
  <si>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</si>
  <si>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</si>
  <si>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</si>
  <si>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</si>
  <si>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INVESTISSEMENTS (montants HT, acquisitions supposées au 1er janvier)</t>
  </si>
  <si>
    <t xml:space="preserve">Aménagements, agencements, installations</t>
  </si>
  <si>
    <t xml:space="preserve">2341 / 2834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</si>
  <si>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</si>
  <si>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</si>
  <si>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</si>
  <si>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</si>
  <si>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</si>
  <si>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</si>
  <si>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Part des investissements restant due au 31/12 (fournisseurs d'investissement)</t>
  </si>
  <si>
    <t xml:space="preserve">4812</t>
  </si>
  <si>
    <t xml:space="preserve">La dette 4812 de l'année de base (132,9 M) est supposée payée l'année suivante.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</si>
  <si>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</si>
  <si>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</si>
  <si>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</si>
  <si>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</si>
  <si>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45). À aligner sur votre plan d'amortissement.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</si>
  <si>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</si>
  <si>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</si>
  <si>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</si>
  <si>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</si>
  <si>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</si>
  <si>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Défaut : dotation réelle de l'année de base.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</si>
  <si>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</si>
  <si>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</si>
  <si>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</si>
  <si>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</si>
  <si>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</si>
  <si>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4. FINANCEMENT ET CAPITAUX PROPRES</t>
  </si>
  <si>
    <t xml:space="preserve">Nouveaux emprunts</t>
  </si>
  <si>
    <t xml:space="preserve">162</t>
  </si>
  <si>
    <t xml:space="preserve">Remboursements d'emprunts</t>
  </si>
  <si>
    <t xml:space="preserve">Défaut : encours BNI (39,7 M) remboursé en 2 ans. À remplacer par l'échéancier bancaire.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</si>
  <si>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</si>
  <si>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</si>
  <si>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</si>
  <si>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</si>
  <si>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</si>
  <si>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</si>
  <si>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</si>
  <si>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</si>
  <si>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</si>
  <si>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Dotation aux provisions pour retraite (IFC)</t>
  </si>
  <si>
    <t xml:space="preserve">691 / 196</t>
  </si>
  <si>
    <t xml:space="preserve">5.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</si>
  <si>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</si>
  <si>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</si>
  <si>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</si>
  <si>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</si>
  <si>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</si>
  <si>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</si>
  <si>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</si>
  <si>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6.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</si>
  <si>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</si>
  <si>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</si>
  <si>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</si>
  <si>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</si>
  <si>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</si>
  <si>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</si>
  <si>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</si>
  <si>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</si>
  <si>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</si>
  <si>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</si>
  <si>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</si>
  <si>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</si>
  <si>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</si>
  <si>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</si>
  <si>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7. CALCULS INTERMÉDIAIRES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</si>
  <si>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</si>
  <si>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</si>
  <si>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</si>
  <si>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</si>
  <si>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</si>
  <si>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</si>
  <si>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</si>
  <si>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</si>
  <si>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</si>
  <si>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</si>
  <si>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</si>
  <si>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</si>
  <si>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</si>
  <si>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</si>
  <si>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</si>
  <si>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</si>
  <si>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Dotations aux amortissements (681)</t>
  </si>
  <si>
    <t xml:space="preserve">Dotations aux provisions (691)</t>
  </si>
  <si>
    <t xml:space="preserve">691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</si>
  <si>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</si>
  <si>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</si>
  <si>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</si>
  <si>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</si>
  <si>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</si>
  <si>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</si>
  <si>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</si>
  <si>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</si>
  <si>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</si>
  <si>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</si>
  <si>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</si>
  <si>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</si>
  <si>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</si>
  <si>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</si>
  <si>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</si>
  <si>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</si>
  <si>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</si>
  <si>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</si>
  <si>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</si>
  <si>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</si>
  <si>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BALANCES GÉNÉRALES : RÉEL ET PRÉVISIONNEL (soldes après inventaire, avant clôture des classes 6 à 8)</t>
  </si>
  <si>
    <t xml:space="preserve">Colonnes de base = balance réelle ; colonnes suivantes = balances prévisionnelles calculées depuis l'onglet HYPOTHESES. Ne rien saisir ici.</t>
  </si>
  <si>
    <t xml:space="preserve">Compte</t>
  </si>
  <si>
    <t xml:space="preserve">Intitulé</t>
  </si>
  <si>
    <t xml:space="preserve">Poste</t>
  </si>
  <si>
    <t xml:space="preserve">Solde débiteur</t>
  </si>
  <si>
    <t xml:space="preserve">Solde créditeur</t>
  </si>
  <si>
    <t xml:space="preserve">Capital social</t>
  </si>
  <si>
    <t xml:space="preserve">CA</t>
  </si>
  <si>
    <t xml:space="preserve">Réserve légale</t>
  </si>
  <si>
    <t xml:space="preserve">CF</t>
  </si>
  <si>
    <t xml:space="preserve">Report à nouveau</t>
  </si>
  <si>
    <t xml:space="preserve">CH</t>
  </si>
  <si>
    <t xml:space="preserve">Emprunts auprès des établissements de crédit (BNI)</t>
  </si>
  <si>
    <t xml:space="preserve">DA</t>
  </si>
  <si>
    <t xml:space="preserve">Dettes de location-acquisition</t>
  </si>
  <si>
    <t xml:space="preserve">DB</t>
  </si>
  <si>
    <t xml:space="preserve">Provisions pour pensions et obligations similaires (IFC)</t>
  </si>
  <si>
    <t xml:space="preserve">DC</t>
  </si>
  <si>
    <t xml:space="preserve">Aménagements, agencements et installations techniques</t>
  </si>
  <si>
    <t xml:space="preserve">AL</t>
  </si>
  <si>
    <t xml:space="preserve">Matériel industriel</t>
  </si>
  <si>
    <t xml:space="preserve">AM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</si>
  <si>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</si>
  <si>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</si>
  <si>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</si>
  <si>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</si>
  <si>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</si>
  <si>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</si>
  <si>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</si>
  <si>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</si>
  <si>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</si>
  <si>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</si>
  <si>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</si>
  <si>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</si>
  <si>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</si>
  <si>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</si>
  <si>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</si>
  <si>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</si>
  <si>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</si>
  <si>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</si>
  <si>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</si>
  <si>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</si>
  <si>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</si>
  <si>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</si>
  <si>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</si>
  <si>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</si>
  <si>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</si>
  <si>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</si>
  <si>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</si>
  <si>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</si>
  <si>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</si>
  <si>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</si>
  <si>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</si>
  <si>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</si>
  <si>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</si>
  <si>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</si>
  <si>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</si>
  <si>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</si>
  <si>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</si>
  <si>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</si>
  <si>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</si>
  <si>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</si>
  <si>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</si>
  <si>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</si>
  <si>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</si>
  <si>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</si>
  <si>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</si>
  <si>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</si>
  <si>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</si>
  <si>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</si>
  <si>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</si>
  <si>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</si>
  <si>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</si>
  <si>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</si>
  <si>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</si>
  <si>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</si>
  <si>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</si>
  <si>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</si>
  <si>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</si>
  <si>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</si>
  <si>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</si>
  <si>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</si>
  <si>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</si>
  <si>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</si>
  <si>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</si>
  <si>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</si>
  <si>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</si>
  <si>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</si>
  <si>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</si>
  <si>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</si>
  <si>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</si>
  <si>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</si>
  <si>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</si>
  <si>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</si>
  <si>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</si>
  <si>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</si>
  <si>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</si>
  <si>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</si>
  <si>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</si>
  <si>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</si>
  <si>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</si>
  <si>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</si>
  <si>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</si>
  <si>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</si>
  <si>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</si>
  <si>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</si>
  <si>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</si>
  <si>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</si>
  <si>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</si>
  <si>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</si>
  <si>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</si>
  <si>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</si>
  <si>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</si>
  <si>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</si>
  <si>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</si>
  <si>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</si>
  <si>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</si>
  <si>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</si>
  <si>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</si>
  <si>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TOTAL BALANCE</t>
  </si>
  <si>
    <t xml:space="preserve">Écart débit - crédit (doit être nul)</t>
  </si>
  <si>
    <t xml:space="preserve">Règles de projection : capitaux, emprunts, immobilisations et amortissements depuis HYPOTHESES (sections 3-4) ; clients et fournisseurs selon les délais ; dettes sociales et fiscales proportionnelles aux charges 66 et 64 ; charges de détail réparties selon leur poids dans la balance de base ; la banque est le solde de trésorerie qui équilibre la balance (si négative, elle passe au crédit = concours bancaire DR).</t>
  </si>
  <si>
    <t xml:space="preserve">BILAN PRÉVISIONNEL SUR 5 ANS (modèle SYSCOHADA révisé, système normal)</t>
  </si>
  <si>
    <t xml:space="preserve">Alimenté par l'onglet BALANCES.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</si>
  <si>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</si>
  <si>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</si>
  <si>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</si>
  <si>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</si>
  <si>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</si>
  <si>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</si>
  <si>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</si>
  <si>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</si>
  <si>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</si>
  <si>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</si>
  <si>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</si>
  <si>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AI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</si>
  <si>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</si>
  <si>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</si>
  <si>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</si>
  <si>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</si>
  <si>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</si>
  <si>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</si>
  <si>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</si>
  <si>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</si>
  <si>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</si>
  <si>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</si>
  <si>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</si>
  <si>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</si>
  <si>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</si>
  <si>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</si>
  <si>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BH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</si>
  <si>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</si>
  <si>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</si>
  <si>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</si>
  <si>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</si>
  <si>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</si>
  <si>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</si>
  <si>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</si>
  <si>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</si>
  <si>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</si>
  <si>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</si>
  <si>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</si>
  <si>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</si>
  <si>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</si>
  <si>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</si>
  <si>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</si>
  <si>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</si>
  <si>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</si>
  <si>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</si>
  <si>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</si>
  <si>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</si>
  <si>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</si>
  <si>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</si>
  <si>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</si>
  <si>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</si>
  <si>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</si>
  <si>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</si>
  <si>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</si>
  <si>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</si>
  <si>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</si>
  <si>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</si>
  <si>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</si>
  <si>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</si>
  <si>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</si>
  <si>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</si>
  <si>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</si>
  <si>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</si>
  <si>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</si>
  <si>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</si>
  <si>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</si>
  <si>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</si>
  <si>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</si>
  <si>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</si>
  <si>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</si>
  <si>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</si>
  <si>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</si>
  <si>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</si>
  <si>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</si>
  <si>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</si>
  <si>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</si>
  <si>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</si>
  <si>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</si>
  <si>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</si>
  <si>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</si>
  <si>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</si>
  <si>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</si>
  <si>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</si>
  <si>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</si>
  <si>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</si>
  <si>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</si>
  <si>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</si>
  <si>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</si>
  <si>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</si>
  <si>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</si>
  <si>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</si>
  <si>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</si>
  <si>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</si>
  <si>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l'onglet BALANCES.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</si>
  <si>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</si>
  <si>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</si>
  <si>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</si>
  <si>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</si>
  <si>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</si>
  <si>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</si>
  <si>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</si>
  <si>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</si>
  <si>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</si>
  <si>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</si>
  <si>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</si>
  <si>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</si>
  <si>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</si>
  <si>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</si>
  <si>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</si>
  <si>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</si>
  <si>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</si>
  <si>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</si>
  <si>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</si>
  <si>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</si>
  <si>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</si>
  <si>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</si>
  <si>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</si>
  <si>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</si>
  <si>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</si>
  <si>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</si>
  <si>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</si>
  <si>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</si>
  <si>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</si>
  <si>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</si>
  <si>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</si>
  <si>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</si>
  <si>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</si>
  <si>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</si>
  <si>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</si>
  <si>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</si>
  <si>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</si>
  <si>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</si>
  <si>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</si>
  <si>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</si>
  <si>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</si>
  <si>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</si>
  <si>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</si>
  <si>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</si>
  <si>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</si>
  <si>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</si>
  <si>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</si>
  <si>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</si>
  <si>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</si>
  <si>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</si>
  <si>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</si>
  <si>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</si>
  <si>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</si>
  <si>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</si>
  <si>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</si>
  <si>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</si>
  <si>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</si>
  <si>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</si>
  <si>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</si>
  <si>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</si>
  <si>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</si>
  <si>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</si>
  <si>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</si>
  <si>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</si>
  <si>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</si>
  <si>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</si>
  <si>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</si>
  <si>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</si>
  <si>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</si>
  <si>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</si>
  <si>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</si>
  <si>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</si>
  <si>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</si>
  <si>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</si>
  <si>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FA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</si>
  <si>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</si>
  <si>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</si>
  <si>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</si>
  <si>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</si>
  <si>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</si>
  <si>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</si>
  <si>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</si>
  <si>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</si>
  <si>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</si>
  <si>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</si>
  <si>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</si>
  <si>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</si>
  <si>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</si>
  <si>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</si>
  <si>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</si>
  <si>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</si>
  <si>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</si>
  <si>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</si>
  <si>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</si>
  <si>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</si>
  <si>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</si>
  <si>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</si>
  <si>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</si>
  <si>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</si>
  <si>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</si>
  <si>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</si>
  <si>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</si>
  <si>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</si>
  <si>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</si>
  <si>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</si>
  <si>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</si>
  <si>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</si>
  <si>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</si>
  <si>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</si>
  <si>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</si>
  <si>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</si>
  <si>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</si>
  <si>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</si>
  <si>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</si>
  <si>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</si>
  <si>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</si>
  <si>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</si>
  <si>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</si>
  <si>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</si>
  <si>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</si>
  <si>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</si>
  <si>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</si>
  <si>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</si>
  <si>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</si>
  <si>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</si>
  <si>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</si>
  <si>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</si>
  <si>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équilibrée : total débits - total crédits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</si>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</sst>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0.05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SUMIFS(BALANCES!$E:$E,BALANCES!$C:$C,"TK")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IF(SUMIFS(BALANCES!$E:$E,BALANCES!$C:$C,"TC")=0,0,SUMIFS(BALANCES!$D:$D,BALANCES!$C:$C,"RE")/SUMIFS(BALANCES!$E:$E,BALANCES!$C:$C,"TC"))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IF(SUMIFS(BALANCES!$E:$E,BALANCES!$C:$C,"TC")=0,0,SUMIFS(BALANCES!$D:$D,BALANCES!$C:$C,"RG")/SUMIFS(BALANCES!$E:$E,BALANCES!$C:$C,"TC"))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IF(SUMIFS(BALANCES!$E:$E,BALANCES!$C:$C,"TC")=0,0,SUMIFS(BALANCES!$D:$D,BALANCES!$C:$C,"RH")/SUMIFS(BALANCES!$E:$E,BALANCES!$C:$C,"TC"))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IF(SUMIFS(BALANCES!$E:$E,BALANCES!$C:$C,"TC")=0,0,SUMIFS(BALANCES!$D:$D,BALANCES!$C:$C,"RI")/SUMIFS(BALANCES!$E:$E,BALANCES!$C:$C,"TC"))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IF(SUMIFS(BALANCES!$E:$E,BALANCES!$C:$C,"TC")=0,0,SUMIFS(BALANCES!$D:$D,BALANCES!$C:$C,"RJ")/SUMIFS(BALANCES!$E:$E,BALANCES!$C:$C,"TC"))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IF(SUMIFS(BALANCES!$E:$E,BALANCES!$C:$C,"TC")=0,0,SUMIFS(BALANCES!$D:$D,BALANCES!$C:$C,"RK")/SUMIFS(BALANCES!$E:$E,BALANCES!$C:$C,"TC"))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</row>
    <row r="21" customFormat="false" ht="15" hidden="false" customHeight="false" outlineLevel="0" collapsed="false">
      <c r="A21" s="12" t="s">
        <v>36</v>
      </c>
      <c r="B21" s="13" t="s">
        <v>37</v>
      </c>
      <c r="D21" s="16" t="n">
        <v>30000000</v>
      </c>
      <c r="E21" s="16" t="n">
        <v>30000000</v>
      </c>
      <c r="F21" s="16" t="n">
        <v>30000000</v>
      </c>
      <c r="G21" s="16" t="n">
        <v>30000000</v>
      </c>
      <c r="H21" s="16" t="n">
        <v>30000000</v>
      </c>
    </row>
    <row r="22" customFormat="false" ht="15" hidden="false" customHeight="false" outlineLevel="0" collapsed="false">
      <c r="A22" s="12" t="s">
        <v>38</v>
      </c>
      <c r="B22" s="13" t="s">
        <v>39</v>
      </c>
      <c r="D22" s="16" t="n">
        <v>5000000</v>
      </c>
      <c r="E22" s="16" t="n">
        <v>5000000</v>
      </c>
      <c r="F22" s="16" t="n">
        <v>5000000</v>
      </c>
      <c r="G22" s="16" t="n">
        <v>5000000</v>
      </c>
      <c r="H22" s="16" t="n">
        <v>5000000</v>
      </c>
    </row>
    <row r="23" customFormat="false" ht="15" hidden="false" customHeight="false" outlineLevel="0" collapsed="false">
      <c r="A23" s="12" t="s">
        <v>40</v>
      </c>
      <c r="B23" s="13" t="s">
        <v>41</v>
      </c>
      <c r="D23" s="16" t="n">
        <v>40000000</v>
      </c>
      <c r="E23" s="16" t="n">
        <v>0</v>
      </c>
      <c r="F23" s="16" t="n">
        <v>0</v>
      </c>
      <c r="G23" s="16" t="n">
        <v>40000000</v>
      </c>
      <c r="H23" s="16" t="n">
        <v>0</v>
      </c>
    </row>
    <row r="24" customFormat="false" ht="15" hidden="false" customHeight="false" outlineLevel="0" collapsed="false">
      <c r="A24" s="12" t="s">
        <v>42</v>
      </c>
      <c r="B24" s="13" t="s">
        <v>43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7" t="s">
        <v>44</v>
      </c>
    </row>
    <row r="25" customFormat="false" ht="15" hidden="false" customHeight="false" outlineLevel="0" collapsed="false">
      <c r="A25" s="12" t="s">
        <v>45</v>
      </c>
      <c r="B25" s="13" t="s">
        <v>46</v>
      </c>
      <c r="D25" s="16" t="n">
        <v>0</v>
      </c>
      <c r="E25" s="16" t="n">
        <v>0</v>
      </c>
      <c r="F25" s="16" t="n">
        <v>0</v>
      </c>
      <c r="G25" s="16" t="n">
        <v>0</v>
      </c>
      <c r="H25" s="16" t="n">
        <v>0</v>
      </c>
    </row>
    <row r="26" customFormat="false" ht="15" hidden="false" customHeight="false" outlineLevel="0" collapsed="false">
      <c r="A26" s="4" t="s">
        <v>47</v>
      </c>
    </row>
    <row r="27" customFormat="false" ht="15" hidden="false" customHeight="false" outlineLevel="0" collapsed="false">
      <c r="A27" s="12" t="s">
        <v>48</v>
      </c>
      <c r="C27" s="6" t="n">
        <v>5</v>
      </c>
      <c r="I27" s="7" t="s">
        <v>49</v>
      </c>
    </row>
    <row r="28" customFormat="false" ht="15" hidden="false" customHeight="false" outlineLevel="0" collapsed="false">
      <c r="A28" s="12" t="s">
        <v>50</v>
      </c>
      <c r="C28" s="6" t="n">
        <v>5</v>
      </c>
      <c r="I28" s="7" t="s">
        <v>49</v>
      </c>
    </row>
    <row r="29" customFormat="false" ht="15" hidden="false" customHeight="false" outlineLevel="0" collapsed="false">
      <c r="A29" s="12" t="s">
        <v>51</v>
      </c>
      <c r="C29" s="6" t="n">
        <v>3</v>
      </c>
      <c r="I29" s="7" t="s">
        <v>49</v>
      </c>
    </row>
    <row r="30" customFormat="false" ht="15" hidden="false" customHeight="false" outlineLevel="0" collapsed="false">
      <c r="A30" s="12" t="s">
        <v>52</v>
      </c>
      <c r="C30" s="6" t="n">
        <v>4</v>
      </c>
      <c r="I30" s="7" t="s">
        <v>49</v>
      </c>
    </row>
    <row r="31" customFormat="false" ht="15" hidden="false" customHeight="false" outlineLevel="0" collapsed="false">
      <c r="A31" s="4" t="s">
        <v>53</v>
      </c>
    </row>
    <row r="32" customFormat="false" ht="15" hidden="false" customHeight="false" outlineLevel="0" collapsed="false">
      <c r="A32" s="12" t="s">
        <v>48</v>
      </c>
      <c r="B32" s="13" t="s">
        <v>54</v>
      </c>
      <c r="D32" s="16" t="n">
        <v>19282845</v>
      </c>
      <c r="E32" s="16" t="n">
        <v>19282845</v>
      </c>
      <c r="F32" s="16" t="n">
        <v>19282845</v>
      </c>
      <c r="G32" s="16" t="n">
        <v>19282845</v>
      </c>
      <c r="H32" s="16" t="n">
        <v>19282845</v>
      </c>
      <c r="I32" s="7" t="s">
        <v>55</v>
      </c>
    </row>
    <row r="33" customFormat="false" ht="15" hidden="false" customHeight="false" outlineLevel="0" collapsed="false">
      <c r="A33" s="12" t="s">
        <v>50</v>
      </c>
      <c r="B33" s="13" t="s">
        <v>54</v>
      </c>
      <c r="D33" s="16" t="n">
        <v>44854932</v>
      </c>
      <c r="E33" s="16" t="n">
        <v>44854932</v>
      </c>
      <c r="F33" s="16" t="n">
        <v>44854932</v>
      </c>
      <c r="G33" s="16" t="n">
        <v>44854932</v>
      </c>
      <c r="H33" s="16" t="n">
        <v>44854932</v>
      </c>
      <c r="I33" s="7" t="s">
        <v>55</v>
      </c>
    </row>
    <row r="34" customFormat="false" ht="15" hidden="false" customHeight="false" outlineLevel="0" collapsed="false">
      <c r="A34" s="12" t="s">
        <v>51</v>
      </c>
      <c r="B34" s="13" t="s">
        <v>54</v>
      </c>
      <c r="D34" s="16" t="n">
        <v>4934884</v>
      </c>
      <c r="E34" s="16" t="n">
        <v>4934884</v>
      </c>
      <c r="F34" s="16" t="n">
        <v>4934884</v>
      </c>
      <c r="G34" s="16" t="n">
        <v>4934884</v>
      </c>
      <c r="H34" s="16" t="n">
        <v>4934884</v>
      </c>
      <c r="I34" s="7" t="s">
        <v>55</v>
      </c>
    </row>
    <row r="35" customFormat="false" ht="15" hidden="false" customHeight="false" outlineLevel="0" collapsed="false">
      <c r="A35" s="12" t="s">
        <v>52</v>
      </c>
      <c r="B35" s="13" t="s">
        <v>54</v>
      </c>
      <c r="D35" s="16" t="n">
        <v>10760638</v>
      </c>
      <c r="E35" s="16" t="n">
        <v>10760638</v>
      </c>
      <c r="F35" s="16" t="n">
        <v>10760638</v>
      </c>
      <c r="G35" s="16" t="n">
        <v>10760638</v>
      </c>
      <c r="H35" s="16" t="n">
        <v>10760638</v>
      </c>
      <c r="I35" s="7" t="s">
        <v>55</v>
      </c>
    </row>
    <row r="36" customFormat="false" ht="15" hidden="false" customHeight="false" outlineLevel="0" collapsed="false">
      <c r="A36" s="12" t="s">
        <v>56</v>
      </c>
      <c r="B36" s="13" t="s">
        <v>35</v>
      </c>
      <c r="C36" s="18" t="n">
        <v>61665016</v>
      </c>
      <c r="I36" s="7" t="s">
        <v>57</v>
      </c>
    </row>
    <row r="37" customFormat="false" ht="15" hidden="false" customHeight="false" outlineLevel="0" collapsed="false">
      <c r="A37" s="12" t="s">
        <v>58</v>
      </c>
      <c r="B37" s="13" t="s">
        <v>37</v>
      </c>
      <c r="C37" s="18" t="n">
        <v>257861504</v>
      </c>
      <c r="I37" s="7" t="s">
        <v>57</v>
      </c>
    </row>
    <row r="38" customFormat="false" ht="15" hidden="false" customHeight="false" outlineLevel="0" collapsed="false">
      <c r="A38" s="12" t="s">
        <v>59</v>
      </c>
      <c r="B38" s="13" t="s">
        <v>39</v>
      </c>
      <c r="C38" s="18" t="n">
        <v>9579057</v>
      </c>
      <c r="I38" s="7" t="s">
        <v>57</v>
      </c>
    </row>
    <row r="39" customFormat="false" ht="15" hidden="false" customHeight="false" outlineLevel="0" collapsed="false">
      <c r="A39" s="12" t="s">
        <v>60</v>
      </c>
      <c r="B39" s="13" t="s">
        <v>41</v>
      </c>
      <c r="C39" s="18" t="n">
        <v>73755603</v>
      </c>
      <c r="I39" s="7" t="s">
        <v>57</v>
      </c>
    </row>
    <row r="40" customFormat="false" ht="15" hidden="false" customHeight="false" outlineLevel="0" collapsed="false">
      <c r="A40" s="10" t="s">
        <v>61</v>
      </c>
      <c r="B40" s="11"/>
      <c r="C40" s="11"/>
      <c r="D40" s="11"/>
      <c r="E40" s="11"/>
      <c r="F40" s="11"/>
      <c r="G40" s="11"/>
      <c r="H40" s="11"/>
      <c r="I40" s="11"/>
    </row>
    <row r="41" customFormat="false" ht="15" hidden="false" customHeight="false" outlineLevel="0" collapsed="false">
      <c r="A41" s="12" t="s">
        <v>62</v>
      </c>
      <c r="B41" s="13" t="s">
        <v>63</v>
      </c>
      <c r="D41" s="16" t="n">
        <v>0</v>
      </c>
      <c r="E41" s="16" t="n">
        <v>0</v>
      </c>
      <c r="F41" s="16" t="n">
        <v>0</v>
      </c>
      <c r="G41" s="16" t="n">
        <v>0</v>
      </c>
      <c r="H41" s="16" t="n">
        <v>0</v>
      </c>
    </row>
    <row r="42" customFormat="false" ht="15" hidden="false" customHeight="false" outlineLevel="0" collapsed="false">
      <c r="A42" s="12" t="s">
        <v>64</v>
      </c>
      <c r="B42" s="13" t="s">
        <v>63</v>
      </c>
      <c r="D42" s="16" t="n">
        <v>19829416</v>
      </c>
      <c r="E42" s="16" t="n">
        <v>19829416</v>
      </c>
      <c r="F42" s="16" t="n">
        <v>0</v>
      </c>
      <c r="G42" s="16" t="n">
        <v>0</v>
      </c>
      <c r="H42" s="16" t="n">
        <v>0</v>
      </c>
      <c r="I42" s="7" t="s">
        <v>65</v>
      </c>
    </row>
    <row r="43" customFormat="false" ht="15" hidden="false" customHeight="false" outlineLevel="0" collapsed="false">
      <c r="A43" s="12" t="s">
        <v>66</v>
      </c>
      <c r="B43" s="13" t="s">
        <v>67</v>
      </c>
      <c r="D43" s="16" t="n">
        <v>10619694</v>
      </c>
      <c r="E43" s="16" t="n">
        <v>0</v>
      </c>
      <c r="F43" s="16" t="n">
        <v>0</v>
      </c>
      <c r="G43" s="16" t="n">
        <v>0</v>
      </c>
      <c r="H43" s="16" t="n">
        <v>0</v>
      </c>
      <c r="I43" s="7" t="s">
        <v>68</v>
      </c>
    </row>
    <row r="44" customFormat="false" ht="15" hidden="false" customHeight="false" outlineLevel="0" collapsed="false">
      <c r="A44" s="12" t="s">
        <v>69</v>
      </c>
      <c r="B44" s="13" t="s">
        <v>12</v>
      </c>
      <c r="D44" s="14" t="n">
        <v>0.08</v>
      </c>
      <c r="E44" s="14" t="n">
        <v>0.08</v>
      </c>
      <c r="F44" s="14" t="n">
        <v>0.08</v>
      </c>
      <c r="G44" s="14" t="n">
        <v>0.08</v>
      </c>
      <c r="H44" s="14" t="n">
        <v>0.08</v>
      </c>
      <c r="I44" s="7" t="s">
        <v>70</v>
      </c>
    </row>
    <row r="45" customFormat="false" ht="15" hidden="false" customHeight="false" outlineLevel="0" collapsed="false">
      <c r="A45" s="12" t="s">
        <v>71</v>
      </c>
      <c r="B45" s="13" t="s">
        <v>72</v>
      </c>
      <c r="D45" s="16" t="n">
        <v>0</v>
      </c>
      <c r="E45" s="16" t="n">
        <v>0</v>
      </c>
      <c r="F45" s="16" t="n">
        <v>0</v>
      </c>
      <c r="G45" s="16" t="n">
        <v>0</v>
      </c>
      <c r="H45" s="16" t="n">
        <v>0</v>
      </c>
    </row>
    <row r="46" customFormat="false" ht="15" hidden="false" customHeight="false" outlineLevel="0" collapsed="false">
      <c r="A46" s="12" t="s">
        <v>73</v>
      </c>
      <c r="B46" s="13" t="s">
        <v>12</v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7" t="s">
        <v>74</v>
      </c>
    </row>
    <row r="47" customFormat="false" ht="15" hidden="false" customHeight="false" outlineLevel="0" collapsed="false">
      <c r="A47" s="12" t="s">
        <v>75</v>
      </c>
      <c r="B47" s="13" t="s">
        <v>76</v>
      </c>
      <c r="D47" s="16" t="n">
        <v>6059296</v>
      </c>
      <c r="E47" s="16" t="n">
        <v>6059296</v>
      </c>
      <c r="F47" s="16" t="n">
        <v>6059296</v>
      </c>
      <c r="G47" s="16" t="n">
        <v>6059296</v>
      </c>
      <c r="H47" s="16" t="n">
        <v>6059296</v>
      </c>
      <c r="I47" s="7" t="s">
        <v>55</v>
      </c>
    </row>
    <row r="48" customFormat="false" ht="15" hidden="false" customHeight="false" outlineLevel="0" collapsed="false">
      <c r="A48" s="10" t="s">
        <v>77</v>
      </c>
      <c r="B48" s="11"/>
      <c r="C48" s="11"/>
      <c r="D48" s="11"/>
      <c r="E48" s="11"/>
      <c r="F48" s="11"/>
      <c r="G48" s="11"/>
      <c r="H48" s="11"/>
      <c r="I48" s="11"/>
    </row>
    <row r="49" customFormat="false" ht="15" hidden="false" customHeight="false" outlineLevel="0" collapsed="false">
      <c r="A49" s="12" t="s">
        <v>78</v>
      </c>
      <c r="B49" s="13" t="s">
        <v>79</v>
      </c>
      <c r="C49" s="19" t="n">
        <f aca="false">IF(C61=0,0,SUMIFS(BALANCES!$D:$D,BALANCES!$C:$C,"BI")/(C61*(1+D10))*360)</f>
        <v>196.827174840192</v>
      </c>
      <c r="D49" s="20" t="n">
        <v>197</v>
      </c>
      <c r="E49" s="20" t="n">
        <v>197</v>
      </c>
      <c r="F49" s="20" t="n">
        <v>197</v>
      </c>
      <c r="G49" s="20" t="n">
        <v>197</v>
      </c>
      <c r="H49" s="20" t="n">
        <v>197</v>
      </c>
      <c r="I49" s="7" t="s">
        <v>80</v>
      </c>
    </row>
    <row r="50" customFormat="false" ht="15" hidden="false" customHeight="false" outlineLevel="0" collapsed="false">
      <c r="A50" s="12" t="s">
        <v>81</v>
      </c>
      <c r="B50" s="13" t="s">
        <v>82</v>
      </c>
      <c r="C50" s="19" t="n">
        <f aca="false">IF(C68=0,0,SUMIFS(BALANCES!$E:$E,BALANCES!$C:$C,"DJ")/(C68*(1+D10))*360)</f>
        <v>57.2511620547497</v>
      </c>
      <c r="D50" s="20" t="n">
        <v>57</v>
      </c>
      <c r="E50" s="20" t="n">
        <v>57</v>
      </c>
      <c r="F50" s="20" t="n">
        <v>57</v>
      </c>
      <c r="G50" s="20" t="n">
        <v>57</v>
      </c>
      <c r="H50" s="20" t="n">
        <v>57</v>
      </c>
      <c r="I50" s="7" t="s">
        <v>83</v>
      </c>
    </row>
    <row r="51" customFormat="false" ht="15" hidden="false" customHeight="false" outlineLevel="0" collapsed="false">
      <c r="I51" s="7" t="s">
        <v>84</v>
      </c>
    </row>
    <row r="52" customFormat="false" ht="15" hidden="false" customHeight="false" outlineLevel="0" collapsed="false">
      <c r="A52" s="10" t="s">
        <v>85</v>
      </c>
      <c r="B52" s="11"/>
      <c r="C52" s="11"/>
      <c r="D52" s="11"/>
      <c r="E52" s="11"/>
      <c r="F52" s="11"/>
      <c r="G52" s="11"/>
      <c r="H52" s="11"/>
      <c r="I52" s="11"/>
    </row>
    <row r="53" customFormat="false" ht="15" hidden="false" customHeight="false" outlineLevel="0" collapsed="false">
      <c r="A53" s="12" t="s">
        <v>86</v>
      </c>
      <c r="B53" s="13" t="s">
        <v>12</v>
      </c>
      <c r="D53" s="14" t="n">
        <v>0.25</v>
      </c>
      <c r="E53" s="14" t="n">
        <v>0.25</v>
      </c>
      <c r="F53" s="14" t="n">
        <v>0.25</v>
      </c>
      <c r="G53" s="14" t="n">
        <v>0.25</v>
      </c>
      <c r="H53" s="14" t="n">
        <v>0.25</v>
      </c>
      <c r="I53" s="7" t="s">
        <v>87</v>
      </c>
    </row>
    <row r="54" customFormat="false" ht="15" hidden="false" customHeight="false" outlineLevel="0" collapsed="false">
      <c r="A54" s="12" t="s">
        <v>88</v>
      </c>
      <c r="B54" s="13" t="s">
        <v>12</v>
      </c>
      <c r="D54" s="21" t="n">
        <v>0.005</v>
      </c>
      <c r="E54" s="21" t="n">
        <v>0.005</v>
      </c>
      <c r="F54" s="21" t="n">
        <v>0.005</v>
      </c>
      <c r="G54" s="21" t="n">
        <v>0.005</v>
      </c>
      <c r="H54" s="21" t="n">
        <v>0.005</v>
      </c>
      <c r="I54" s="7" t="s">
        <v>89</v>
      </c>
    </row>
    <row r="55" customFormat="false" ht="15" hidden="false" customHeight="false" outlineLevel="0" collapsed="false">
      <c r="A55" s="12" t="s">
        <v>90</v>
      </c>
      <c r="B55" s="13" t="s">
        <v>91</v>
      </c>
      <c r="D55" s="16" t="n">
        <v>3000000</v>
      </c>
      <c r="E55" s="16" t="n">
        <v>3000000</v>
      </c>
      <c r="F55" s="16" t="n">
        <v>3000000</v>
      </c>
      <c r="G55" s="16" t="n">
        <v>3000000</v>
      </c>
      <c r="H55" s="16" t="n">
        <v>3000000</v>
      </c>
      <c r="I55" s="7" t="s">
        <v>92</v>
      </c>
    </row>
    <row r="56" customFormat="false" ht="15" hidden="false" customHeight="false" outlineLevel="0" collapsed="false">
      <c r="A56" s="12" t="s">
        <v>93</v>
      </c>
      <c r="B56" s="13" t="s">
        <v>91</v>
      </c>
      <c r="D56" s="16" t="n">
        <v>35000000</v>
      </c>
      <c r="E56" s="16" t="n">
        <v>35000000</v>
      </c>
      <c r="F56" s="16" t="n">
        <v>35000000</v>
      </c>
      <c r="G56" s="16" t="n">
        <v>35000000</v>
      </c>
      <c r="H56" s="16" t="n">
        <v>35000000</v>
      </c>
      <c r="I56" s="7" t="s">
        <v>92</v>
      </c>
    </row>
    <row r="57" customFormat="false" ht="15" hidden="false" customHeight="false" outlineLevel="0" collapsed="false">
      <c r="A57" s="12" t="s">
        <v>94</v>
      </c>
      <c r="B57" s="13" t="s">
        <v>91</v>
      </c>
      <c r="D57" s="16" t="n">
        <v>0</v>
      </c>
      <c r="E57" s="16" t="n">
        <v>0</v>
      </c>
      <c r="F57" s="16" t="n">
        <v>0</v>
      </c>
      <c r="G57" s="16" t="n">
        <v>0</v>
      </c>
      <c r="H57" s="16" t="n">
        <v>0</v>
      </c>
      <c r="I57" s="7" t="s">
        <v>95</v>
      </c>
    </row>
    <row r="58" customFormat="false" ht="15" hidden="false" customHeight="false" outlineLevel="0" collapsed="false">
      <c r="A58" s="12" t="s">
        <v>96</v>
      </c>
      <c r="B58" s="13" t="s">
        <v>12</v>
      </c>
      <c r="D58" s="14" t="n">
        <v>0.1</v>
      </c>
      <c r="E58" s="14" t="n">
        <v>0.1</v>
      </c>
      <c r="F58" s="14" t="n">
        <v>0.1</v>
      </c>
      <c r="G58" s="14" t="n">
        <v>0.1</v>
      </c>
      <c r="H58" s="14" t="n">
        <v>0.1</v>
      </c>
      <c r="I58" s="7" t="s">
        <v>97</v>
      </c>
    </row>
    <row r="59" customFormat="false" ht="15" hidden="false" customHeight="false" outlineLevel="0" collapsed="false">
      <c r="A59" s="12" t="s">
        <v>98</v>
      </c>
      <c r="B59" s="13" t="s">
        <v>12</v>
      </c>
      <c r="D59" s="14" t="n">
        <v>0.2</v>
      </c>
      <c r="E59" s="14" t="n">
        <v>0.2</v>
      </c>
      <c r="F59" s="14" t="n">
        <v>0.2</v>
      </c>
      <c r="G59" s="14" t="n">
        <v>0.2</v>
      </c>
      <c r="H59" s="14" t="n">
        <v>0.2</v>
      </c>
      <c r="I59" s="7" t="s">
        <v>99</v>
      </c>
    </row>
    <row r="60" customFormat="false" ht="15" hidden="false" customHeight="false" outlineLevel="0" collapsed="false">
      <c r="A60" s="10" t="s">
        <v>100</v>
      </c>
      <c r="B60" s="11"/>
      <c r="C60" s="11"/>
      <c r="D60" s="11"/>
      <c r="E60" s="11"/>
      <c r="F60" s="11"/>
      <c r="G60" s="11"/>
      <c r="H60" s="11"/>
      <c r="I60" s="11"/>
    </row>
    <row r="61" customFormat="false" ht="15" hidden="false" customHeight="false" outlineLevel="0" collapsed="false">
      <c r="A61" s="4" t="s">
        <v>101</v>
      </c>
      <c r="B61" s="13" t="s">
        <v>102</v>
      </c>
      <c r="C61" s="22" t="n">
        <f aca="false">SUMIFS(BALANCES!$E:$E,BALANCES!$C:$C,"TC")</f>
        <v>701026695</v>
      </c>
      <c r="D61" s="23" t="n">
        <f aca="false">C61*(1+D9)</f>
        <v>736078029.75</v>
      </c>
      <c r="E61" s="23" t="n">
        <f aca="false">D61*(1+E9)</f>
        <v>772881931.2375</v>
      </c>
      <c r="F61" s="23" t="n">
        <f aca="false">E61*(1+F9)</f>
        <v>811526027.799375</v>
      </c>
      <c r="G61" s="23" t="n">
        <f aca="false">F61*(1+G9)</f>
        <v>852102329.189344</v>
      </c>
      <c r="H61" s="23" t="n">
        <f aca="false">G61*(1+H9)</f>
        <v>894707445.648811</v>
      </c>
    </row>
    <row r="62" customFormat="false" ht="15" hidden="false" customHeight="false" outlineLevel="0" collapsed="false">
      <c r="A62" s="12" t="s">
        <v>20</v>
      </c>
      <c r="B62" s="13" t="s">
        <v>21</v>
      </c>
      <c r="C62" s="15" t="n">
        <f aca="false">SUMIFS(BALANCES!$D:$D,BALANCES!$C:$C,"RE")</f>
        <v>278141464</v>
      </c>
      <c r="D62" s="18" t="n">
        <f aca="false">D61*D13</f>
        <v>292075762.2048</v>
      </c>
      <c r="E62" s="18" t="n">
        <f aca="false">E61*E13</f>
        <v>306679550.31504</v>
      </c>
      <c r="F62" s="18" t="n">
        <f aca="false">F61*F13</f>
        <v>322013527.830792</v>
      </c>
      <c r="G62" s="18" t="n">
        <f aca="false">G61*G13</f>
        <v>338114204.222332</v>
      </c>
      <c r="H62" s="18" t="n">
        <f aca="false">H61*H13</f>
        <v>355019914.433448</v>
      </c>
    </row>
    <row r="63" customFormat="false" ht="15" hidden="false" customHeight="false" outlineLevel="0" collapsed="false">
      <c r="A63" s="12" t="s">
        <v>23</v>
      </c>
      <c r="B63" s="13" t="s">
        <v>24</v>
      </c>
      <c r="C63" s="15" t="n">
        <f aca="false">SUMIFS(BALANCES!$D:$D,BALANCES!$C:$C,"RG")</f>
        <v>3820098</v>
      </c>
      <c r="D63" s="18" t="n">
        <f aca="false">D61*D14</f>
        <v>3974821.36065</v>
      </c>
      <c r="E63" s="18" t="n">
        <f aca="false">E61*E14</f>
        <v>4173562.4286825</v>
      </c>
      <c r="F63" s="18" t="n">
        <f aca="false">F61*F14</f>
        <v>4382240.55011663</v>
      </c>
      <c r="G63" s="18" t="n">
        <f aca="false">G61*G14</f>
        <v>4601352.57762246</v>
      </c>
      <c r="H63" s="18" t="n">
        <f aca="false">H61*H14</f>
        <v>4831420.20650358</v>
      </c>
    </row>
    <row r="64" customFormat="false" ht="15" hidden="false" customHeight="false" outlineLevel="0" collapsed="false">
      <c r="A64" s="12" t="s">
        <v>25</v>
      </c>
      <c r="B64" s="13" t="s">
        <v>26</v>
      </c>
      <c r="C64" s="15" t="n">
        <f aca="false">SUMIFS(BALANCES!$D:$D,BALANCES!$C:$C,"RH")</f>
        <v>106769083</v>
      </c>
      <c r="D64" s="18" t="n">
        <f aca="false">D61*D15</f>
        <v>112104683.930925</v>
      </c>
      <c r="E64" s="18" t="n">
        <f aca="false">E61*E15</f>
        <v>117709918.127471</v>
      </c>
      <c r="F64" s="18" t="n">
        <f aca="false">F61*F15</f>
        <v>123595414.033845</v>
      </c>
      <c r="G64" s="18" t="n">
        <f aca="false">G61*G15</f>
        <v>129775184.735537</v>
      </c>
      <c r="H64" s="18" t="n">
        <f aca="false">H61*H15</f>
        <v>136263943.972314</v>
      </c>
    </row>
    <row r="65" customFormat="false" ht="15" hidden="false" customHeight="false" outlineLevel="0" collapsed="false">
      <c r="A65" s="12" t="s">
        <v>27</v>
      </c>
      <c r="B65" s="13" t="s">
        <v>28</v>
      </c>
      <c r="C65" s="15" t="n">
        <f aca="false">SUMIFS(BALANCES!$D:$D,BALANCES!$C:$C,"RI")</f>
        <v>14869670</v>
      </c>
      <c r="D65" s="18" t="n">
        <f aca="false">D61*D16</f>
        <v>15604854.2307</v>
      </c>
      <c r="E65" s="18" t="n">
        <f aca="false">E61*E16</f>
        <v>16385096.942235</v>
      </c>
      <c r="F65" s="18" t="n">
        <f aca="false">F61*F16</f>
        <v>17204351.7893468</v>
      </c>
      <c r="G65" s="18" t="n">
        <f aca="false">G61*G16</f>
        <v>18064569.3788141</v>
      </c>
      <c r="H65" s="18" t="n">
        <f aca="false">H61*H16</f>
        <v>18967797.8477548</v>
      </c>
    </row>
    <row r="66" customFormat="false" ht="15" hidden="false" customHeight="false" outlineLevel="0" collapsed="false">
      <c r="A66" s="12" t="s">
        <v>29</v>
      </c>
      <c r="B66" s="13" t="s">
        <v>30</v>
      </c>
      <c r="C66" s="15" t="n">
        <f aca="false">SUMIFS(BALANCES!$D:$D,BALANCES!$C:$C,"RJ")</f>
        <v>1316731</v>
      </c>
      <c r="D66" s="18" t="n">
        <f aca="false">D61*D17</f>
        <v>1398548.256525</v>
      </c>
      <c r="E66" s="18" t="n">
        <f aca="false">E61*E17</f>
        <v>1468475.66935125</v>
      </c>
      <c r="F66" s="18" t="n">
        <f aca="false">F61*F17</f>
        <v>1541899.45281881</v>
      </c>
      <c r="G66" s="18" t="n">
        <f aca="false">G61*G17</f>
        <v>1618994.42545975</v>
      </c>
      <c r="H66" s="18" t="n">
        <f aca="false">H61*H17</f>
        <v>1699944.14673274</v>
      </c>
    </row>
    <row r="67" customFormat="false" ht="15" hidden="false" customHeight="false" outlineLevel="0" collapsed="false">
      <c r="A67" s="12" t="s">
        <v>31</v>
      </c>
      <c r="B67" s="13" t="s">
        <v>32</v>
      </c>
      <c r="C67" s="15" t="n">
        <f aca="false">SUMIFS(BALANCES!$D:$D,BALANCES!$C:$C,"RK")</f>
        <v>106025515</v>
      </c>
      <c r="D67" s="18" t="n">
        <f aca="false">D61*D18</f>
        <v>111294998.0982</v>
      </c>
      <c r="E67" s="18" t="n">
        <f aca="false">E61*E18</f>
        <v>116859748.00311</v>
      </c>
      <c r="F67" s="18" t="n">
        <f aca="false">F61*F18</f>
        <v>122702735.403266</v>
      </c>
      <c r="G67" s="18" t="n">
        <f aca="false">G61*G18</f>
        <v>128837872.173429</v>
      </c>
      <c r="H67" s="18" t="n">
        <f aca="false">H61*H18</f>
        <v>135279765.7821</v>
      </c>
    </row>
    <row r="68" customFormat="false" ht="15" hidden="false" customHeight="false" outlineLevel="0" collapsed="false">
      <c r="A68" s="12" t="s">
        <v>103</v>
      </c>
      <c r="B68" s="13"/>
      <c r="C68" s="18" t="n">
        <f aca="false">C62+C63+C64</f>
        <v>388730645</v>
      </c>
      <c r="D68" s="18" t="n">
        <f aca="false">D62+D63+D64</f>
        <v>408155267.496375</v>
      </c>
      <c r="E68" s="18" t="n">
        <f aca="false">E62+E63+E64</f>
        <v>428563030.871194</v>
      </c>
      <c r="F68" s="18" t="n">
        <f aca="false">F62+F63+F64</f>
        <v>449991182.414753</v>
      </c>
      <c r="G68" s="18" t="n">
        <f aca="false">G62+G63+G64</f>
        <v>472490741.535491</v>
      </c>
      <c r="H68" s="18" t="n">
        <f aca="false">H62+H63+H64</f>
        <v>496115278.612266</v>
      </c>
    </row>
    <row r="69" customFormat="false" ht="15" hidden="false" customHeight="false" outlineLevel="0" collapsed="false">
      <c r="A69" s="12" t="s">
        <v>104</v>
      </c>
      <c r="B69" s="13" t="s">
        <v>54</v>
      </c>
      <c r="D69" s="18" t="n">
        <f aca="false">MIN(D32,$C36)</f>
        <v>19282845</v>
      </c>
      <c r="E69" s="18" t="n">
        <f aca="false">MIN(E32,$C36-SUM($D69:D69))</f>
        <v>19282845</v>
      </c>
      <c r="F69" s="18" t="n">
        <f aca="false">MIN(F32,$C36-SUM($D69:E69))</f>
        <v>19282845</v>
      </c>
      <c r="G69" s="18" t="n">
        <f aca="false">MIN(G32,$C36-SUM($D69:F69))</f>
        <v>3816481</v>
      </c>
      <c r="H69" s="18" t="n">
        <f aca="false">MIN(H32,$C36-SUM($D69:G69))</f>
        <v>0</v>
      </c>
    </row>
    <row r="70" customFormat="false" ht="15" hidden="false" customHeight="false" outlineLevel="0" collapsed="false">
      <c r="A70" s="12" t="s">
        <v>105</v>
      </c>
      <c r="B70" s="13" t="s">
        <v>54</v>
      </c>
      <c r="D70" s="18" t="n">
        <f aca="false">SUMPRODUCT($D20:D20/$C27*((D$7-$D$7:D$7)&lt;$C27))</f>
        <v>0</v>
      </c>
      <c r="E70" s="18" t="n">
        <f aca="false">SUMPRODUCT($D20:E20/$C27*((E$7-$D$7:E$7)&lt;$C27))</f>
        <v>0</v>
      </c>
      <c r="F70" s="18" t="n">
        <f aca="false">SUMPRODUCT($D20:F20/$C27*((F$7-$D$7:F$7)&lt;$C27))</f>
        <v>0</v>
      </c>
      <c r="G70" s="18" t="n">
        <f aca="false">SUMPRODUCT($D20:G20/$C27*((G$7-$D$7:G$7)&lt;$C27))</f>
        <v>0</v>
      </c>
      <c r="H70" s="18" t="n">
        <f aca="false">SUMPRODUCT($D20:H20/$C27*((H$7-$D$7:H$7)&lt;$C27))</f>
        <v>0</v>
      </c>
    </row>
    <row r="71" customFormat="false" ht="15" hidden="false" customHeight="false" outlineLevel="0" collapsed="false">
      <c r="A71" s="12" t="s">
        <v>106</v>
      </c>
      <c r="B71" s="13" t="s">
        <v>54</v>
      </c>
      <c r="D71" s="18" t="n">
        <f aca="false">D69+D70</f>
        <v>19282845</v>
      </c>
      <c r="E71" s="18" t="n">
        <f aca="false">E69+E70</f>
        <v>19282845</v>
      </c>
      <c r="F71" s="18" t="n">
        <f aca="false">F69+F70</f>
        <v>19282845</v>
      </c>
      <c r="G71" s="18" t="n">
        <f aca="false">G69+G70</f>
        <v>3816481</v>
      </c>
      <c r="H71" s="18" t="n">
        <f aca="false">H69+H70</f>
        <v>0</v>
      </c>
    </row>
    <row r="72" customFormat="false" ht="15" hidden="false" customHeight="false" outlineLevel="0" collapsed="false">
      <c r="A72" s="12" t="s">
        <v>107</v>
      </c>
      <c r="B72" s="13" t="s">
        <v>54</v>
      </c>
      <c r="D72" s="18" t="n">
        <f aca="false">MIN(D33,$C37)</f>
        <v>44854932</v>
      </c>
      <c r="E72" s="18" t="n">
        <f aca="false">MIN(E33,$C37-SUM($D72:D72))</f>
        <v>44854932</v>
      </c>
      <c r="F72" s="18" t="n">
        <f aca="false">MIN(F33,$C37-SUM($D72:E72))</f>
        <v>44854932</v>
      </c>
      <c r="G72" s="18" t="n">
        <f aca="false">MIN(G33,$C37-SUM($D72:F72))</f>
        <v>44854932</v>
      </c>
      <c r="H72" s="18" t="n">
        <f aca="false">MIN(H33,$C37-SUM($D72:G72))</f>
        <v>44854932</v>
      </c>
    </row>
    <row r="73" customFormat="false" ht="15" hidden="false" customHeight="false" outlineLevel="0" collapsed="false">
      <c r="A73" s="12" t="s">
        <v>108</v>
      </c>
      <c r="B73" s="13" t="s">
        <v>54</v>
      </c>
      <c r="D73" s="18" t="n">
        <f aca="false">SUMPRODUCT($D21:D21/$C28*((D$7-$D$7:D$7)&lt;$C28))</f>
        <v>6000000</v>
      </c>
      <c r="E73" s="18" t="n">
        <f aca="false">SUMPRODUCT($D21:E21/$C28*((E$7-$D$7:E$7)&lt;$C28))</f>
        <v>12000000</v>
      </c>
      <c r="F73" s="18" t="n">
        <f aca="false">SUMPRODUCT($D21:F21/$C28*((F$7-$D$7:F$7)&lt;$C28))</f>
        <v>18000000</v>
      </c>
      <c r="G73" s="18" t="n">
        <f aca="false">SUMPRODUCT($D21:G21/$C28*((G$7-$D$7:G$7)&lt;$C28))</f>
        <v>24000000</v>
      </c>
      <c r="H73" s="18" t="n">
        <f aca="false">SUMPRODUCT($D21:H21/$C28*((H$7-$D$7:H$7)&lt;$C28))</f>
        <v>30000000</v>
      </c>
    </row>
    <row r="74" customFormat="false" ht="15" hidden="false" customHeight="false" outlineLevel="0" collapsed="false">
      <c r="A74" s="12" t="s">
        <v>109</v>
      </c>
      <c r="B74" s="13" t="s">
        <v>54</v>
      </c>
      <c r="D74" s="18" t="n">
        <f aca="false">D72+D73</f>
        <v>50854932</v>
      </c>
      <c r="E74" s="18" t="n">
        <f aca="false">E72+E73</f>
        <v>56854932</v>
      </c>
      <c r="F74" s="18" t="n">
        <f aca="false">F72+F73</f>
        <v>62854932</v>
      </c>
      <c r="G74" s="18" t="n">
        <f aca="false">G72+G73</f>
        <v>68854932</v>
      </c>
      <c r="H74" s="18" t="n">
        <f aca="false">H72+H73</f>
        <v>74854932</v>
      </c>
    </row>
    <row r="75" customFormat="false" ht="15" hidden="false" customHeight="false" outlineLevel="0" collapsed="false">
      <c r="A75" s="12" t="s">
        <v>110</v>
      </c>
      <c r="B75" s="13" t="s">
        <v>54</v>
      </c>
      <c r="D75" s="18" t="n">
        <f aca="false">MIN(D34,$C38)</f>
        <v>4934884</v>
      </c>
      <c r="E75" s="18" t="n">
        <f aca="false">MIN(E34,$C38-SUM($D75:D75))</f>
        <v>4644173</v>
      </c>
      <c r="F75" s="18" t="n">
        <f aca="false">MIN(F34,$C38-SUM($D75:E75))</f>
        <v>0</v>
      </c>
      <c r="G75" s="18" t="n">
        <f aca="false">MIN(G34,$C38-SUM($D75:F75))</f>
        <v>0</v>
      </c>
      <c r="H75" s="18" t="n">
        <f aca="false">MIN(H34,$C38-SUM($D75:G75))</f>
        <v>0</v>
      </c>
    </row>
    <row r="76" customFormat="false" ht="15" hidden="false" customHeight="false" outlineLevel="0" collapsed="false">
      <c r="A76" s="12" t="s">
        <v>111</v>
      </c>
      <c r="B76" s="13" t="s">
        <v>54</v>
      </c>
      <c r="D76" s="18" t="n">
        <f aca="false">SUMPRODUCT($D22:D22/$C29*((D$7-$D$7:D$7)&lt;$C29))</f>
        <v>1666666.66666667</v>
      </c>
      <c r="E76" s="18" t="n">
        <f aca="false">SUMPRODUCT($D22:E22/$C29*((E$7-$D$7:E$7)&lt;$C29))</f>
        <v>3333333.33333333</v>
      </c>
      <c r="F76" s="18" t="n">
        <f aca="false">SUMPRODUCT($D22:F22/$C29*((F$7-$D$7:F$7)&lt;$C29))</f>
        <v>5000000</v>
      </c>
      <c r="G76" s="18" t="n">
        <f aca="false">SUMPRODUCT($D22:G22/$C29*((G$7-$D$7:G$7)&lt;$C29))</f>
        <v>5000000</v>
      </c>
      <c r="H76" s="18" t="n">
        <f aca="false">SUMPRODUCT($D22:H22/$C29*((H$7-$D$7:H$7)&lt;$C29))</f>
        <v>5000000</v>
      </c>
    </row>
    <row r="77" customFormat="false" ht="15" hidden="false" customHeight="false" outlineLevel="0" collapsed="false">
      <c r="A77" s="12" t="s">
        <v>112</v>
      </c>
      <c r="B77" s="13" t="s">
        <v>54</v>
      </c>
      <c r="D77" s="18" t="n">
        <f aca="false">D75+D76</f>
        <v>6601550.66666667</v>
      </c>
      <c r="E77" s="18" t="n">
        <f aca="false">E75+E76</f>
        <v>7977506.33333333</v>
      </c>
      <c r="F77" s="18" t="n">
        <f aca="false">F75+F76</f>
        <v>5000000</v>
      </c>
      <c r="G77" s="18" t="n">
        <f aca="false">G75+G76</f>
        <v>5000000</v>
      </c>
      <c r="H77" s="18" t="n">
        <f aca="false">H75+H76</f>
        <v>5000000</v>
      </c>
    </row>
    <row r="78" customFormat="false" ht="15" hidden="false" customHeight="false" outlineLevel="0" collapsed="false">
      <c r="A78" s="12" t="s">
        <v>113</v>
      </c>
      <c r="B78" s="13" t="s">
        <v>54</v>
      </c>
      <c r="D78" s="18" t="n">
        <f aca="false">MIN(D35,$C39)</f>
        <v>10760638</v>
      </c>
      <c r="E78" s="18" t="n">
        <f aca="false">MIN(E35,$C39-SUM($D78:D78))</f>
        <v>10760638</v>
      </c>
      <c r="F78" s="18" t="n">
        <f aca="false">MIN(F35,$C39-SUM($D78:E78))</f>
        <v>10760638</v>
      </c>
      <c r="G78" s="18" t="n">
        <f aca="false">MIN(G35,$C39-SUM($D78:F78))</f>
        <v>10760638</v>
      </c>
      <c r="H78" s="18" t="n">
        <f aca="false">MIN(H35,$C39-SUM($D78:G78))</f>
        <v>10760638</v>
      </c>
    </row>
    <row r="79" customFormat="false" ht="15" hidden="false" customHeight="false" outlineLevel="0" collapsed="false">
      <c r="A79" s="12" t="s">
        <v>114</v>
      </c>
      <c r="B79" s="13" t="s">
        <v>54</v>
      </c>
      <c r="D79" s="18" t="n">
        <f aca="false">SUMPRODUCT($D23:D23/$C30*((D$7-$D$7:D$7)&lt;$C30))</f>
        <v>10000000</v>
      </c>
      <c r="E79" s="18" t="n">
        <f aca="false">SUMPRODUCT($D23:E23/$C30*((E$7-$D$7:E$7)&lt;$C30))</f>
        <v>10000000</v>
      </c>
      <c r="F79" s="18" t="n">
        <f aca="false">SUMPRODUCT($D23:F23/$C30*((F$7-$D$7:F$7)&lt;$C30))</f>
        <v>10000000</v>
      </c>
      <c r="G79" s="18" t="n">
        <f aca="false">SUMPRODUCT($D23:G23/$C30*((G$7-$D$7:G$7)&lt;$C30))</f>
        <v>20000000</v>
      </c>
      <c r="H79" s="18" t="n">
        <f aca="false">SUMPRODUCT($D23:H23/$C30*((H$7-$D$7:H$7)&lt;$C30))</f>
        <v>10000000</v>
      </c>
    </row>
    <row r="80" customFormat="false" ht="15" hidden="false" customHeight="false" outlineLevel="0" collapsed="false">
      <c r="A80" s="12" t="s">
        <v>115</v>
      </c>
      <c r="B80" s="13" t="s">
        <v>54</v>
      </c>
      <c r="D80" s="18" t="n">
        <f aca="false">D78+D79</f>
        <v>20760638</v>
      </c>
      <c r="E80" s="18" t="n">
        <f aca="false">E78+E79</f>
        <v>20760638</v>
      </c>
      <c r="F80" s="18" t="n">
        <f aca="false">F78+F79</f>
        <v>20760638</v>
      </c>
      <c r="G80" s="18" t="n">
        <f aca="false">G78+G79</f>
        <v>30760638</v>
      </c>
      <c r="H80" s="18" t="n">
        <f aca="false">H78+H79</f>
        <v>20760638</v>
      </c>
    </row>
    <row r="81" customFormat="false" ht="15" hidden="false" customHeight="false" outlineLevel="0" collapsed="false">
      <c r="A81" s="12" t="s">
        <v>116</v>
      </c>
      <c r="B81" s="13"/>
      <c r="D81" s="18" t="n">
        <f aca="false">D20+D21+D22+D23</f>
        <v>75000000</v>
      </c>
      <c r="E81" s="18" t="n">
        <f aca="false">E20+E21+E22+E23</f>
        <v>35000000</v>
      </c>
      <c r="F81" s="18" t="n">
        <f aca="false">F20+F21+F22+F23</f>
        <v>35000000</v>
      </c>
      <c r="G81" s="18" t="n">
        <f aca="false">G20+G21+G22+G23</f>
        <v>75000000</v>
      </c>
      <c r="H81" s="18" t="n">
        <f aca="false">H20+H21+H22+H23</f>
        <v>35000000</v>
      </c>
    </row>
    <row r="82" customFormat="false" ht="15" hidden="false" customHeight="false" outlineLevel="0" collapsed="false">
      <c r="A82" s="12" t="s">
        <v>117</v>
      </c>
      <c r="B82" s="13" t="s">
        <v>54</v>
      </c>
      <c r="C82" s="15" t="n">
        <f aca="false">SUMIFS(BALANCES!$D:$D,BALANCES!$A:$A,"&gt;=681000",BALANCES!$A:$A,"&lt;682000")</f>
        <v>79833299</v>
      </c>
      <c r="D82" s="18" t="n">
        <f aca="false">D71+D74+D77+D80</f>
        <v>97499965.6666667</v>
      </c>
      <c r="E82" s="18" t="n">
        <f aca="false">E71+E74+E77+E80</f>
        <v>104875921.333333</v>
      </c>
      <c r="F82" s="18" t="n">
        <f aca="false">F71+F74+F77+F80</f>
        <v>107898415</v>
      </c>
      <c r="G82" s="18" t="n">
        <f aca="false">G71+G74+G77+G80</f>
        <v>108432051</v>
      </c>
      <c r="H82" s="18" t="n">
        <f aca="false">H71+H74+H77+H80</f>
        <v>100615570</v>
      </c>
    </row>
    <row r="83" customFormat="false" ht="15" hidden="false" customHeight="false" outlineLevel="0" collapsed="false">
      <c r="A83" s="12" t="s">
        <v>118</v>
      </c>
      <c r="B83" s="13" t="s">
        <v>119</v>
      </c>
      <c r="C83" s="15" t="n">
        <f aca="false">SUMIFS(BALANCES!$D:$D,BALANCES!$A:$A,"&gt;=691000",BALANCES!$A:$A,"&lt;692000")</f>
        <v>6059296</v>
      </c>
      <c r="D83" s="18" t="n">
        <f aca="false">D47</f>
        <v>6059296</v>
      </c>
      <c r="E83" s="18" t="n">
        <f aca="false">E47</f>
        <v>6059296</v>
      </c>
      <c r="F83" s="18" t="n">
        <f aca="false">F47</f>
        <v>6059296</v>
      </c>
      <c r="G83" s="18" t="n">
        <f aca="false">G47</f>
        <v>6059296</v>
      </c>
      <c r="H83" s="18" t="n">
        <f aca="false">H47</f>
        <v>6059296</v>
      </c>
    </row>
    <row r="84" customFormat="false" ht="15" hidden="false" customHeight="false" outlineLevel="0" collapsed="false">
      <c r="A84" s="12" t="s">
        <v>120</v>
      </c>
      <c r="B84" s="13" t="s">
        <v>121</v>
      </c>
      <c r="C84" s="15" t="n">
        <f aca="false">SUMIFS(BALANCES!$D:$D,BALANCES!$A:$A,"&gt;=671000",BALANCES!$A:$A,"&lt;672000")</f>
        <v>4142819</v>
      </c>
      <c r="D84" s="15" t="n">
        <f aca="false">D44*BALANCES!E8</f>
        <v>3172706.56</v>
      </c>
      <c r="E84" s="15" t="n">
        <f aca="false">E44*BALANCES!G8</f>
        <v>1586353.28</v>
      </c>
      <c r="F84" s="15" t="n">
        <f aca="false">F44*BALANCES!I8</f>
        <v>0</v>
      </c>
      <c r="G84" s="15" t="n">
        <f aca="false">G44*BALANCES!K8</f>
        <v>0</v>
      </c>
      <c r="H84" s="15" t="n">
        <f aca="false">H44*BALANCES!M8</f>
        <v>0</v>
      </c>
    </row>
    <row r="85" customFormat="false" ht="15" hidden="false" customHeight="false" outlineLevel="0" collapsed="false">
      <c r="A85" s="12" t="s">
        <v>122</v>
      </c>
      <c r="B85" s="13" t="s">
        <v>123</v>
      </c>
      <c r="C85" s="15" t="n">
        <f aca="false">SUMIFS(BALANCES!$D:$D,BALANCES!$A:$A,"&gt;=672000",BALANCES!$A:$A,"&lt;673000")</f>
        <v>3965478</v>
      </c>
      <c r="D85" s="15" t="n">
        <f aca="false">D44*BALANCES!E9</f>
        <v>849575.52</v>
      </c>
      <c r="E85" s="15" t="n">
        <f aca="false">E44*BALANCES!G9</f>
        <v>0</v>
      </c>
      <c r="F85" s="15" t="n">
        <f aca="false">F44*BALANCES!I9</f>
        <v>0</v>
      </c>
      <c r="G85" s="15" t="n">
        <f aca="false">G44*BALANCES!K9</f>
        <v>0</v>
      </c>
      <c r="H85" s="15" t="n">
        <f aca="false">H44*BALANCES!M9</f>
        <v>0</v>
      </c>
    </row>
    <row r="86" customFormat="false" ht="15" hidden="false" customHeight="false" outlineLevel="0" collapsed="false">
      <c r="A86" s="12" t="s">
        <v>124</v>
      </c>
      <c r="B86" s="13" t="s">
        <v>17</v>
      </c>
      <c r="C86" s="18" t="n">
        <f aca="false">C11</f>
        <v>848594</v>
      </c>
      <c r="D86" s="18" t="n">
        <f aca="false">D11</f>
        <v>848594</v>
      </c>
      <c r="E86" s="18" t="n">
        <f aca="false">E11</f>
        <v>848594</v>
      </c>
      <c r="F86" s="18" t="n">
        <f aca="false">F11</f>
        <v>848594</v>
      </c>
      <c r="G86" s="18" t="n">
        <f aca="false">G11</f>
        <v>848594</v>
      </c>
      <c r="H86" s="18" t="n">
        <f aca="false">H11</f>
        <v>848594</v>
      </c>
    </row>
    <row r="87" customFormat="false" ht="15" hidden="false" customHeight="false" outlineLevel="0" collapsed="false">
      <c r="A87" s="4" t="s">
        <v>125</v>
      </c>
      <c r="B87" s="13" t="s">
        <v>126</v>
      </c>
      <c r="C87" s="23" t="n">
        <f aca="false">C61+C86-C62-C63-C64-C65-C66-C67-C82-C83-C84-C85</f>
        <v>96931836</v>
      </c>
      <c r="D87" s="23" t="n">
        <f aca="false">D61+D86-D62-D63-D64-D65-D66-D67-D82-D83-D84-D85</f>
        <v>92891411.9215333</v>
      </c>
      <c r="E87" s="23" t="n">
        <f aca="false">E61+E86-E62-E63-E64-E65-E66-E67-E82-E83-E84-E85</f>
        <v>97932603.1382767</v>
      </c>
      <c r="F87" s="23" t="n">
        <f aca="false">F61+F86-F62-F63-F64-F65-F66-F67-F82-F83-F84-F85</f>
        <v>106976741.739191</v>
      </c>
      <c r="G87" s="23" t="n">
        <f aca="false">G61+G86-G62-G63-G64-G65-G66-G67-G82-G83-G84-G85</f>
        <v>117447398.67615</v>
      </c>
      <c r="H87" s="23" t="n">
        <f aca="false">H61+H86-H62-H63-H64-H65-H66-H67-H82-H83-H84-H85</f>
        <v>136818387.259958</v>
      </c>
    </row>
    <row r="88" customFormat="false" ht="15" hidden="false" customHeight="false" outlineLevel="0" collapsed="false">
      <c r="A88" s="12" t="s">
        <v>127</v>
      </c>
      <c r="B88" s="13"/>
      <c r="D88" s="18" t="n">
        <f aca="false">D87+D57</f>
        <v>92891411.9215333</v>
      </c>
      <c r="E88" s="18" t="n">
        <f aca="false">E87+E57</f>
        <v>97932603.1382767</v>
      </c>
      <c r="F88" s="18" t="n">
        <f aca="false">F87+F57</f>
        <v>106976741.739191</v>
      </c>
      <c r="G88" s="18" t="n">
        <f aca="false">G87+G57</f>
        <v>117447398.67615</v>
      </c>
      <c r="H88" s="18" t="n">
        <f aca="false">H87+H57</f>
        <v>136818387.259958</v>
      </c>
    </row>
    <row r="89" customFormat="false" ht="15" hidden="false" customHeight="false" outlineLevel="0" collapsed="false">
      <c r="A89" s="12" t="s">
        <v>128</v>
      </c>
      <c r="B89" s="13"/>
      <c r="D89" s="18" t="n">
        <f aca="false">MAX(0,D88)*D53</f>
        <v>23222852.9803833</v>
      </c>
      <c r="E89" s="18" t="n">
        <f aca="false">MAX(0,E88)*E53</f>
        <v>24483150.7845692</v>
      </c>
      <c r="F89" s="18" t="n">
        <f aca="false">MAX(0,F88)*F53</f>
        <v>26744185.4347976</v>
      </c>
      <c r="G89" s="18" t="n">
        <f aca="false">MAX(0,G88)*G53</f>
        <v>29361849.6690375</v>
      </c>
      <c r="H89" s="18" t="n">
        <f aca="false">MAX(0,H88)*H53</f>
        <v>34204596.8149894</v>
      </c>
    </row>
    <row r="90" customFormat="false" ht="15" hidden="false" customHeight="false" outlineLevel="0" collapsed="false">
      <c r="A90" s="12" t="s">
        <v>129</v>
      </c>
      <c r="B90" s="13"/>
      <c r="D90" s="18" t="n">
        <f aca="false">MIN(D56,MAX(D55,D54*(D61*(1+D10)+D86)))</f>
        <v>4347103.345525</v>
      </c>
      <c r="E90" s="18" t="n">
        <f aca="false">MIN(E56,MAX(E55,E54*(E61*(1+E10)+E86)))</f>
        <v>4564246.36430125</v>
      </c>
      <c r="F90" s="18" t="n">
        <f aca="false">MIN(F56,MAX(F55,F54*(F61*(1+F10)+F86)))</f>
        <v>4792246.53401631</v>
      </c>
      <c r="G90" s="18" t="n">
        <f aca="false">MIN(G56,MAX(G55,G54*(G61*(1+G10)+G86)))</f>
        <v>5031646.71221713</v>
      </c>
      <c r="H90" s="18" t="n">
        <f aca="false">MIN(H56,MAX(H55,H54*(H61*(1+H10)+H86)))</f>
        <v>5283016.89932799</v>
      </c>
    </row>
    <row r="91" customFormat="false" ht="15" hidden="false" customHeight="false" outlineLevel="0" collapsed="false">
      <c r="A91" s="4" t="s">
        <v>130</v>
      </c>
      <c r="B91" s="13" t="s">
        <v>131</v>
      </c>
      <c r="C91" s="22" t="n">
        <f aca="false">SUMIFS(BALANCES!$D:$D,BALANCES!$C:$C,"RS")</f>
        <v>24232959</v>
      </c>
      <c r="D91" s="23" t="n">
        <f aca="false">MAX(D89,D90)</f>
        <v>23222852.9803833</v>
      </c>
      <c r="E91" s="23" t="n">
        <f aca="false">MAX(E89,E90)</f>
        <v>24483150.7845692</v>
      </c>
      <c r="F91" s="23" t="n">
        <f aca="false">MAX(F89,F90)</f>
        <v>26744185.4347976</v>
      </c>
      <c r="G91" s="23" t="n">
        <f aca="false">MAX(G89,G90)</f>
        <v>29361849.6690375</v>
      </c>
      <c r="H91" s="23" t="n">
        <f aca="false">MAX(H89,H90)</f>
        <v>34204596.8149894</v>
      </c>
    </row>
    <row r="92" customFormat="false" ht="15" hidden="false" customHeight="false" outlineLevel="0" collapsed="false">
      <c r="A92" s="4" t="s">
        <v>132</v>
      </c>
      <c r="B92" s="13" t="s">
        <v>133</v>
      </c>
      <c r="C92" s="23" t="n">
        <f aca="false">C87-C91</f>
        <v>72698877</v>
      </c>
      <c r="D92" s="23" t="n">
        <f aca="false">D87-D91</f>
        <v>69668558.94115</v>
      </c>
      <c r="E92" s="23" t="n">
        <f aca="false">E87-E91</f>
        <v>73449452.3537075</v>
      </c>
      <c r="F92" s="23" t="n">
        <f aca="false">F87-F91</f>
        <v>80232556.3043929</v>
      </c>
      <c r="G92" s="23" t="n">
        <f aca="false">G87-G91</f>
        <v>88085549.0071126</v>
      </c>
      <c r="H92" s="23" t="n">
        <f aca="false">H87-H91</f>
        <v>102613790.444968</v>
      </c>
    </row>
    <row r="93" customFormat="false" ht="15" hidden="false" customHeight="false" outlineLevel="0" collapsed="false">
      <c r="A93" s="12" t="s">
        <v>134</v>
      </c>
      <c r="B93" s="13" t="s">
        <v>135</v>
      </c>
      <c r="D93" s="15" t="n">
        <f aca="false">MIN(D58*MAX(0,C92),MAX(0,D59*BALANCES!E5-BALANCES!E6))</f>
        <v>2000000</v>
      </c>
      <c r="E93" s="15" t="n">
        <f aca="false">MIN(E58*MAX(0,D92),MAX(0,E59*BALANCES!G5-BALANCES!G6))</f>
        <v>0</v>
      </c>
      <c r="F93" s="15" t="n">
        <f aca="false">MIN(F58*MAX(0,E92),MAX(0,F59*BALANCES!I5-BALANCES!I6))</f>
        <v>0</v>
      </c>
      <c r="G93" s="15" t="n">
        <f aca="false">MIN(G58*MAX(0,F92),MAX(0,G59*BALANCES!K5-BALANCES!K6))</f>
        <v>0</v>
      </c>
      <c r="H93" s="15" t="n">
        <f aca="false">MIN(H58*MAX(0,G92),MAX(0,H59*BALANCES!M5-BALANCES!M6))</f>
        <v>0</v>
      </c>
    </row>
    <row r="94" customFormat="false" ht="15" hidden="false" customHeight="false" outlineLevel="0" collapsed="false">
      <c r="A94" s="12" t="s">
        <v>136</v>
      </c>
      <c r="B94" s="13" t="s">
        <v>137</v>
      </c>
      <c r="D94" s="18" t="n">
        <f aca="false">MAX(0,C92-D93)*D46</f>
        <v>0</v>
      </c>
      <c r="E94" s="18" t="n">
        <f aca="false">MAX(0,D92-E93)*E46</f>
        <v>0</v>
      </c>
      <c r="F94" s="18" t="n">
        <f aca="false">MAX(0,E92-F93)*F46</f>
        <v>0</v>
      </c>
      <c r="G94" s="18" t="n">
        <f aca="false">MAX(0,F92-G93)*G46</f>
        <v>0</v>
      </c>
      <c r="H94" s="18" t="n">
        <f aca="false">MAX(0,G92-H93)*H46</f>
        <v>0</v>
      </c>
    </row>
    <row r="95" customFormat="false" ht="15" hidden="false" customHeight="false" outlineLevel="0" collapsed="false">
      <c r="A95" s="12" t="s">
        <v>138</v>
      </c>
      <c r="B95" s="13" t="s">
        <v>139</v>
      </c>
      <c r="D95" s="18" t="n">
        <f aca="false">C92-D93-D94</f>
        <v>70698877</v>
      </c>
      <c r="E95" s="18" t="n">
        <f aca="false">D92-E93-E94</f>
        <v>69668558.94115</v>
      </c>
      <c r="F95" s="18" t="n">
        <f aca="false">E92-F93-F94</f>
        <v>73449452.3537075</v>
      </c>
      <c r="G95" s="18" t="n">
        <f aca="false">F92-G93-G94</f>
        <v>80232556.3043929</v>
      </c>
      <c r="H95" s="18" t="n">
        <f aca="false">G92-H93-H94</f>
        <v>88085549.0071126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O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15" min="4" style="0" width="15"/>
  </cols>
  <sheetData>
    <row r="1" customFormat="false" ht="24" hidden="false" customHeight="true" outlineLevel="0" collapsed="false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141</v>
      </c>
    </row>
    <row r="3" customFormat="false" ht="15" hidden="false" customHeight="false" outlineLevel="0" collapsed="false">
      <c r="A3" s="24"/>
      <c r="B3" s="24"/>
      <c r="C3" s="24"/>
      <c r="D3" s="25" t="str">
        <f aca="false">"Réel 31/12/"&amp;HYPOTHESES!$C$5</f>
        <v>Réel 31/12/2024</v>
      </c>
      <c r="E3" s="25"/>
      <c r="F3" s="25" t="str">
        <f aca="false">"Prévision 31/12/"&amp;(HYPOTHESES!$C$5+1)</f>
        <v>Prévision 31/12/2025</v>
      </c>
      <c r="G3" s="25"/>
      <c r="H3" s="25" t="str">
        <f aca="false">"Prévision 31/12/"&amp;(HYPOTHESES!$C$5+2)</f>
        <v>Prévision 31/12/2026</v>
      </c>
      <c r="I3" s="25"/>
      <c r="J3" s="25" t="str">
        <f aca="false">"Prévision 31/12/"&amp;(HYPOTHESES!$C$5+3)</f>
        <v>Prévision 31/12/2027</v>
      </c>
      <c r="K3" s="25"/>
      <c r="L3" s="25" t="str">
        <f aca="false">"Prévision 31/12/"&amp;(HYPOTHESES!$C$5+4)</f>
        <v>Prévision 31/12/2028</v>
      </c>
      <c r="M3" s="25"/>
      <c r="N3" s="25" t="str">
        <f aca="false">"Prévision 31/12/"&amp;(HYPOTHESES!$C$5+5)</f>
        <v>Prévision 31/12/2029</v>
      </c>
      <c r="O3" s="25"/>
    </row>
    <row r="4" customFormat="false" ht="15" hidden="false" customHeight="false" outlineLevel="0" collapsed="false">
      <c r="A4" s="8" t="s">
        <v>142</v>
      </c>
      <c r="B4" s="8" t="s">
        <v>143</v>
      </c>
      <c r="C4" s="8" t="s">
        <v>144</v>
      </c>
      <c r="D4" s="8" t="s">
        <v>145</v>
      </c>
      <c r="E4" s="8" t="s">
        <v>146</v>
      </c>
      <c r="F4" s="8" t="s">
        <v>145</v>
      </c>
      <c r="G4" s="8" t="s">
        <v>146</v>
      </c>
      <c r="H4" s="8" t="s">
        <v>145</v>
      </c>
      <c r="I4" s="8" t="s">
        <v>146</v>
      </c>
      <c r="J4" s="8" t="s">
        <v>145</v>
      </c>
      <c r="K4" s="8" t="s">
        <v>146</v>
      </c>
      <c r="L4" s="8" t="s">
        <v>145</v>
      </c>
      <c r="M4" s="8" t="s">
        <v>146</v>
      </c>
      <c r="N4" s="8" t="s">
        <v>145</v>
      </c>
      <c r="O4" s="8" t="s">
        <v>146</v>
      </c>
    </row>
    <row r="5" customFormat="false" ht="15" hidden="false" customHeight="false" outlineLevel="0" collapsed="false">
      <c r="A5" s="26" t="n">
        <v>101000</v>
      </c>
      <c r="B5" s="27" t="s">
        <v>147</v>
      </c>
      <c r="C5" s="28" t="s">
        <v>148</v>
      </c>
      <c r="D5" s="29" t="n">
        <v>0</v>
      </c>
      <c r="E5" s="29" t="n">
        <v>10000000</v>
      </c>
      <c r="F5" s="30" t="n">
        <v>0</v>
      </c>
      <c r="G5" s="31" t="n">
        <f aca="false">E5+HYPOTHESES!D$45</f>
        <v>10000000</v>
      </c>
      <c r="H5" s="30" t="n">
        <v>0</v>
      </c>
      <c r="I5" s="31" t="n">
        <f aca="false">G5+HYPOTHESES!E$45</f>
        <v>10000000</v>
      </c>
      <c r="J5" s="30" t="n">
        <v>0</v>
      </c>
      <c r="K5" s="31" t="n">
        <f aca="false">I5+HYPOTHESES!F$45</f>
        <v>10000000</v>
      </c>
      <c r="L5" s="30" t="n">
        <v>0</v>
      </c>
      <c r="M5" s="31" t="n">
        <f aca="false">K5+HYPOTHESES!G$45</f>
        <v>10000000</v>
      </c>
      <c r="N5" s="30" t="n">
        <v>0</v>
      </c>
      <c r="O5" s="31" t="n">
        <f aca="false">M5+HYPOTHESES!H$45</f>
        <v>10000000</v>
      </c>
    </row>
    <row r="6" customFormat="false" ht="15" hidden="false" customHeight="false" outlineLevel="0" collapsed="false">
      <c r="A6" s="32" t="n">
        <v>111000</v>
      </c>
      <c r="B6" s="12" t="s">
        <v>149</v>
      </c>
      <c r="C6" s="13" t="s">
        <v>150</v>
      </c>
      <c r="D6" s="33" t="n">
        <v>0</v>
      </c>
      <c r="E6" s="33" t="n">
        <v>0</v>
      </c>
      <c r="F6" s="18" t="n">
        <v>0</v>
      </c>
      <c r="G6" s="15" t="n">
        <f aca="false">E6+HYPOTHESES!D$93</f>
        <v>2000000</v>
      </c>
      <c r="H6" s="18" t="n">
        <v>0</v>
      </c>
      <c r="I6" s="15" t="n">
        <f aca="false">G6+HYPOTHESES!E$93</f>
        <v>2000000</v>
      </c>
      <c r="J6" s="18" t="n">
        <v>0</v>
      </c>
      <c r="K6" s="15" t="n">
        <f aca="false">I6+HYPOTHESES!F$93</f>
        <v>2000000</v>
      </c>
      <c r="L6" s="18" t="n">
        <v>0</v>
      </c>
      <c r="M6" s="15" t="n">
        <f aca="false">K6+HYPOTHESES!G$93</f>
        <v>2000000</v>
      </c>
      <c r="N6" s="18" t="n">
        <v>0</v>
      </c>
      <c r="O6" s="15" t="n">
        <f aca="false">M6+HYPOTHESES!H$93</f>
        <v>2000000</v>
      </c>
    </row>
    <row r="7" customFormat="false" ht="15" hidden="false" customHeight="false" outlineLevel="0" collapsed="false">
      <c r="A7" s="32" t="n">
        <v>121000</v>
      </c>
      <c r="B7" s="12" t="s">
        <v>151</v>
      </c>
      <c r="C7" s="13" t="s">
        <v>152</v>
      </c>
      <c r="D7" s="33" t="n">
        <v>0</v>
      </c>
      <c r="E7" s="33" t="n">
        <v>773799851</v>
      </c>
      <c r="F7" s="15" t="n">
        <f aca="false">MAX(0,-(E7-D7+HYPOTHESES!D$95))</f>
        <v>0</v>
      </c>
      <c r="G7" s="15" t="n">
        <f aca="false">MAX(0,(E7-D7+HYPOTHESES!D$95))</f>
        <v>844498728</v>
      </c>
      <c r="H7" s="15" t="n">
        <f aca="false">MAX(0,-(G7-F7+HYPOTHESES!E$95))</f>
        <v>0</v>
      </c>
      <c r="I7" s="15" t="n">
        <f aca="false">MAX(0,(G7-F7+HYPOTHESES!E$95))</f>
        <v>914167286.94115</v>
      </c>
      <c r="J7" s="15" t="n">
        <f aca="false">MAX(0,-(I7-H7+HYPOTHESES!F$95))</f>
        <v>0</v>
      </c>
      <c r="K7" s="15" t="n">
        <f aca="false">MAX(0,(I7-H7+HYPOTHESES!F$95))</f>
        <v>987616739.294858</v>
      </c>
      <c r="L7" s="15" t="n">
        <f aca="false">MAX(0,-(K7-J7+HYPOTHESES!G$95))</f>
        <v>0</v>
      </c>
      <c r="M7" s="15" t="n">
        <f aca="false">MAX(0,(K7-J7+HYPOTHESES!G$95))</f>
        <v>1067849295.59925</v>
      </c>
      <c r="N7" s="15" t="n">
        <f aca="false">MAX(0,-(M7-L7+HYPOTHESES!H$95))</f>
        <v>0</v>
      </c>
      <c r="O7" s="15" t="n">
        <f aca="false">MAX(0,(M7-L7+HYPOTHESES!H$95))</f>
        <v>1155934844.60636</v>
      </c>
    </row>
    <row r="8" customFormat="false" ht="15" hidden="false" customHeight="false" outlineLevel="0" collapsed="false">
      <c r="A8" s="32" t="n">
        <v>162002</v>
      </c>
      <c r="B8" s="12" t="s">
        <v>153</v>
      </c>
      <c r="C8" s="13" t="s">
        <v>154</v>
      </c>
      <c r="D8" s="33" t="n">
        <v>0</v>
      </c>
      <c r="E8" s="33" t="n">
        <v>39658832</v>
      </c>
      <c r="F8" s="18" t="n">
        <v>0</v>
      </c>
      <c r="G8" s="15" t="n">
        <f aca="false">E8+HYPOTHESES!D$41-HYPOTHESES!D$42</f>
        <v>19829416</v>
      </c>
      <c r="H8" s="18" t="n">
        <v>0</v>
      </c>
      <c r="I8" s="15" t="n">
        <f aca="false">G8+HYPOTHESES!E$41-HYPOTHESES!E$42</f>
        <v>0</v>
      </c>
      <c r="J8" s="18" t="n">
        <v>0</v>
      </c>
      <c r="K8" s="15" t="n">
        <f aca="false">I8+HYPOTHESES!F$41-HYPOTHESES!F$42</f>
        <v>0</v>
      </c>
      <c r="L8" s="18" t="n">
        <v>0</v>
      </c>
      <c r="M8" s="15" t="n">
        <f aca="false">K8+HYPOTHESES!G$41-HYPOTHESES!G$42</f>
        <v>0</v>
      </c>
      <c r="N8" s="18" t="n">
        <v>0</v>
      </c>
      <c r="O8" s="15" t="n">
        <f aca="false">M8+HYPOTHESES!H$41-HYPOTHESES!H$42</f>
        <v>0</v>
      </c>
    </row>
    <row r="9" customFormat="false" ht="15" hidden="false" customHeight="false" outlineLevel="0" collapsed="false">
      <c r="A9" s="32" t="n">
        <v>173060</v>
      </c>
      <c r="B9" s="12" t="s">
        <v>155</v>
      </c>
      <c r="C9" s="13" t="s">
        <v>156</v>
      </c>
      <c r="D9" s="33" t="n">
        <v>0</v>
      </c>
      <c r="E9" s="33" t="n">
        <v>10619694</v>
      </c>
      <c r="F9" s="18" t="n">
        <v>0</v>
      </c>
      <c r="G9" s="15" t="n">
        <f aca="false">E9-HYPOTHESES!D$43</f>
        <v>0</v>
      </c>
      <c r="H9" s="18" t="n">
        <v>0</v>
      </c>
      <c r="I9" s="15" t="n">
        <f aca="false">G9-HYPOTHESES!E$43</f>
        <v>0</v>
      </c>
      <c r="J9" s="18" t="n">
        <v>0</v>
      </c>
      <c r="K9" s="15" t="n">
        <f aca="false">I9-HYPOTHESES!F$43</f>
        <v>0</v>
      </c>
      <c r="L9" s="18" t="n">
        <v>0</v>
      </c>
      <c r="M9" s="15" t="n">
        <f aca="false">K9-HYPOTHESES!G$43</f>
        <v>0</v>
      </c>
      <c r="N9" s="18" t="n">
        <v>0</v>
      </c>
      <c r="O9" s="15" t="n">
        <f aca="false">M9-HYPOTHESES!H$43</f>
        <v>0</v>
      </c>
    </row>
    <row r="10" customFormat="false" ht="15" hidden="false" customHeight="false" outlineLevel="0" collapsed="false">
      <c r="A10" s="32" t="n">
        <v>196100</v>
      </c>
      <c r="B10" s="12" t="s">
        <v>157</v>
      </c>
      <c r="C10" s="13" t="s">
        <v>158</v>
      </c>
      <c r="D10" s="33" t="n">
        <v>0</v>
      </c>
      <c r="E10" s="33" t="n">
        <v>21273896</v>
      </c>
      <c r="F10" s="18" t="n">
        <v>0</v>
      </c>
      <c r="G10" s="15" t="n">
        <f aca="false">E10+HYPOTHESES!D$47</f>
        <v>27333192</v>
      </c>
      <c r="H10" s="18" t="n">
        <v>0</v>
      </c>
      <c r="I10" s="15" t="n">
        <f aca="false">G10+HYPOTHESES!E$47</f>
        <v>33392488</v>
      </c>
      <c r="J10" s="18" t="n">
        <v>0</v>
      </c>
      <c r="K10" s="15" t="n">
        <f aca="false">I10+HYPOTHESES!F$47</f>
        <v>39451784</v>
      </c>
      <c r="L10" s="18" t="n">
        <v>0</v>
      </c>
      <c r="M10" s="15" t="n">
        <f aca="false">K10+HYPOTHESES!G$47</f>
        <v>45511080</v>
      </c>
      <c r="N10" s="18" t="n">
        <v>0</v>
      </c>
      <c r="O10" s="15" t="n">
        <f aca="false">M10+HYPOTHESES!H$47</f>
        <v>51570376</v>
      </c>
    </row>
    <row r="11" customFormat="false" ht="15" hidden="false" customHeight="false" outlineLevel="0" collapsed="false">
      <c r="A11" s="26" t="n">
        <v>234100</v>
      </c>
      <c r="B11" s="27" t="s">
        <v>159</v>
      </c>
      <c r="C11" s="28" t="s">
        <v>160</v>
      </c>
      <c r="D11" s="29" t="n">
        <v>103601492</v>
      </c>
      <c r="E11" s="29" t="n">
        <v>0</v>
      </c>
      <c r="F11" s="31" t="n">
        <f aca="false">D11+HYPOTHESES!D$20</f>
        <v>103601492</v>
      </c>
      <c r="G11" s="30" t="n">
        <v>0</v>
      </c>
      <c r="H11" s="31" t="n">
        <f aca="false">F11+HYPOTHESES!E$20</f>
        <v>103601492</v>
      </c>
      <c r="I11" s="30" t="n">
        <v>0</v>
      </c>
      <c r="J11" s="31" t="n">
        <f aca="false">H11+HYPOTHESES!F$20</f>
        <v>103601492</v>
      </c>
      <c r="K11" s="30" t="n">
        <v>0</v>
      </c>
      <c r="L11" s="31" t="n">
        <f aca="false">J11+HYPOTHESES!G$20</f>
        <v>103601492</v>
      </c>
      <c r="M11" s="30" t="n">
        <v>0</v>
      </c>
      <c r="N11" s="31" t="n">
        <f aca="false">L11+HYPOTHESES!H$20</f>
        <v>103601492</v>
      </c>
      <c r="O11" s="30" t="n">
        <v>0</v>
      </c>
    </row>
    <row r="12" customFormat="false" ht="15" hidden="false" customHeight="false" outlineLevel="0" collapsed="false">
      <c r="A12" s="32" t="n">
        <v>241100</v>
      </c>
      <c r="B12" s="12" t="s">
        <v>161</v>
      </c>
      <c r="C12" s="13" t="s">
        <v>162</v>
      </c>
      <c r="D12" s="33" t="n">
        <v>313845268</v>
      </c>
      <c r="E12" s="33" t="n">
        <v>0</v>
      </c>
      <c r="F12" s="15" t="n">
        <f aca="false">D12+HYPOTHESES!D$21</f>
        <v>343845268</v>
      </c>
      <c r="G12" s="18" t="n">
        <v>0</v>
      </c>
      <c r="H12" s="15" t="n">
        <f aca="false">F12+HYPOTHESES!E$21</f>
        <v>373845268</v>
      </c>
      <c r="I12" s="18" t="n">
        <v>0</v>
      </c>
      <c r="J12" s="15" t="n">
        <f aca="false">H12+HYPOTHESES!F$21</f>
        <v>403845268</v>
      </c>
      <c r="K12" s="18" t="n">
        <v>0</v>
      </c>
      <c r="L12" s="15" t="n">
        <f aca="false">J12+HYPOTHESES!G$21</f>
        <v>433845268</v>
      </c>
      <c r="M12" s="18" t="n">
        <v>0</v>
      </c>
      <c r="N12" s="15" t="n">
        <f aca="false">L12+HYPOTHESES!H$21</f>
        <v>463845268</v>
      </c>
      <c r="O12" s="18" t="n">
        <v>0</v>
      </c>
    </row>
    <row r="13" customFormat="false" ht="15" hidden="false" customHeight="false" outlineLevel="0" collapsed="false">
      <c r="A13" s="32" t="n">
        <v>244100</v>
      </c>
      <c r="B13" s="12" t="s">
        <v>163</v>
      </c>
      <c r="C13" s="13" t="s">
        <v>162</v>
      </c>
      <c r="D13" s="33" t="n">
        <v>9306956</v>
      </c>
      <c r="E13" s="33" t="n">
        <v>0</v>
      </c>
      <c r="F13" s="18" t="n">
        <f aca="false">D13</f>
        <v>9306956</v>
      </c>
      <c r="G13" s="18" t="n">
        <v>0</v>
      </c>
      <c r="H13" s="18" t="n">
        <f aca="false">F13</f>
        <v>9306956</v>
      </c>
      <c r="I13" s="18" t="n">
        <v>0</v>
      </c>
      <c r="J13" s="18" t="n">
        <f aca="false">H13</f>
        <v>9306956</v>
      </c>
      <c r="K13" s="18" t="n">
        <v>0</v>
      </c>
      <c r="L13" s="18" t="n">
        <f aca="false">J13</f>
        <v>9306956</v>
      </c>
      <c r="M13" s="18" t="n">
        <v>0</v>
      </c>
      <c r="N13" s="18" t="n">
        <f aca="false">L13</f>
        <v>9306956</v>
      </c>
      <c r="O13" s="18" t="n">
        <v>0</v>
      </c>
    </row>
    <row r="14" customFormat="false" ht="15" hidden="false" customHeight="false" outlineLevel="0" collapsed="false">
      <c r="A14" s="32" t="n">
        <v>244200</v>
      </c>
      <c r="B14" s="12" t="s">
        <v>164</v>
      </c>
      <c r="C14" s="13" t="s">
        <v>162</v>
      </c>
      <c r="D14" s="33" t="n">
        <v>12980459</v>
      </c>
      <c r="E14" s="33" t="n">
        <v>0</v>
      </c>
      <c r="F14" s="15" t="n">
        <f aca="false">D14+HYPOTHESES!D$22</f>
        <v>17980459</v>
      </c>
      <c r="G14" s="18" t="n">
        <v>0</v>
      </c>
      <c r="H14" s="15" t="n">
        <f aca="false">F14+HYPOTHESES!E$22</f>
        <v>22980459</v>
      </c>
      <c r="I14" s="18" t="n">
        <v>0</v>
      </c>
      <c r="J14" s="15" t="n">
        <f aca="false">H14+HYPOTHESES!F$22</f>
        <v>27980459</v>
      </c>
      <c r="K14" s="18" t="n">
        <v>0</v>
      </c>
      <c r="L14" s="15" t="n">
        <f aca="false">J14+HYPOTHESES!G$22</f>
        <v>32980459</v>
      </c>
      <c r="M14" s="18" t="n">
        <v>0</v>
      </c>
      <c r="N14" s="15" t="n">
        <f aca="false">L14+HYPOTHESES!H$22</f>
        <v>37980459</v>
      </c>
      <c r="O14" s="18" t="n">
        <v>0</v>
      </c>
    </row>
    <row r="15" customFormat="false" ht="15" hidden="false" customHeight="false" outlineLevel="0" collapsed="false">
      <c r="A15" s="32" t="n">
        <v>245100</v>
      </c>
      <c r="B15" s="12" t="s">
        <v>165</v>
      </c>
      <c r="C15" s="13" t="s">
        <v>166</v>
      </c>
      <c r="D15" s="33" t="n">
        <v>408044985</v>
      </c>
      <c r="E15" s="33" t="n">
        <v>0</v>
      </c>
      <c r="F15" s="15" t="n">
        <f aca="false">D15+HYPOTHESES!D$23</f>
        <v>448044985</v>
      </c>
      <c r="G15" s="18" t="n">
        <v>0</v>
      </c>
      <c r="H15" s="15" t="n">
        <f aca="false">F15+HYPOTHESES!E$23</f>
        <v>448044985</v>
      </c>
      <c r="I15" s="18" t="n">
        <v>0</v>
      </c>
      <c r="J15" s="15" t="n">
        <f aca="false">H15+HYPOTHESES!F$23</f>
        <v>448044985</v>
      </c>
      <c r="K15" s="18" t="n">
        <v>0</v>
      </c>
      <c r="L15" s="15" t="n">
        <f aca="false">J15+HYPOTHESES!G$23</f>
        <v>488044985</v>
      </c>
      <c r="M15" s="18" t="n">
        <v>0</v>
      </c>
      <c r="N15" s="15" t="n">
        <f aca="false">L15+HYPOTHESES!H$23</f>
        <v>488044985</v>
      </c>
      <c r="O15" s="18" t="n">
        <v>0</v>
      </c>
    </row>
    <row r="16" customFormat="false" ht="15" hidden="false" customHeight="false" outlineLevel="0" collapsed="false">
      <c r="A16" s="32" t="n">
        <v>245600</v>
      </c>
      <c r="B16" s="12" t="s">
        <v>167</v>
      </c>
      <c r="C16" s="13" t="s">
        <v>166</v>
      </c>
      <c r="D16" s="33" t="n">
        <v>28619694</v>
      </c>
      <c r="E16" s="33" t="n">
        <v>0</v>
      </c>
      <c r="F16" s="18" t="n">
        <f aca="false">D16</f>
        <v>28619694</v>
      </c>
      <c r="G16" s="18" t="n">
        <v>0</v>
      </c>
      <c r="H16" s="18" t="n">
        <f aca="false">F16</f>
        <v>28619694</v>
      </c>
      <c r="I16" s="18" t="n">
        <v>0</v>
      </c>
      <c r="J16" s="18" t="n">
        <f aca="false">H16</f>
        <v>28619694</v>
      </c>
      <c r="K16" s="18" t="n">
        <v>0</v>
      </c>
      <c r="L16" s="18" t="n">
        <f aca="false">J16</f>
        <v>28619694</v>
      </c>
      <c r="M16" s="18" t="n">
        <v>0</v>
      </c>
      <c r="N16" s="18" t="n">
        <f aca="false">L16</f>
        <v>28619694</v>
      </c>
      <c r="O16" s="18" t="n">
        <v>0</v>
      </c>
    </row>
    <row r="17" customFormat="false" ht="15" hidden="false" customHeight="false" outlineLevel="0" collapsed="false">
      <c r="A17" s="32" t="n">
        <v>271800</v>
      </c>
      <c r="B17" s="12" t="s">
        <v>168</v>
      </c>
      <c r="C17" s="13" t="s">
        <v>169</v>
      </c>
      <c r="D17" s="33" t="n">
        <v>25000000</v>
      </c>
      <c r="E17" s="33" t="n">
        <v>0</v>
      </c>
      <c r="F17" s="18" t="n">
        <f aca="false">D17</f>
        <v>25000000</v>
      </c>
      <c r="G17" s="18" t="n">
        <v>0</v>
      </c>
      <c r="H17" s="18" t="n">
        <f aca="false">F17</f>
        <v>25000000</v>
      </c>
      <c r="I17" s="18" t="n">
        <v>0</v>
      </c>
      <c r="J17" s="18" t="n">
        <f aca="false">H17</f>
        <v>25000000</v>
      </c>
      <c r="K17" s="18" t="n">
        <v>0</v>
      </c>
      <c r="L17" s="18" t="n">
        <f aca="false">J17</f>
        <v>25000000</v>
      </c>
      <c r="M17" s="18" t="n">
        <v>0</v>
      </c>
      <c r="N17" s="18" t="n">
        <f aca="false">L17</f>
        <v>25000000</v>
      </c>
      <c r="O17" s="18" t="n">
        <v>0</v>
      </c>
    </row>
    <row r="18" customFormat="false" ht="15" hidden="false" customHeight="false" outlineLevel="0" collapsed="false">
      <c r="A18" s="32" t="n">
        <v>275100</v>
      </c>
      <c r="B18" s="12" t="s">
        <v>170</v>
      </c>
      <c r="C18" s="13" t="s">
        <v>169</v>
      </c>
      <c r="D18" s="33" t="n">
        <v>231420138</v>
      </c>
      <c r="E18" s="33" t="n">
        <v>0</v>
      </c>
      <c r="F18" s="15" t="n">
        <f aca="false">D18+HYPOTHESES!D$25</f>
        <v>231420138</v>
      </c>
      <c r="G18" s="18" t="n">
        <v>0</v>
      </c>
      <c r="H18" s="15" t="n">
        <f aca="false">F18+HYPOTHESES!E$25</f>
        <v>231420138</v>
      </c>
      <c r="I18" s="18" t="n">
        <v>0</v>
      </c>
      <c r="J18" s="15" t="n">
        <f aca="false">H18+HYPOTHESES!F$25</f>
        <v>231420138</v>
      </c>
      <c r="K18" s="18" t="n">
        <v>0</v>
      </c>
      <c r="L18" s="15" t="n">
        <f aca="false">J18+HYPOTHESES!G$25</f>
        <v>231420138</v>
      </c>
      <c r="M18" s="18" t="n">
        <v>0</v>
      </c>
      <c r="N18" s="15" t="n">
        <f aca="false">L18+HYPOTHESES!H$25</f>
        <v>231420138</v>
      </c>
      <c r="O18" s="18" t="n">
        <v>0</v>
      </c>
    </row>
    <row r="19" customFormat="false" ht="15" hidden="false" customHeight="false" outlineLevel="0" collapsed="false">
      <c r="A19" s="32" t="n">
        <v>283400</v>
      </c>
      <c r="B19" s="12" t="s">
        <v>171</v>
      </c>
      <c r="C19" s="13" t="s">
        <v>160</v>
      </c>
      <c r="D19" s="33" t="n">
        <v>0</v>
      </c>
      <c r="E19" s="33" t="n">
        <v>41936476</v>
      </c>
      <c r="F19" s="18" t="n">
        <v>0</v>
      </c>
      <c r="G19" s="15" t="n">
        <f aca="false">E19+HYPOTHESES!D$71</f>
        <v>61219321</v>
      </c>
      <c r="H19" s="18" t="n">
        <v>0</v>
      </c>
      <c r="I19" s="15" t="n">
        <f aca="false">G19+HYPOTHESES!E$71</f>
        <v>80502166</v>
      </c>
      <c r="J19" s="18" t="n">
        <v>0</v>
      </c>
      <c r="K19" s="15" t="n">
        <f aca="false">I19+HYPOTHESES!F$71</f>
        <v>99785011</v>
      </c>
      <c r="L19" s="18" t="n">
        <v>0</v>
      </c>
      <c r="M19" s="15" t="n">
        <f aca="false">K19+HYPOTHESES!G$71</f>
        <v>103601492</v>
      </c>
      <c r="N19" s="18" t="n">
        <v>0</v>
      </c>
      <c r="O19" s="15" t="n">
        <f aca="false">M19+HYPOTHESES!H$71</f>
        <v>103601492</v>
      </c>
    </row>
    <row r="20" customFormat="false" ht="15" hidden="false" customHeight="false" outlineLevel="0" collapsed="false">
      <c r="A20" s="32" t="n">
        <v>284100</v>
      </c>
      <c r="B20" s="12" t="s">
        <v>172</v>
      </c>
      <c r="C20" s="13" t="s">
        <v>162</v>
      </c>
      <c r="D20" s="33" t="n">
        <v>0</v>
      </c>
      <c r="E20" s="33" t="n">
        <v>55983764</v>
      </c>
      <c r="F20" s="18" t="n">
        <v>0</v>
      </c>
      <c r="G20" s="15" t="n">
        <f aca="false">E20+HYPOTHESES!D$74</f>
        <v>106838696</v>
      </c>
      <c r="H20" s="18" t="n">
        <v>0</v>
      </c>
      <c r="I20" s="15" t="n">
        <f aca="false">G20+HYPOTHESES!E$74</f>
        <v>163693628</v>
      </c>
      <c r="J20" s="18" t="n">
        <v>0</v>
      </c>
      <c r="K20" s="15" t="n">
        <f aca="false">I20+HYPOTHESES!F$74</f>
        <v>226548560</v>
      </c>
      <c r="L20" s="18" t="n">
        <v>0</v>
      </c>
      <c r="M20" s="15" t="n">
        <f aca="false">K20+HYPOTHESES!G$74</f>
        <v>295403492</v>
      </c>
      <c r="N20" s="18" t="n">
        <v>0</v>
      </c>
      <c r="O20" s="15" t="n">
        <f aca="false">M20+HYPOTHESES!H$74</f>
        <v>370258424</v>
      </c>
    </row>
    <row r="21" customFormat="false" ht="15" hidden="false" customHeight="false" outlineLevel="0" collapsed="false">
      <c r="A21" s="32" t="n">
        <v>284400</v>
      </c>
      <c r="B21" s="12" t="s">
        <v>173</v>
      </c>
      <c r="C21" s="13" t="s">
        <v>162</v>
      </c>
      <c r="D21" s="33" t="n">
        <v>0</v>
      </c>
      <c r="E21" s="33" t="n">
        <v>12708358</v>
      </c>
      <c r="F21" s="18" t="n">
        <v>0</v>
      </c>
      <c r="G21" s="15" t="n">
        <f aca="false">E21+HYPOTHESES!D$77</f>
        <v>19309908.6666667</v>
      </c>
      <c r="H21" s="18" t="n">
        <v>0</v>
      </c>
      <c r="I21" s="15" t="n">
        <f aca="false">G21+HYPOTHESES!E$77</f>
        <v>27287415</v>
      </c>
      <c r="J21" s="18" t="n">
        <v>0</v>
      </c>
      <c r="K21" s="15" t="n">
        <f aca="false">I21+HYPOTHESES!F$77</f>
        <v>32287415</v>
      </c>
      <c r="L21" s="18" t="n">
        <v>0</v>
      </c>
      <c r="M21" s="15" t="n">
        <f aca="false">K21+HYPOTHESES!G$77</f>
        <v>37287415</v>
      </c>
      <c r="N21" s="18" t="n">
        <v>0</v>
      </c>
      <c r="O21" s="15" t="n">
        <f aca="false">M21+HYPOTHESES!H$77</f>
        <v>42287415</v>
      </c>
    </row>
    <row r="22" customFormat="false" ht="15" hidden="false" customHeight="false" outlineLevel="0" collapsed="false">
      <c r="A22" s="32" t="n">
        <v>284500</v>
      </c>
      <c r="B22" s="12" t="s">
        <v>174</v>
      </c>
      <c r="C22" s="13" t="s">
        <v>166</v>
      </c>
      <c r="D22" s="33" t="n">
        <v>0</v>
      </c>
      <c r="E22" s="33" t="n">
        <v>362909076</v>
      </c>
      <c r="F22" s="18" t="n">
        <v>0</v>
      </c>
      <c r="G22" s="15" t="n">
        <f aca="false">E22+HYPOTHESES!D$80</f>
        <v>383669714</v>
      </c>
      <c r="H22" s="18" t="n">
        <v>0</v>
      </c>
      <c r="I22" s="15" t="n">
        <f aca="false">G22+HYPOTHESES!E$80</f>
        <v>404430352</v>
      </c>
      <c r="J22" s="18" t="n">
        <v>0</v>
      </c>
      <c r="K22" s="15" t="n">
        <f aca="false">I22+HYPOTHESES!F$80</f>
        <v>425190990</v>
      </c>
      <c r="L22" s="18" t="n">
        <v>0</v>
      </c>
      <c r="M22" s="15" t="n">
        <f aca="false">K22+HYPOTHESES!G$80</f>
        <v>455951628</v>
      </c>
      <c r="N22" s="18" t="n">
        <v>0</v>
      </c>
      <c r="O22" s="15" t="n">
        <f aca="false">M22+HYPOTHESES!H$80</f>
        <v>476712266</v>
      </c>
    </row>
    <row r="23" customFormat="false" ht="15" hidden="false" customHeight="false" outlineLevel="0" collapsed="false">
      <c r="A23" s="26" t="n">
        <v>401100</v>
      </c>
      <c r="B23" s="27" t="s">
        <v>175</v>
      </c>
      <c r="C23" s="28" t="s">
        <v>176</v>
      </c>
      <c r="D23" s="29" t="n">
        <v>0</v>
      </c>
      <c r="E23" s="29" t="n">
        <v>72947866</v>
      </c>
      <c r="F23" s="30" t="n">
        <v>0</v>
      </c>
      <c r="G23" s="31" t="n">
        <f aca="false">HYPOTHESES!D$68*(1+HYPOTHESES!D$10)*HYPOTHESES!D$50/360</f>
        <v>76257009.1439061</v>
      </c>
      <c r="H23" s="30" t="n">
        <v>0</v>
      </c>
      <c r="I23" s="31" t="n">
        <f aca="false">HYPOTHESES!E$68*(1+HYPOTHESES!E$10)*HYPOTHESES!E$50/360</f>
        <v>80069859.6011014</v>
      </c>
      <c r="J23" s="30" t="n">
        <v>0</v>
      </c>
      <c r="K23" s="31" t="n">
        <f aca="false">HYPOTHESES!F$68*(1+HYPOTHESES!F$10)*HYPOTHESES!F$50/360</f>
        <v>84073352.5811564</v>
      </c>
      <c r="L23" s="30" t="n">
        <v>0</v>
      </c>
      <c r="M23" s="31" t="n">
        <f aca="false">HYPOTHESES!G$68*(1+HYPOTHESES!G$10)*HYPOTHESES!G$50/360</f>
        <v>88277020.2102142</v>
      </c>
      <c r="N23" s="30" t="n">
        <v>0</v>
      </c>
      <c r="O23" s="31" t="n">
        <f aca="false">HYPOTHESES!H$68*(1+HYPOTHESES!H$10)*HYPOTHESES!H$50/360</f>
        <v>92690871.220725</v>
      </c>
    </row>
    <row r="24" customFormat="false" ht="15" hidden="false" customHeight="false" outlineLevel="0" collapsed="false">
      <c r="A24" s="32" t="n">
        <v>411100</v>
      </c>
      <c r="B24" s="12" t="s">
        <v>177</v>
      </c>
      <c r="C24" s="13" t="s">
        <v>178</v>
      </c>
      <c r="D24" s="33" t="n">
        <v>452271396</v>
      </c>
      <c r="E24" s="33" t="n">
        <v>0</v>
      </c>
      <c r="F24" s="15" t="n">
        <f aca="false">HYPOTHESES!D$61*(1+HYPOTHESES!D$10)*HYPOTHESES!D$49/360</f>
        <v>475301941.099125</v>
      </c>
      <c r="G24" s="18" t="n">
        <v>0</v>
      </c>
      <c r="H24" s="15" t="n">
        <f aca="false">HYPOTHESES!E$61*(1+HYPOTHESES!E$10)*HYPOTHESES!E$49/360</f>
        <v>499067038.154081</v>
      </c>
      <c r="I24" s="18" t="n">
        <v>0</v>
      </c>
      <c r="J24" s="15" t="n">
        <f aca="false">HYPOTHESES!F$61*(1+HYPOTHESES!F$10)*HYPOTHESES!F$49/360</f>
        <v>524020390.061785</v>
      </c>
      <c r="K24" s="18" t="n">
        <v>0</v>
      </c>
      <c r="L24" s="15" t="n">
        <f aca="false">HYPOTHESES!G$61*(1+HYPOTHESES!G$10)*HYPOTHESES!G$49/360</f>
        <v>550221409.564875</v>
      </c>
      <c r="M24" s="18" t="n">
        <v>0</v>
      </c>
      <c r="N24" s="15" t="n">
        <f aca="false">HYPOTHESES!H$61*(1+HYPOTHESES!H$10)*HYPOTHESES!H$49/360</f>
        <v>577732480.043118</v>
      </c>
      <c r="O24" s="18" t="n">
        <v>0</v>
      </c>
    </row>
    <row r="25" customFormat="false" ht="15" hidden="false" customHeight="false" outlineLevel="0" collapsed="false">
      <c r="A25" s="32" t="n">
        <v>422000</v>
      </c>
      <c r="B25" s="12" t="s">
        <v>179</v>
      </c>
      <c r="C25" s="13" t="s">
        <v>180</v>
      </c>
      <c r="D25" s="33" t="n">
        <v>0</v>
      </c>
      <c r="E25" s="33" t="n">
        <v>11147549</v>
      </c>
      <c r="F25" s="18" t="n">
        <v>0</v>
      </c>
      <c r="G25" s="15" t="n">
        <f aca="false">IF(HYPOTHESES!$C$67=0,0,$E25*HYPOTHESES!D$67/HYPOTHESES!$C$67)</f>
        <v>11701583.7626876</v>
      </c>
      <c r="H25" s="18" t="n">
        <v>0</v>
      </c>
      <c r="I25" s="15" t="n">
        <f aca="false">IF(HYPOTHESES!$C$67=0,0,$E25*HYPOTHESES!E$67/HYPOTHESES!$C$67)</f>
        <v>12286662.950822</v>
      </c>
      <c r="J25" s="18" t="n">
        <v>0</v>
      </c>
      <c r="K25" s="15" t="n">
        <f aca="false">IF(HYPOTHESES!$C$67=0,0,$E25*HYPOTHESES!F$67/HYPOTHESES!$C$67)</f>
        <v>12900996.0983631</v>
      </c>
      <c r="L25" s="18" t="n">
        <v>0</v>
      </c>
      <c r="M25" s="15" t="n">
        <f aca="false">IF(HYPOTHESES!$C$67=0,0,$E25*HYPOTHESES!G$67/HYPOTHESES!$C$67)</f>
        <v>13546045.9032812</v>
      </c>
      <c r="N25" s="18" t="n">
        <v>0</v>
      </c>
      <c r="O25" s="15" t="n">
        <f aca="false">IF(HYPOTHESES!$C$67=0,0,$E25*HYPOTHESES!H$67/HYPOTHESES!$C$67)</f>
        <v>14223348.1984453</v>
      </c>
    </row>
    <row r="26" customFormat="false" ht="15" hidden="false" customHeight="false" outlineLevel="0" collapsed="false">
      <c r="A26" s="32" t="n">
        <v>431301</v>
      </c>
      <c r="B26" s="12" t="s">
        <v>181</v>
      </c>
      <c r="C26" s="13" t="s">
        <v>180</v>
      </c>
      <c r="D26" s="33" t="n">
        <v>0</v>
      </c>
      <c r="E26" s="33" t="n">
        <v>4859377</v>
      </c>
      <c r="F26" s="18" t="n">
        <v>0</v>
      </c>
      <c r="G26" s="15" t="n">
        <f aca="false">IF(HYPOTHESES!$C$67=0,0,$E26*HYPOTHESES!D$67/HYPOTHESES!$C$67)</f>
        <v>5100888.72450595</v>
      </c>
      <c r="H26" s="18" t="n">
        <v>0</v>
      </c>
      <c r="I26" s="15" t="n">
        <f aca="false">IF(HYPOTHESES!$C$67=0,0,$E26*HYPOTHESES!E$67/HYPOTHESES!$C$67)</f>
        <v>5355933.16073125</v>
      </c>
      <c r="J26" s="18" t="n">
        <v>0</v>
      </c>
      <c r="K26" s="15" t="n">
        <f aca="false">IF(HYPOTHESES!$C$67=0,0,$E26*HYPOTHESES!F$67/HYPOTHESES!$C$67)</f>
        <v>5623729.81876781</v>
      </c>
      <c r="L26" s="18" t="n">
        <v>0</v>
      </c>
      <c r="M26" s="15" t="n">
        <f aca="false">IF(HYPOTHESES!$C$67=0,0,$E26*HYPOTHESES!G$67/HYPOTHESES!$C$67)</f>
        <v>5904916.30970621</v>
      </c>
      <c r="N26" s="18" t="n">
        <v>0</v>
      </c>
      <c r="O26" s="15" t="n">
        <f aca="false">IF(HYPOTHESES!$C$67=0,0,$E26*HYPOTHESES!H$67/HYPOTHESES!$C$67)</f>
        <v>6200162.12519152</v>
      </c>
    </row>
    <row r="27" customFormat="false" ht="15" hidden="false" customHeight="false" outlineLevel="0" collapsed="false">
      <c r="A27" s="32" t="n">
        <v>431302</v>
      </c>
      <c r="B27" s="12" t="s">
        <v>182</v>
      </c>
      <c r="C27" s="13" t="s">
        <v>180</v>
      </c>
      <c r="D27" s="33" t="n">
        <v>0</v>
      </c>
      <c r="E27" s="33" t="n">
        <v>1202405</v>
      </c>
      <c r="F27" s="18" t="n">
        <v>0</v>
      </c>
      <c r="G27" s="15" t="n">
        <f aca="false">IF(HYPOTHESES!$C$67=0,0,$E27*HYPOTHESES!D$67/HYPOTHESES!$C$67)</f>
        <v>1262164.69864132</v>
      </c>
      <c r="H27" s="18" t="n">
        <v>0</v>
      </c>
      <c r="I27" s="15" t="n">
        <f aca="false">IF(HYPOTHESES!$C$67=0,0,$E27*HYPOTHESES!E$67/HYPOTHESES!$C$67)</f>
        <v>1325272.93357339</v>
      </c>
      <c r="J27" s="18" t="n">
        <v>0</v>
      </c>
      <c r="K27" s="15" t="n">
        <f aca="false">IF(HYPOTHESES!$C$67=0,0,$E27*HYPOTHESES!F$67/HYPOTHESES!$C$67)</f>
        <v>1391536.58025206</v>
      </c>
      <c r="L27" s="18" t="n">
        <v>0</v>
      </c>
      <c r="M27" s="15" t="n">
        <f aca="false">IF(HYPOTHESES!$C$67=0,0,$E27*HYPOTHESES!G$67/HYPOTHESES!$C$67)</f>
        <v>1461113.40926466</v>
      </c>
      <c r="N27" s="18" t="n">
        <v>0</v>
      </c>
      <c r="O27" s="15" t="n">
        <f aca="false">IF(HYPOTHESES!$C$67=0,0,$E27*HYPOTHESES!H$67/HYPOTHESES!$C$67)</f>
        <v>1534169.0797279</v>
      </c>
    </row>
    <row r="28" customFormat="false" ht="15" hidden="false" customHeight="false" outlineLevel="0" collapsed="false">
      <c r="A28" s="32" t="n">
        <v>431802</v>
      </c>
      <c r="B28" s="12" t="s">
        <v>183</v>
      </c>
      <c r="C28" s="13" t="s">
        <v>180</v>
      </c>
      <c r="D28" s="33" t="n">
        <v>0</v>
      </c>
      <c r="E28" s="33" t="n">
        <v>161938</v>
      </c>
      <c r="F28" s="18" t="n">
        <v>0</v>
      </c>
      <c r="G28" s="15" t="n">
        <f aca="false">IF(HYPOTHESES!$C$67=0,0,$E28*HYPOTHESES!D$67/HYPOTHESES!$C$67)</f>
        <v>169986.341514364</v>
      </c>
      <c r="H28" s="18" t="n">
        <v>0</v>
      </c>
      <c r="I28" s="15" t="n">
        <f aca="false">IF(HYPOTHESES!$C$67=0,0,$E28*HYPOTHESES!E$67/HYPOTHESES!$C$67)</f>
        <v>178485.658590082</v>
      </c>
      <c r="J28" s="18" t="n">
        <v>0</v>
      </c>
      <c r="K28" s="15" t="n">
        <f aca="false">IF(HYPOTHESES!$C$67=0,0,$E28*HYPOTHESES!F$67/HYPOTHESES!$C$67)</f>
        <v>187409.941519586</v>
      </c>
      <c r="L28" s="18" t="n">
        <v>0</v>
      </c>
      <c r="M28" s="15" t="n">
        <f aca="false">IF(HYPOTHESES!$C$67=0,0,$E28*HYPOTHESES!G$67/HYPOTHESES!$C$67)</f>
        <v>196780.438595566</v>
      </c>
      <c r="N28" s="18" t="n">
        <v>0</v>
      </c>
      <c r="O28" s="15" t="n">
        <f aca="false">IF(HYPOTHESES!$C$67=0,0,$E28*HYPOTHESES!H$67/HYPOTHESES!$C$67)</f>
        <v>206619.460525344</v>
      </c>
    </row>
    <row r="29" customFormat="false" ht="15" hidden="false" customHeight="false" outlineLevel="0" collapsed="false">
      <c r="A29" s="32" t="n">
        <v>441000</v>
      </c>
      <c r="B29" s="12" t="s">
        <v>184</v>
      </c>
      <c r="C29" s="13" t="s">
        <v>180</v>
      </c>
      <c r="D29" s="33" t="n">
        <v>0</v>
      </c>
      <c r="E29" s="33" t="n">
        <v>24232959</v>
      </c>
      <c r="F29" s="18" t="n">
        <v>0</v>
      </c>
      <c r="G29" s="15" t="n">
        <f aca="false">HYPOTHESES!D$91</f>
        <v>23222852.9803833</v>
      </c>
      <c r="H29" s="18" t="n">
        <v>0</v>
      </c>
      <c r="I29" s="15" t="n">
        <f aca="false">HYPOTHESES!E$91</f>
        <v>24483150.7845692</v>
      </c>
      <c r="J29" s="18" t="n">
        <v>0</v>
      </c>
      <c r="K29" s="15" t="n">
        <f aca="false">HYPOTHESES!F$91</f>
        <v>26744185.4347976</v>
      </c>
      <c r="L29" s="18" t="n">
        <v>0</v>
      </c>
      <c r="M29" s="15" t="n">
        <f aca="false">HYPOTHESES!G$91</f>
        <v>29361849.6690375</v>
      </c>
      <c r="N29" s="18" t="n">
        <v>0</v>
      </c>
      <c r="O29" s="15" t="n">
        <f aca="false">HYPOTHESES!H$91</f>
        <v>34204596.8149894</v>
      </c>
    </row>
    <row r="30" customFormat="false" ht="15" hidden="false" customHeight="false" outlineLevel="0" collapsed="false">
      <c r="A30" s="32" t="n">
        <v>442800</v>
      </c>
      <c r="B30" s="12" t="s">
        <v>185</v>
      </c>
      <c r="C30" s="13" t="s">
        <v>180</v>
      </c>
      <c r="D30" s="33" t="n">
        <v>0</v>
      </c>
      <c r="E30" s="33" t="n">
        <v>725658</v>
      </c>
      <c r="F30" s="18" t="n">
        <v>0</v>
      </c>
      <c r="G30" s="15" t="n">
        <f aca="false">IF(HYPOTHESES!$C$65=0,0,$E30*HYPOTHESES!D$65/HYPOTHESES!$C$65)</f>
        <v>761535.885553701</v>
      </c>
      <c r="H30" s="18" t="n">
        <v>0</v>
      </c>
      <c r="I30" s="15" t="n">
        <f aca="false">IF(HYPOTHESES!$C$65=0,0,$E30*HYPOTHESES!E$65/HYPOTHESES!$C$65)</f>
        <v>799612.679831386</v>
      </c>
      <c r="J30" s="18" t="n">
        <v>0</v>
      </c>
      <c r="K30" s="15" t="n">
        <f aca="false">IF(HYPOTHESES!$C$65=0,0,$E30*HYPOTHESES!F$65/HYPOTHESES!$C$65)</f>
        <v>839593.313822955</v>
      </c>
      <c r="L30" s="18" t="n">
        <v>0</v>
      </c>
      <c r="M30" s="15" t="n">
        <f aca="false">IF(HYPOTHESES!$C$65=0,0,$E30*HYPOTHESES!G$65/HYPOTHESES!$C$65)</f>
        <v>881572.979514103</v>
      </c>
      <c r="N30" s="18" t="n">
        <v>0</v>
      </c>
      <c r="O30" s="15" t="n">
        <f aca="false">IF(HYPOTHESES!$C$65=0,0,$E30*HYPOTHESES!H$65/HYPOTHESES!$C$65)</f>
        <v>925651.628489808</v>
      </c>
    </row>
    <row r="31" customFormat="false" ht="15" hidden="false" customHeight="false" outlineLevel="0" collapsed="false">
      <c r="A31" s="32" t="n">
        <v>442801</v>
      </c>
      <c r="B31" s="12" t="s">
        <v>186</v>
      </c>
      <c r="C31" s="13" t="s">
        <v>180</v>
      </c>
      <c r="D31" s="33" t="n">
        <v>0</v>
      </c>
      <c r="E31" s="33" t="n">
        <v>104066</v>
      </c>
      <c r="F31" s="18" t="n">
        <v>0</v>
      </c>
      <c r="G31" s="15" t="n">
        <f aca="false">IF(HYPOTHESES!$C$65=0,0,$E31*HYPOTHESES!D$65/HYPOTHESES!$C$65)</f>
        <v>109211.217220828</v>
      </c>
      <c r="H31" s="18" t="n">
        <v>0</v>
      </c>
      <c r="I31" s="15" t="n">
        <f aca="false">IF(HYPOTHESES!$C$65=0,0,$E31*HYPOTHESES!E$65/HYPOTHESES!$C$65)</f>
        <v>114671.778081869</v>
      </c>
      <c r="J31" s="18" t="n">
        <v>0</v>
      </c>
      <c r="K31" s="15" t="n">
        <f aca="false">IF(HYPOTHESES!$C$65=0,0,$E31*HYPOTHESES!F$65/HYPOTHESES!$C$65)</f>
        <v>120405.366985963</v>
      </c>
      <c r="L31" s="18" t="n">
        <v>0</v>
      </c>
      <c r="M31" s="15" t="n">
        <f aca="false">IF(HYPOTHESES!$C$65=0,0,$E31*HYPOTHESES!G$65/HYPOTHESES!$C$65)</f>
        <v>126425.635335261</v>
      </c>
      <c r="N31" s="18" t="n">
        <v>0</v>
      </c>
      <c r="O31" s="15" t="n">
        <f aca="false">IF(HYPOTHESES!$C$65=0,0,$E31*HYPOTHESES!H$65/HYPOTHESES!$C$65)</f>
        <v>132746.917102024</v>
      </c>
    </row>
    <row r="32" customFormat="false" ht="15" hidden="false" customHeight="false" outlineLevel="0" collapsed="false">
      <c r="A32" s="32" t="n">
        <v>442802</v>
      </c>
      <c r="B32" s="12" t="s">
        <v>187</v>
      </c>
      <c r="C32" s="13" t="s">
        <v>180</v>
      </c>
      <c r="D32" s="33" t="n">
        <v>0</v>
      </c>
      <c r="E32" s="33" t="n">
        <v>156106</v>
      </c>
      <c r="F32" s="18" t="n">
        <v>0</v>
      </c>
      <c r="G32" s="15" t="n">
        <f aca="false">IF(HYPOTHESES!$C$65=0,0,$E32*HYPOTHESES!D$65/HYPOTHESES!$C$65)</f>
        <v>163824.171924303</v>
      </c>
      <c r="H32" s="18" t="n">
        <v>0</v>
      </c>
      <c r="I32" s="15" t="n">
        <f aca="false">IF(HYPOTHESES!$C$65=0,0,$E32*HYPOTHESES!E$65/HYPOTHESES!$C$65)</f>
        <v>172015.380520518</v>
      </c>
      <c r="J32" s="18" t="n">
        <v>0</v>
      </c>
      <c r="K32" s="15" t="n">
        <f aca="false">IF(HYPOTHESES!$C$65=0,0,$E32*HYPOTHESES!F$65/HYPOTHESES!$C$65)</f>
        <v>180616.149546544</v>
      </c>
      <c r="L32" s="18" t="n">
        <v>0</v>
      </c>
      <c r="M32" s="15" t="n">
        <f aca="false">IF(HYPOTHESES!$C$65=0,0,$E32*HYPOTHESES!G$65/HYPOTHESES!$C$65)</f>
        <v>189646.957023872</v>
      </c>
      <c r="N32" s="18" t="n">
        <v>0</v>
      </c>
      <c r="O32" s="15" t="n">
        <f aca="false">IF(HYPOTHESES!$C$65=0,0,$E32*HYPOTHESES!H$65/HYPOTHESES!$C$65)</f>
        <v>199129.304875065</v>
      </c>
    </row>
    <row r="33" customFormat="false" ht="15" hidden="false" customHeight="false" outlineLevel="0" collapsed="false">
      <c r="A33" s="32" t="n">
        <v>442803</v>
      </c>
      <c r="B33" s="12" t="s">
        <v>188</v>
      </c>
      <c r="C33" s="13" t="s">
        <v>180</v>
      </c>
      <c r="D33" s="33" t="n">
        <v>0</v>
      </c>
      <c r="E33" s="33" t="n">
        <v>156105</v>
      </c>
      <c r="F33" s="18" t="n">
        <v>0</v>
      </c>
      <c r="G33" s="15" t="n">
        <f aca="false">IF(HYPOTHESES!$C$65=0,0,$E33*HYPOTHESES!D$65/HYPOTHESES!$C$65)</f>
        <v>163823.122482437</v>
      </c>
      <c r="H33" s="18" t="n">
        <v>0</v>
      </c>
      <c r="I33" s="15" t="n">
        <f aca="false">IF(HYPOTHESES!$C$65=0,0,$E33*HYPOTHESES!E$65/HYPOTHESES!$C$65)</f>
        <v>172014.278606559</v>
      </c>
      <c r="J33" s="18" t="n">
        <v>0</v>
      </c>
      <c r="K33" s="15" t="n">
        <f aca="false">IF(HYPOTHESES!$C$65=0,0,$E33*HYPOTHESES!F$65/HYPOTHESES!$C$65)</f>
        <v>180614.992536887</v>
      </c>
      <c r="L33" s="18" t="n">
        <v>0</v>
      </c>
      <c r="M33" s="15" t="n">
        <f aca="false">IF(HYPOTHESES!$C$65=0,0,$E33*HYPOTHESES!G$65/HYPOTHESES!$C$65)</f>
        <v>189645.742163732</v>
      </c>
      <c r="N33" s="18" t="n">
        <v>0</v>
      </c>
      <c r="O33" s="15" t="n">
        <f aca="false">IF(HYPOTHESES!$C$65=0,0,$E33*HYPOTHESES!H$65/HYPOTHESES!$C$65)</f>
        <v>199128.029271918</v>
      </c>
    </row>
    <row r="34" customFormat="false" ht="15" hidden="false" customHeight="false" outlineLevel="0" collapsed="false">
      <c r="A34" s="32" t="n">
        <v>442820</v>
      </c>
      <c r="B34" s="12" t="s">
        <v>189</v>
      </c>
      <c r="C34" s="13" t="s">
        <v>180</v>
      </c>
      <c r="D34" s="33" t="n">
        <v>0</v>
      </c>
      <c r="E34" s="33" t="n">
        <v>367610</v>
      </c>
      <c r="F34" s="18" t="n">
        <v>0</v>
      </c>
      <c r="G34" s="15" t="n">
        <f aca="false">IF(HYPOTHESES!$C$65=0,0,$E34*HYPOTHESES!D$65/HYPOTHESES!$C$65)</f>
        <v>385785.324337906</v>
      </c>
      <c r="H34" s="18" t="n">
        <v>0</v>
      </c>
      <c r="I34" s="15" t="n">
        <f aca="false">IF(HYPOTHESES!$C$65=0,0,$E34*HYPOTHESES!E$65/HYPOTHESES!$C$65)</f>
        <v>405074.590554801</v>
      </c>
      <c r="J34" s="18" t="n">
        <v>0</v>
      </c>
      <c r="K34" s="15" t="n">
        <f aca="false">IF(HYPOTHESES!$C$65=0,0,$E34*HYPOTHESES!F$65/HYPOTHESES!$C$65)</f>
        <v>425328.320082541</v>
      </c>
      <c r="L34" s="18" t="n">
        <v>0</v>
      </c>
      <c r="M34" s="15" t="n">
        <f aca="false">IF(HYPOTHESES!$C$65=0,0,$E34*HYPOTHESES!G$65/HYPOTHESES!$C$65)</f>
        <v>446594.736086668</v>
      </c>
      <c r="N34" s="18" t="n">
        <v>0</v>
      </c>
      <c r="O34" s="15" t="n">
        <f aca="false">IF(HYPOTHESES!$C$65=0,0,$E34*HYPOTHESES!H$65/HYPOTHESES!$C$65)</f>
        <v>468924.472891002</v>
      </c>
    </row>
    <row r="35" customFormat="false" ht="15" hidden="false" customHeight="false" outlineLevel="0" collapsed="false">
      <c r="A35" s="32" t="n">
        <v>442840</v>
      </c>
      <c r="B35" s="12" t="s">
        <v>190</v>
      </c>
      <c r="C35" s="13" t="s">
        <v>180</v>
      </c>
      <c r="D35" s="33" t="n">
        <v>0</v>
      </c>
      <c r="E35" s="33" t="n">
        <v>5000000</v>
      </c>
      <c r="F35" s="18" t="n">
        <v>0</v>
      </c>
      <c r="G35" s="15" t="n">
        <f aca="false">IF(HYPOTHESES!$C$65=0,0,$E35*HYPOTHESES!D$65/HYPOTHESES!$C$65)</f>
        <v>5247209.32969595</v>
      </c>
      <c r="H35" s="18" t="n">
        <v>0</v>
      </c>
      <c r="I35" s="15" t="n">
        <f aca="false">IF(HYPOTHESES!$C$65=0,0,$E35*HYPOTHESES!E$65/HYPOTHESES!$C$65)</f>
        <v>5509569.79618075</v>
      </c>
      <c r="J35" s="18" t="n">
        <v>0</v>
      </c>
      <c r="K35" s="15" t="n">
        <f aca="false">IF(HYPOTHESES!$C$65=0,0,$E35*HYPOTHESES!F$65/HYPOTHESES!$C$65)</f>
        <v>5785048.28598979</v>
      </c>
      <c r="L35" s="18" t="n">
        <v>0</v>
      </c>
      <c r="M35" s="15" t="n">
        <f aca="false">IF(HYPOTHESES!$C$65=0,0,$E35*HYPOTHESES!G$65/HYPOTHESES!$C$65)</f>
        <v>6074300.70028928</v>
      </c>
      <c r="N35" s="18" t="n">
        <v>0</v>
      </c>
      <c r="O35" s="15" t="n">
        <f aca="false">IF(HYPOTHESES!$C$65=0,0,$E35*HYPOTHESES!H$65/HYPOTHESES!$C$65)</f>
        <v>6378015.73530374</v>
      </c>
    </row>
    <row r="36" customFormat="false" ht="15" hidden="false" customHeight="false" outlineLevel="0" collapsed="false">
      <c r="A36" s="32" t="n">
        <v>443300</v>
      </c>
      <c r="B36" s="12" t="s">
        <v>191</v>
      </c>
      <c r="C36" s="13" t="s">
        <v>180</v>
      </c>
      <c r="D36" s="33" t="n">
        <v>0</v>
      </c>
      <c r="E36" s="33" t="n">
        <v>52145698</v>
      </c>
      <c r="F36" s="18" t="n">
        <v>0</v>
      </c>
      <c r="G36" s="18" t="n">
        <f aca="false">IF($D$24=0,0,$E36*F24/$D$24)</f>
        <v>54801059.0512091</v>
      </c>
      <c r="H36" s="18" t="n">
        <v>0</v>
      </c>
      <c r="I36" s="18" t="n">
        <f aca="false">IF($D$24=0,0,$E36*H24/$D$24)</f>
        <v>57541112.0037695</v>
      </c>
      <c r="J36" s="18" t="n">
        <v>0</v>
      </c>
      <c r="K36" s="18" t="n">
        <f aca="false">IF($D$24=0,0,$E36*J24/$D$24)</f>
        <v>60418167.603958</v>
      </c>
      <c r="L36" s="18" t="n">
        <v>0</v>
      </c>
      <c r="M36" s="18" t="n">
        <f aca="false">IF($D$24=0,0,$E36*L24/$D$24)</f>
        <v>63439075.9841559</v>
      </c>
      <c r="N36" s="18" t="n">
        <v>0</v>
      </c>
      <c r="O36" s="18" t="n">
        <f aca="false">IF($D$24=0,0,$E36*N24/$D$24)</f>
        <v>66611029.7833637</v>
      </c>
    </row>
    <row r="37" customFormat="false" ht="15" hidden="false" customHeight="false" outlineLevel="0" collapsed="false">
      <c r="A37" s="32" t="n">
        <v>446000</v>
      </c>
      <c r="B37" s="12" t="s">
        <v>192</v>
      </c>
      <c r="C37" s="13" t="s">
        <v>180</v>
      </c>
      <c r="D37" s="33" t="n">
        <v>0</v>
      </c>
      <c r="E37" s="33" t="n">
        <v>200000</v>
      </c>
      <c r="F37" s="18" t="n">
        <v>0</v>
      </c>
      <c r="G37" s="15" t="n">
        <f aca="false">IF(HYPOTHESES!$C$65=0,0,$E37*HYPOTHESES!D$65/HYPOTHESES!$C$65)</f>
        <v>209888.373187838</v>
      </c>
      <c r="H37" s="18" t="n">
        <v>0</v>
      </c>
      <c r="I37" s="15" t="n">
        <f aca="false">IF(HYPOTHESES!$C$65=0,0,$E37*HYPOTHESES!E$65/HYPOTHESES!$C$65)</f>
        <v>220382.79184723</v>
      </c>
      <c r="J37" s="18" t="n">
        <v>0</v>
      </c>
      <c r="K37" s="15" t="n">
        <f aca="false">IF(HYPOTHESES!$C$65=0,0,$E37*HYPOTHESES!F$65/HYPOTHESES!$C$65)</f>
        <v>231401.931439591</v>
      </c>
      <c r="L37" s="18" t="n">
        <v>0</v>
      </c>
      <c r="M37" s="15" t="n">
        <f aca="false">IF(HYPOTHESES!$C$65=0,0,$E37*HYPOTHESES!G$65/HYPOTHESES!$C$65)</f>
        <v>242972.028011571</v>
      </c>
      <c r="N37" s="18" t="n">
        <v>0</v>
      </c>
      <c r="O37" s="15" t="n">
        <f aca="false">IF(HYPOTHESES!$C$65=0,0,$E37*HYPOTHESES!H$65/HYPOTHESES!$C$65)</f>
        <v>255120.62941215</v>
      </c>
    </row>
    <row r="38" customFormat="false" ht="15" hidden="false" customHeight="false" outlineLevel="0" collapsed="false">
      <c r="A38" s="32" t="n">
        <v>447201</v>
      </c>
      <c r="B38" s="12" t="s">
        <v>193</v>
      </c>
      <c r="C38" s="13" t="s">
        <v>180</v>
      </c>
      <c r="D38" s="33" t="n">
        <v>0</v>
      </c>
      <c r="E38" s="33" t="n">
        <v>1631638</v>
      </c>
      <c r="F38" s="18" t="n">
        <v>0</v>
      </c>
      <c r="G38" s="15" t="n">
        <f aca="false">IF(HYPOTHESES!$C$67=0,0,$E38*HYPOTHESES!D$67/HYPOTHESES!$C$67)</f>
        <v>1712730.63947816</v>
      </c>
      <c r="H38" s="18" t="n">
        <v>0</v>
      </c>
      <c r="I38" s="15" t="n">
        <f aca="false">IF(HYPOTHESES!$C$67=0,0,$E38*HYPOTHESES!E$67/HYPOTHESES!$C$67)</f>
        <v>1798367.17145206</v>
      </c>
      <c r="J38" s="18" t="n">
        <v>0</v>
      </c>
      <c r="K38" s="15" t="n">
        <f aca="false">IF(HYPOTHESES!$C$67=0,0,$E38*HYPOTHESES!F$67/HYPOTHESES!$C$67)</f>
        <v>1888285.53002467</v>
      </c>
      <c r="L38" s="18" t="n">
        <v>0</v>
      </c>
      <c r="M38" s="15" t="n">
        <f aca="false">IF(HYPOTHESES!$C$67=0,0,$E38*HYPOTHESES!G$67/HYPOTHESES!$C$67)</f>
        <v>1982699.8065259</v>
      </c>
      <c r="N38" s="18" t="n">
        <v>0</v>
      </c>
      <c r="O38" s="15" t="n">
        <f aca="false">IF(HYPOTHESES!$C$67=0,0,$E38*HYPOTHESES!H$67/HYPOTHESES!$C$67)</f>
        <v>2081834.7968522</v>
      </c>
    </row>
    <row r="39" customFormat="false" ht="15" hidden="false" customHeight="false" outlineLevel="0" collapsed="false">
      <c r="A39" s="32" t="n">
        <v>462100</v>
      </c>
      <c r="B39" s="12" t="s">
        <v>194</v>
      </c>
      <c r="C39" s="13" t="s">
        <v>195</v>
      </c>
      <c r="D39" s="33" t="n">
        <v>0</v>
      </c>
      <c r="E39" s="33" t="n">
        <v>3700000</v>
      </c>
      <c r="F39" s="18" t="n">
        <v>0</v>
      </c>
      <c r="G39" s="18" t="n">
        <f aca="false">E39</f>
        <v>3700000</v>
      </c>
      <c r="H39" s="18" t="n">
        <v>0</v>
      </c>
      <c r="I39" s="18" t="n">
        <f aca="false">G39</f>
        <v>3700000</v>
      </c>
      <c r="J39" s="18" t="n">
        <v>0</v>
      </c>
      <c r="K39" s="18" t="n">
        <f aca="false">I39</f>
        <v>3700000</v>
      </c>
      <c r="L39" s="18" t="n">
        <v>0</v>
      </c>
      <c r="M39" s="18" t="n">
        <f aca="false">K39</f>
        <v>3700000</v>
      </c>
      <c r="N39" s="18" t="n">
        <v>0</v>
      </c>
      <c r="O39" s="18" t="n">
        <f aca="false">M39</f>
        <v>3700000</v>
      </c>
    </row>
    <row r="40" customFormat="false" ht="15" hidden="false" customHeight="false" outlineLevel="0" collapsed="false">
      <c r="A40" s="32" t="n">
        <v>481200</v>
      </c>
      <c r="B40" s="12" t="s">
        <v>196</v>
      </c>
      <c r="C40" s="13" t="s">
        <v>197</v>
      </c>
      <c r="D40" s="33" t="n">
        <v>0</v>
      </c>
      <c r="E40" s="33" t="n">
        <v>132896547</v>
      </c>
      <c r="F40" s="18" t="n">
        <v>0</v>
      </c>
      <c r="G40" s="15" t="n">
        <f aca="false">HYPOTHESES!D$81*HYPOTHESES!D$24</f>
        <v>0</v>
      </c>
      <c r="H40" s="18" t="n">
        <v>0</v>
      </c>
      <c r="I40" s="15" t="n">
        <f aca="false">HYPOTHESES!E$81*HYPOTHESES!E$24</f>
        <v>0</v>
      </c>
      <c r="J40" s="18" t="n">
        <v>0</v>
      </c>
      <c r="K40" s="15" t="n">
        <f aca="false">HYPOTHESES!F$81*HYPOTHESES!F$24</f>
        <v>0</v>
      </c>
      <c r="L40" s="18" t="n">
        <v>0</v>
      </c>
      <c r="M40" s="15" t="n">
        <f aca="false">HYPOTHESES!G$81*HYPOTHESES!G$24</f>
        <v>0</v>
      </c>
      <c r="N40" s="18" t="n">
        <v>0</v>
      </c>
      <c r="O40" s="15" t="n">
        <f aca="false">HYPOTHESES!H$81*HYPOTHESES!H$24</f>
        <v>0</v>
      </c>
    </row>
    <row r="41" customFormat="false" ht="15" hidden="false" customHeight="false" outlineLevel="0" collapsed="false">
      <c r="A41" s="26" t="n">
        <v>521101</v>
      </c>
      <c r="B41" s="27" t="s">
        <v>198</v>
      </c>
      <c r="C41" s="28" t="s">
        <v>199</v>
      </c>
      <c r="D41" s="29" t="n">
        <v>122588265</v>
      </c>
      <c r="E41" s="29" t="n">
        <v>0</v>
      </c>
      <c r="F41" s="30" t="n">
        <f aca="false">MAX(0,(SUM(G5:G40)+SUM(G42:G89)-SUM(F5:F40)-SUM(F42:F89)))</f>
        <v>40670461.2754206</v>
      </c>
      <c r="G41" s="30" t="n">
        <f aca="false">MAX(0,-(SUM(G5:G40)+SUM(G42:G89)-SUM(F5:F40)-SUM(F42:F89)))</f>
        <v>0</v>
      </c>
      <c r="H41" s="30" t="n">
        <f aca="false">MAX(0,(SUM(I5:I40)+SUM(I42:I89)-SUM(H5:H40)-SUM(H42:H89)))</f>
        <v>155623250.701008</v>
      </c>
      <c r="I41" s="30" t="n">
        <f aca="false">MAX(0,-(SUM(I5:I40)+SUM(I42:I89)-SUM(H5:H40)-SUM(H42:H89)))</f>
        <v>0</v>
      </c>
      <c r="J41" s="30" t="n">
        <f aca="false">MAX(0,(SUM(K5:K40)+SUM(K42:K89)-SUM(J5:J40)-SUM(J42:J89)))</f>
        <v>300418652.486709</v>
      </c>
      <c r="K41" s="30" t="n">
        <f aca="false">MAX(0,-(SUM(K5:K40)+SUM(K42:K89)-SUM(J5:J40)-SUM(J42:J89)))</f>
        <v>0</v>
      </c>
      <c r="L41" s="30" t="n">
        <f aca="false">MAX(0,(SUM(M5:M40)+SUM(M42:M89)-SUM(L5:L40)-SUM(L42:L89)))</f>
        <v>413124517.550694</v>
      </c>
      <c r="M41" s="30" t="n">
        <f aca="false">MAX(0,-(SUM(M5:M40)+SUM(M42:M89)-SUM(L5:L40)-SUM(L42:L89)))</f>
        <v>0</v>
      </c>
      <c r="N41" s="30" t="n">
        <f aca="false">MAX(0,(SUM(O5:O40)+SUM(O42:O89)-SUM(N5:N40)-SUM(N42:N89)))</f>
        <v>573892791.205379</v>
      </c>
      <c r="O41" s="30" t="n">
        <f aca="false">MAX(0,-(SUM(O5:O40)+SUM(O42:O89)-SUM(N5:N40)-SUM(N42:N89)))</f>
        <v>0</v>
      </c>
    </row>
    <row r="42" customFormat="false" ht="15" hidden="false" customHeight="false" outlineLevel="0" collapsed="false">
      <c r="A42" s="32" t="n">
        <v>571101</v>
      </c>
      <c r="B42" s="12" t="s">
        <v>200</v>
      </c>
      <c r="C42" s="13" t="s">
        <v>201</v>
      </c>
      <c r="D42" s="33" t="n">
        <v>5545693</v>
      </c>
      <c r="E42" s="33" t="n">
        <v>0</v>
      </c>
      <c r="F42" s="18" t="n">
        <f aca="false">D42</f>
        <v>5545693</v>
      </c>
      <c r="G42" s="18" t="n">
        <v>0</v>
      </c>
      <c r="H42" s="18" t="n">
        <f aca="false">F42</f>
        <v>5545693</v>
      </c>
      <c r="I42" s="18" t="n">
        <v>0</v>
      </c>
      <c r="J42" s="18" t="n">
        <f aca="false">H42</f>
        <v>5545693</v>
      </c>
      <c r="K42" s="18" t="n">
        <v>0</v>
      </c>
      <c r="L42" s="18" t="n">
        <f aca="false">J42</f>
        <v>5545693</v>
      </c>
      <c r="M42" s="18" t="n">
        <v>0</v>
      </c>
      <c r="N42" s="18" t="n">
        <f aca="false">L42</f>
        <v>5545693</v>
      </c>
      <c r="O42" s="18" t="n">
        <v>0</v>
      </c>
    </row>
    <row r="43" customFormat="false" ht="15" hidden="false" customHeight="false" outlineLevel="0" collapsed="false">
      <c r="A43" s="26" t="n">
        <v>604300</v>
      </c>
      <c r="B43" s="27" t="s">
        <v>202</v>
      </c>
      <c r="C43" s="28" t="s">
        <v>203</v>
      </c>
      <c r="D43" s="29" t="n">
        <v>1250398</v>
      </c>
      <c r="E43" s="29" t="n">
        <v>0</v>
      </c>
      <c r="F43" s="31" t="n">
        <f aca="false">IF(HYPOTHESES!$C$62=0,0,$D43*HYPOTHESES!D$62/HYPOTHESES!$C$62)</f>
        <v>1313040.2912863</v>
      </c>
      <c r="G43" s="30" t="n">
        <v>0</v>
      </c>
      <c r="H43" s="31" t="n">
        <f aca="false">IF(HYPOTHESES!$C$62=0,0,$D43*HYPOTHESES!E$62/HYPOTHESES!$C$62)</f>
        <v>1378692.30585061</v>
      </c>
      <c r="I43" s="30" t="n">
        <v>0</v>
      </c>
      <c r="J43" s="31" t="n">
        <f aca="false">IF(HYPOTHESES!$C$62=0,0,$D43*HYPOTHESES!F$62/HYPOTHESES!$C$62)</f>
        <v>1447626.92114314</v>
      </c>
      <c r="K43" s="30" t="n">
        <v>0</v>
      </c>
      <c r="L43" s="31" t="n">
        <f aca="false">IF(HYPOTHESES!$C$62=0,0,$D43*HYPOTHESES!G$62/HYPOTHESES!$C$62)</f>
        <v>1520008.2672003</v>
      </c>
      <c r="M43" s="30" t="n">
        <v>0</v>
      </c>
      <c r="N43" s="31" t="n">
        <f aca="false">IF(HYPOTHESES!$C$62=0,0,$D43*HYPOTHESES!H$62/HYPOTHESES!$C$62)</f>
        <v>1596008.68056032</v>
      </c>
      <c r="O43" s="30" t="n">
        <v>0</v>
      </c>
    </row>
    <row r="44" customFormat="false" ht="15" hidden="false" customHeight="false" outlineLevel="0" collapsed="false">
      <c r="A44" s="32" t="n">
        <v>605100</v>
      </c>
      <c r="B44" s="12" t="s">
        <v>204</v>
      </c>
      <c r="C44" s="13" t="s">
        <v>203</v>
      </c>
      <c r="D44" s="33" t="n">
        <v>124576</v>
      </c>
      <c r="E44" s="33" t="n">
        <v>0</v>
      </c>
      <c r="F44" s="15" t="n">
        <f aca="false">IF(HYPOTHESES!$C$62=0,0,$D44*HYPOTHESES!D$62/HYPOTHESES!$C$62)</f>
        <v>130816.993731022</v>
      </c>
      <c r="G44" s="18" t="n">
        <v>0</v>
      </c>
      <c r="H44" s="15" t="n">
        <f aca="false">IF(HYPOTHESES!$C$62=0,0,$D44*HYPOTHESES!E$62/HYPOTHESES!$C$62)</f>
        <v>137357.843417573</v>
      </c>
      <c r="I44" s="18" t="n">
        <v>0</v>
      </c>
      <c r="J44" s="15" t="n">
        <f aca="false">IF(HYPOTHESES!$C$62=0,0,$D44*HYPOTHESES!F$62/HYPOTHESES!$C$62)</f>
        <v>144225.735588451</v>
      </c>
      <c r="K44" s="18" t="n">
        <v>0</v>
      </c>
      <c r="L44" s="15" t="n">
        <f aca="false">IF(HYPOTHESES!$C$62=0,0,$D44*HYPOTHESES!G$62/HYPOTHESES!$C$62)</f>
        <v>151437.022367874</v>
      </c>
      <c r="M44" s="18" t="n">
        <v>0</v>
      </c>
      <c r="N44" s="15" t="n">
        <f aca="false">IF(HYPOTHESES!$C$62=0,0,$D44*HYPOTHESES!H$62/HYPOTHESES!$C$62)</f>
        <v>159008.873486268</v>
      </c>
      <c r="O44" s="18" t="n">
        <v>0</v>
      </c>
    </row>
    <row r="45" customFormat="false" ht="15" hidden="false" customHeight="false" outlineLevel="0" collapsed="false">
      <c r="A45" s="32" t="n">
        <v>605200</v>
      </c>
      <c r="B45" s="12" t="s">
        <v>205</v>
      </c>
      <c r="C45" s="13" t="s">
        <v>203</v>
      </c>
      <c r="D45" s="33" t="n">
        <v>39961389</v>
      </c>
      <c r="E45" s="33" t="n">
        <v>0</v>
      </c>
      <c r="F45" s="15" t="n">
        <f aca="false">IF(HYPOTHESES!$C$62=0,0,$D45*HYPOTHESES!D$62/HYPOTHESES!$C$62)</f>
        <v>41963369.9452215</v>
      </c>
      <c r="G45" s="18" t="n">
        <v>0</v>
      </c>
      <c r="H45" s="15" t="n">
        <f aca="false">IF(HYPOTHESES!$C$62=0,0,$D45*HYPOTHESES!E$62/HYPOTHESES!$C$62)</f>
        <v>44061538.4424826</v>
      </c>
      <c r="I45" s="18" t="n">
        <v>0</v>
      </c>
      <c r="J45" s="15" t="n">
        <f aca="false">IF(HYPOTHESES!$C$62=0,0,$D45*HYPOTHESES!F$62/HYPOTHESES!$C$62)</f>
        <v>46264615.3646067</v>
      </c>
      <c r="K45" s="18" t="n">
        <v>0</v>
      </c>
      <c r="L45" s="15" t="n">
        <f aca="false">IF(HYPOTHESES!$C$62=0,0,$D45*HYPOTHESES!G$62/HYPOTHESES!$C$62)</f>
        <v>48577846.132837</v>
      </c>
      <c r="M45" s="18" t="n">
        <v>0</v>
      </c>
      <c r="N45" s="15" t="n">
        <f aca="false">IF(HYPOTHESES!$C$62=0,0,$D45*HYPOTHESES!H$62/HYPOTHESES!$C$62)</f>
        <v>51006738.4394789</v>
      </c>
      <c r="O45" s="18" t="n">
        <v>0</v>
      </c>
    </row>
    <row r="46" customFormat="false" ht="15" hidden="false" customHeight="false" outlineLevel="0" collapsed="false">
      <c r="A46" s="32" t="n">
        <v>605300</v>
      </c>
      <c r="B46" s="12" t="s">
        <v>206</v>
      </c>
      <c r="C46" s="13" t="s">
        <v>203</v>
      </c>
      <c r="D46" s="33" t="n">
        <v>19839054</v>
      </c>
      <c r="E46" s="33" t="n">
        <v>0</v>
      </c>
      <c r="F46" s="15" t="n">
        <f aca="false">IF(HYPOTHESES!$C$62=0,0,$D46*HYPOTHESES!D$62/HYPOTHESES!$C$62)</f>
        <v>20832948.5835747</v>
      </c>
      <c r="G46" s="18" t="n">
        <v>0</v>
      </c>
      <c r="H46" s="15" t="n">
        <f aca="false">IF(HYPOTHESES!$C$62=0,0,$D46*HYPOTHESES!E$62/HYPOTHESES!$C$62)</f>
        <v>21874596.0127534</v>
      </c>
      <c r="I46" s="18" t="n">
        <v>0</v>
      </c>
      <c r="J46" s="15" t="n">
        <f aca="false">IF(HYPOTHESES!$C$62=0,0,$D46*HYPOTHESES!F$62/HYPOTHESES!$C$62)</f>
        <v>22968325.8133911</v>
      </c>
      <c r="K46" s="18" t="n">
        <v>0</v>
      </c>
      <c r="L46" s="15" t="n">
        <f aca="false">IF(HYPOTHESES!$C$62=0,0,$D46*HYPOTHESES!G$62/HYPOTHESES!$C$62)</f>
        <v>24116742.1040606</v>
      </c>
      <c r="M46" s="18" t="n">
        <v>0</v>
      </c>
      <c r="N46" s="15" t="n">
        <f aca="false">IF(HYPOTHESES!$C$62=0,0,$D46*HYPOTHESES!H$62/HYPOTHESES!$C$62)</f>
        <v>25322579.2092637</v>
      </c>
      <c r="O46" s="18" t="n">
        <v>0</v>
      </c>
    </row>
    <row r="47" customFormat="false" ht="15" hidden="false" customHeight="false" outlineLevel="0" collapsed="false">
      <c r="A47" s="32" t="n">
        <v>605500</v>
      </c>
      <c r="B47" s="12" t="s">
        <v>207</v>
      </c>
      <c r="C47" s="13" t="s">
        <v>203</v>
      </c>
      <c r="D47" s="33" t="n">
        <v>12873612</v>
      </c>
      <c r="E47" s="33" t="n">
        <v>0</v>
      </c>
      <c r="F47" s="15" t="n">
        <f aca="false">IF(HYPOTHESES!$C$62=0,0,$D47*HYPOTHESES!D$62/HYPOTHESES!$C$62)</f>
        <v>13518552.6931319</v>
      </c>
      <c r="G47" s="18" t="n">
        <v>0</v>
      </c>
      <c r="H47" s="15" t="n">
        <f aca="false">IF(HYPOTHESES!$C$62=0,0,$D47*HYPOTHESES!E$62/HYPOTHESES!$C$62)</f>
        <v>14194480.3277885</v>
      </c>
      <c r="I47" s="18" t="n">
        <v>0</v>
      </c>
      <c r="J47" s="15" t="n">
        <f aca="false">IF(HYPOTHESES!$C$62=0,0,$D47*HYPOTHESES!F$62/HYPOTHESES!$C$62)</f>
        <v>14904204.344178</v>
      </c>
      <c r="K47" s="18" t="n">
        <v>0</v>
      </c>
      <c r="L47" s="15" t="n">
        <f aca="false">IF(HYPOTHESES!$C$62=0,0,$D47*HYPOTHESES!G$62/HYPOTHESES!$C$62)</f>
        <v>15649414.5613869</v>
      </c>
      <c r="M47" s="18" t="n">
        <v>0</v>
      </c>
      <c r="N47" s="15" t="n">
        <f aca="false">IF(HYPOTHESES!$C$62=0,0,$D47*HYPOTHESES!H$62/HYPOTHESES!$C$62)</f>
        <v>16431885.2894562</v>
      </c>
      <c r="O47" s="18" t="n">
        <v>0</v>
      </c>
    </row>
    <row r="48" customFormat="false" ht="15" hidden="false" customHeight="false" outlineLevel="0" collapsed="false">
      <c r="A48" s="32" t="n">
        <v>605600</v>
      </c>
      <c r="B48" s="12" t="s">
        <v>208</v>
      </c>
      <c r="C48" s="13" t="s">
        <v>203</v>
      </c>
      <c r="D48" s="33" t="n">
        <v>3691625</v>
      </c>
      <c r="E48" s="33" t="n">
        <v>0</v>
      </c>
      <c r="F48" s="15" t="n">
        <f aca="false">IF(HYPOTHESES!$C$62=0,0,$D48*HYPOTHESES!D$62/HYPOTHESES!$C$62)</f>
        <v>3876567.59313417</v>
      </c>
      <c r="G48" s="18" t="n">
        <v>0</v>
      </c>
      <c r="H48" s="15" t="n">
        <f aca="false">IF(HYPOTHESES!$C$62=0,0,$D48*HYPOTHESES!E$62/HYPOTHESES!$C$62)</f>
        <v>4070395.97279088</v>
      </c>
      <c r="I48" s="18" t="n">
        <v>0</v>
      </c>
      <c r="J48" s="15" t="n">
        <f aca="false">IF(HYPOTHESES!$C$62=0,0,$D48*HYPOTHESES!F$62/HYPOTHESES!$C$62)</f>
        <v>4273915.77143042</v>
      </c>
      <c r="K48" s="18" t="n">
        <v>0</v>
      </c>
      <c r="L48" s="15" t="n">
        <f aca="false">IF(HYPOTHESES!$C$62=0,0,$D48*HYPOTHESES!G$62/HYPOTHESES!$C$62)</f>
        <v>4487611.56000195</v>
      </c>
      <c r="M48" s="18" t="n">
        <v>0</v>
      </c>
      <c r="N48" s="15" t="n">
        <f aca="false">IF(HYPOTHESES!$C$62=0,0,$D48*HYPOTHESES!H$62/HYPOTHESES!$C$62)</f>
        <v>4711992.13800204</v>
      </c>
      <c r="O48" s="18" t="n">
        <v>0</v>
      </c>
    </row>
    <row r="49" customFormat="false" ht="15" hidden="false" customHeight="false" outlineLevel="0" collapsed="false">
      <c r="A49" s="32" t="n">
        <v>605700</v>
      </c>
      <c r="B49" s="12" t="s">
        <v>209</v>
      </c>
      <c r="C49" s="13" t="s">
        <v>203</v>
      </c>
      <c r="D49" s="33" t="n">
        <v>80160324</v>
      </c>
      <c r="E49" s="33" t="n">
        <v>0</v>
      </c>
      <c r="F49" s="15" t="n">
        <f aca="false">IF(HYPOTHESES!$C$62=0,0,$D49*HYPOTHESES!D$62/HYPOTHESES!$C$62)</f>
        <v>84176186.4418882</v>
      </c>
      <c r="G49" s="18" t="n">
        <v>0</v>
      </c>
      <c r="H49" s="15" t="n">
        <f aca="false">IF(HYPOTHESES!$C$62=0,0,$D49*HYPOTHESES!E$62/HYPOTHESES!$C$62)</f>
        <v>88384995.7639826</v>
      </c>
      <c r="I49" s="18" t="n">
        <v>0</v>
      </c>
      <c r="J49" s="15" t="n">
        <f aca="false">IF(HYPOTHESES!$C$62=0,0,$D49*HYPOTHESES!F$62/HYPOTHESES!$C$62)</f>
        <v>92804245.5521817</v>
      </c>
      <c r="K49" s="18" t="n">
        <v>0</v>
      </c>
      <c r="L49" s="15" t="n">
        <f aca="false">IF(HYPOTHESES!$C$62=0,0,$D49*HYPOTHESES!G$62/HYPOTHESES!$C$62)</f>
        <v>97444457.8297908</v>
      </c>
      <c r="M49" s="18" t="n">
        <v>0</v>
      </c>
      <c r="N49" s="15" t="n">
        <f aca="false">IF(HYPOTHESES!$C$62=0,0,$D49*HYPOTHESES!H$62/HYPOTHESES!$C$62)</f>
        <v>102316680.72128</v>
      </c>
      <c r="O49" s="18" t="n">
        <v>0</v>
      </c>
    </row>
    <row r="50" customFormat="false" ht="15" hidden="false" customHeight="false" outlineLevel="0" collapsed="false">
      <c r="A50" s="32" t="n">
        <v>605800</v>
      </c>
      <c r="B50" s="12" t="s">
        <v>210</v>
      </c>
      <c r="C50" s="13" t="s">
        <v>203</v>
      </c>
      <c r="D50" s="33" t="n">
        <v>120240486</v>
      </c>
      <c r="E50" s="33" t="n">
        <v>0</v>
      </c>
      <c r="F50" s="15" t="n">
        <f aca="false">IF(HYPOTHESES!$C$62=0,0,$D50*HYPOTHESES!D$62/HYPOTHESES!$C$62)</f>
        <v>126264279.662832</v>
      </c>
      <c r="G50" s="18" t="n">
        <v>0</v>
      </c>
      <c r="H50" s="15" t="n">
        <f aca="false">IF(HYPOTHESES!$C$62=0,0,$D50*HYPOTHESES!E$62/HYPOTHESES!$C$62)</f>
        <v>132577493.645974</v>
      </c>
      <c r="I50" s="18" t="n">
        <v>0</v>
      </c>
      <c r="J50" s="15" t="n">
        <f aca="false">IF(HYPOTHESES!$C$62=0,0,$D50*HYPOTHESES!F$62/HYPOTHESES!$C$62)</f>
        <v>139206368.328273</v>
      </c>
      <c r="K50" s="18" t="n">
        <v>0</v>
      </c>
      <c r="L50" s="15" t="n">
        <f aca="false">IF(HYPOTHESES!$C$62=0,0,$D50*HYPOTHESES!G$62/HYPOTHESES!$C$62)</f>
        <v>146166686.744686</v>
      </c>
      <c r="M50" s="18" t="n">
        <v>0</v>
      </c>
      <c r="N50" s="15" t="n">
        <f aca="false">IF(HYPOTHESES!$C$62=0,0,$D50*HYPOTHESES!H$62/HYPOTHESES!$C$62)</f>
        <v>153475021.08192</v>
      </c>
      <c r="O50" s="18" t="n">
        <v>0</v>
      </c>
    </row>
    <row r="51" customFormat="false" ht="15" hidden="false" customHeight="false" outlineLevel="0" collapsed="false">
      <c r="A51" s="32" t="n">
        <v>616000</v>
      </c>
      <c r="B51" s="12" t="s">
        <v>211</v>
      </c>
      <c r="C51" s="13" t="s">
        <v>212</v>
      </c>
      <c r="D51" s="33" t="n">
        <v>93905</v>
      </c>
      <c r="E51" s="33" t="n">
        <v>0</v>
      </c>
      <c r="F51" s="15" t="n">
        <f aca="false">IF(HYPOTHESES!$C$63=0,0,$D51*HYPOTHESES!D$63/HYPOTHESES!$C$63)</f>
        <v>97708.3833639447</v>
      </c>
      <c r="G51" s="18" t="n">
        <v>0</v>
      </c>
      <c r="H51" s="15" t="n">
        <f aca="false">IF(HYPOTHESES!$C$63=0,0,$D51*HYPOTHESES!E$63/HYPOTHESES!$C$63)</f>
        <v>102593.802532142</v>
      </c>
      <c r="I51" s="18" t="n">
        <v>0</v>
      </c>
      <c r="J51" s="15" t="n">
        <f aca="false">IF(HYPOTHESES!$C$63=0,0,$D51*HYPOTHESES!F$63/HYPOTHESES!$C$63)</f>
        <v>107723.492658749</v>
      </c>
      <c r="K51" s="18" t="n">
        <v>0</v>
      </c>
      <c r="L51" s="15" t="n">
        <f aca="false">IF(HYPOTHESES!$C$63=0,0,$D51*HYPOTHESES!G$63/HYPOTHESES!$C$63)</f>
        <v>113109.667291686</v>
      </c>
      <c r="M51" s="18" t="n">
        <v>0</v>
      </c>
      <c r="N51" s="15" t="n">
        <f aca="false">IF(HYPOTHESES!$C$63=0,0,$D51*HYPOTHESES!H$63/HYPOTHESES!$C$63)</f>
        <v>118765.150656271</v>
      </c>
      <c r="O51" s="18" t="n">
        <v>0</v>
      </c>
    </row>
    <row r="52" customFormat="false" ht="15" hidden="false" customHeight="false" outlineLevel="0" collapsed="false">
      <c r="A52" s="32" t="n">
        <v>618200</v>
      </c>
      <c r="B52" s="12" t="s">
        <v>213</v>
      </c>
      <c r="C52" s="13" t="s">
        <v>212</v>
      </c>
      <c r="D52" s="33" t="n">
        <v>1566944</v>
      </c>
      <c r="E52" s="33" t="n">
        <v>0</v>
      </c>
      <c r="F52" s="15" t="n">
        <f aca="false">IF(HYPOTHESES!$C$63=0,0,$D52*HYPOTHESES!D$63/HYPOTHESES!$C$63)</f>
        <v>1630409.08430683</v>
      </c>
      <c r="G52" s="18" t="n">
        <v>0</v>
      </c>
      <c r="H52" s="15" t="n">
        <f aca="false">IF(HYPOTHESES!$C$63=0,0,$D52*HYPOTHESES!E$63/HYPOTHESES!$C$63)</f>
        <v>1711929.53852217</v>
      </c>
      <c r="I52" s="18" t="n">
        <v>0</v>
      </c>
      <c r="J52" s="15" t="n">
        <f aca="false">IF(HYPOTHESES!$C$63=0,0,$D52*HYPOTHESES!F$63/HYPOTHESES!$C$63)</f>
        <v>1797526.01544828</v>
      </c>
      <c r="K52" s="18" t="n">
        <v>0</v>
      </c>
      <c r="L52" s="15" t="n">
        <f aca="false">IF(HYPOTHESES!$C$63=0,0,$D52*HYPOTHESES!G$63/HYPOTHESES!$C$63)</f>
        <v>1887402.31622069</v>
      </c>
      <c r="M52" s="18" t="n">
        <v>0</v>
      </c>
      <c r="N52" s="15" t="n">
        <f aca="false">IF(HYPOTHESES!$C$63=0,0,$D52*HYPOTHESES!H$63/HYPOTHESES!$C$63)</f>
        <v>1981772.43203173</v>
      </c>
      <c r="O52" s="18" t="n">
        <v>0</v>
      </c>
    </row>
    <row r="53" customFormat="false" ht="15" hidden="false" customHeight="false" outlineLevel="0" collapsed="false">
      <c r="A53" s="32" t="n">
        <v>618300</v>
      </c>
      <c r="B53" s="12" t="s">
        <v>214</v>
      </c>
      <c r="C53" s="13" t="s">
        <v>212</v>
      </c>
      <c r="D53" s="33" t="n">
        <v>2159249</v>
      </c>
      <c r="E53" s="33" t="n">
        <v>0</v>
      </c>
      <c r="F53" s="15" t="n">
        <f aca="false">IF(HYPOTHESES!$C$63=0,0,$D53*HYPOTHESES!D$63/HYPOTHESES!$C$63)</f>
        <v>2246703.89297923</v>
      </c>
      <c r="G53" s="18" t="n">
        <v>0</v>
      </c>
      <c r="H53" s="15" t="n">
        <f aca="false">IF(HYPOTHESES!$C$63=0,0,$D53*HYPOTHESES!E$63/HYPOTHESES!$C$63)</f>
        <v>2359039.08762819</v>
      </c>
      <c r="I53" s="18" t="n">
        <v>0</v>
      </c>
      <c r="J53" s="15" t="n">
        <f aca="false">IF(HYPOTHESES!$C$63=0,0,$D53*HYPOTHESES!F$63/HYPOTHESES!$C$63)</f>
        <v>2476991.0420096</v>
      </c>
      <c r="K53" s="18" t="n">
        <v>0</v>
      </c>
      <c r="L53" s="15" t="n">
        <f aca="false">IF(HYPOTHESES!$C$63=0,0,$D53*HYPOTHESES!G$63/HYPOTHESES!$C$63)</f>
        <v>2600840.59411008</v>
      </c>
      <c r="M53" s="18" t="n">
        <v>0</v>
      </c>
      <c r="N53" s="15" t="n">
        <f aca="false">IF(HYPOTHESES!$C$63=0,0,$D53*HYPOTHESES!H$63/HYPOTHESES!$C$63)</f>
        <v>2730882.62381558</v>
      </c>
      <c r="O53" s="18" t="n">
        <v>0</v>
      </c>
    </row>
    <row r="54" customFormat="false" ht="15" hidden="false" customHeight="false" outlineLevel="0" collapsed="false">
      <c r="A54" s="32" t="n">
        <v>622200</v>
      </c>
      <c r="B54" s="12" t="s">
        <v>215</v>
      </c>
      <c r="C54" s="13" t="s">
        <v>216</v>
      </c>
      <c r="D54" s="33" t="n">
        <v>16635091</v>
      </c>
      <c r="E54" s="33" t="n">
        <v>0</v>
      </c>
      <c r="F54" s="15" t="n">
        <f aca="false">IF(HYPOTHESES!$C$64=0,0,$D54*HYPOTHESES!D$64/HYPOTHESES!$C$64)</f>
        <v>17466401.0059651</v>
      </c>
      <c r="G54" s="18" t="n">
        <v>0</v>
      </c>
      <c r="H54" s="15" t="n">
        <f aca="false">IF(HYPOTHESES!$C$64=0,0,$D54*HYPOTHESES!E$64/HYPOTHESES!$C$64)</f>
        <v>18339721.0562634</v>
      </c>
      <c r="I54" s="18" t="n">
        <v>0</v>
      </c>
      <c r="J54" s="15" t="n">
        <f aca="false">IF(HYPOTHESES!$C$64=0,0,$D54*HYPOTHESES!F$64/HYPOTHESES!$C$64)</f>
        <v>19256707.1090766</v>
      </c>
      <c r="K54" s="18" t="n">
        <v>0</v>
      </c>
      <c r="L54" s="15" t="n">
        <f aca="false">IF(HYPOTHESES!$C$64=0,0,$D54*HYPOTHESES!G$64/HYPOTHESES!$C$64)</f>
        <v>20219542.4645304</v>
      </c>
      <c r="M54" s="18" t="n">
        <v>0</v>
      </c>
      <c r="N54" s="15" t="n">
        <f aca="false">IF(HYPOTHESES!$C$64=0,0,$D54*HYPOTHESES!H$64/HYPOTHESES!$C$64)</f>
        <v>21230519.5877569</v>
      </c>
      <c r="O54" s="18" t="n">
        <v>0</v>
      </c>
    </row>
    <row r="55" customFormat="false" ht="15" hidden="false" customHeight="false" outlineLevel="0" collapsed="false">
      <c r="A55" s="32" t="n">
        <v>624200</v>
      </c>
      <c r="B55" s="12" t="s">
        <v>217</v>
      </c>
      <c r="C55" s="13" t="s">
        <v>216</v>
      </c>
      <c r="D55" s="33" t="n">
        <v>34203480</v>
      </c>
      <c r="E55" s="33" t="n">
        <v>0</v>
      </c>
      <c r="F55" s="15" t="n">
        <f aca="false">IF(HYPOTHESES!$C$64=0,0,$D55*HYPOTHESES!D$64/HYPOTHESES!$C$64)</f>
        <v>35912739.9711555</v>
      </c>
      <c r="G55" s="18" t="n">
        <v>0</v>
      </c>
      <c r="H55" s="15" t="n">
        <f aca="false">IF(HYPOTHESES!$C$64=0,0,$D55*HYPOTHESES!E$64/HYPOTHESES!$C$64)</f>
        <v>37708376.9697132</v>
      </c>
      <c r="I55" s="18" t="n">
        <v>0</v>
      </c>
      <c r="J55" s="15" t="n">
        <f aca="false">IF(HYPOTHESES!$C$64=0,0,$D55*HYPOTHESES!F$64/HYPOTHESES!$C$64)</f>
        <v>39593795.8181989</v>
      </c>
      <c r="K55" s="18" t="n">
        <v>0</v>
      </c>
      <c r="L55" s="15" t="n">
        <f aca="false">IF(HYPOTHESES!$C$64=0,0,$D55*HYPOTHESES!G$64/HYPOTHESES!$C$64)</f>
        <v>41573485.6091088</v>
      </c>
      <c r="M55" s="18" t="n">
        <v>0</v>
      </c>
      <c r="N55" s="15" t="n">
        <f aca="false">IF(HYPOTHESES!$C$64=0,0,$D55*HYPOTHESES!H$64/HYPOTHESES!$C$64)</f>
        <v>43652159.8895643</v>
      </c>
      <c r="O55" s="18" t="n">
        <v>0</v>
      </c>
    </row>
    <row r="56" customFormat="false" ht="15" hidden="false" customHeight="false" outlineLevel="0" collapsed="false">
      <c r="A56" s="32" t="n">
        <v>625800</v>
      </c>
      <c r="B56" s="12" t="s">
        <v>218</v>
      </c>
      <c r="C56" s="13" t="s">
        <v>216</v>
      </c>
      <c r="D56" s="33" t="n">
        <v>4589652</v>
      </c>
      <c r="E56" s="33" t="n">
        <v>0</v>
      </c>
      <c r="F56" s="15" t="n">
        <f aca="false">IF(HYPOTHESES!$C$64=0,0,$D56*HYPOTHESES!D$64/HYPOTHESES!$C$64)</f>
        <v>4819011.94948858</v>
      </c>
      <c r="G56" s="18" t="n">
        <v>0</v>
      </c>
      <c r="H56" s="15" t="n">
        <f aca="false">IF(HYPOTHESES!$C$64=0,0,$D56*HYPOTHESES!E$64/HYPOTHESES!$C$64)</f>
        <v>5059962.54696301</v>
      </c>
      <c r="I56" s="18" t="n">
        <v>0</v>
      </c>
      <c r="J56" s="15" t="n">
        <f aca="false">IF(HYPOTHESES!$C$64=0,0,$D56*HYPOTHESES!F$64/HYPOTHESES!$C$64)</f>
        <v>5312960.67431116</v>
      </c>
      <c r="K56" s="18" t="n">
        <v>0</v>
      </c>
      <c r="L56" s="15" t="n">
        <f aca="false">IF(HYPOTHESES!$C$64=0,0,$D56*HYPOTHESES!G$64/HYPOTHESES!$C$64)</f>
        <v>5578608.70802672</v>
      </c>
      <c r="M56" s="18" t="n">
        <v>0</v>
      </c>
      <c r="N56" s="15" t="n">
        <f aca="false">IF(HYPOTHESES!$C$64=0,0,$D56*HYPOTHESES!H$64/HYPOTHESES!$C$64)</f>
        <v>5857539.14342805</v>
      </c>
      <c r="O56" s="18" t="n">
        <v>0</v>
      </c>
    </row>
    <row r="57" customFormat="false" ht="15" hidden="false" customHeight="false" outlineLevel="0" collapsed="false">
      <c r="A57" s="32" t="n">
        <v>626600</v>
      </c>
      <c r="B57" s="12" t="s">
        <v>219</v>
      </c>
      <c r="C57" s="13" t="s">
        <v>216</v>
      </c>
      <c r="D57" s="33" t="n">
        <v>32000</v>
      </c>
      <c r="E57" s="33" t="n">
        <v>0</v>
      </c>
      <c r="F57" s="15" t="n">
        <f aca="false">IF(HYPOTHESES!$C$64=0,0,$D57*HYPOTHESES!D$64/HYPOTHESES!$C$64)</f>
        <v>33599.1448553473</v>
      </c>
      <c r="G57" s="18" t="n">
        <v>0</v>
      </c>
      <c r="H57" s="15" t="n">
        <f aca="false">IF(HYPOTHESES!$C$64=0,0,$D57*HYPOTHESES!E$64/HYPOTHESES!$C$64)</f>
        <v>35279.1020981147</v>
      </c>
      <c r="I57" s="18" t="n">
        <v>0</v>
      </c>
      <c r="J57" s="15" t="n">
        <f aca="false">IF(HYPOTHESES!$C$64=0,0,$D57*HYPOTHESES!F$64/HYPOTHESES!$C$64)</f>
        <v>37043.0572030204</v>
      </c>
      <c r="K57" s="18" t="n">
        <v>0</v>
      </c>
      <c r="L57" s="15" t="n">
        <f aca="false">IF(HYPOTHESES!$C$64=0,0,$D57*HYPOTHESES!G$64/HYPOTHESES!$C$64)</f>
        <v>38895.2100631714</v>
      </c>
      <c r="M57" s="18" t="n">
        <v>0</v>
      </c>
      <c r="N57" s="15" t="n">
        <f aca="false">IF(HYPOTHESES!$C$64=0,0,$D57*HYPOTHESES!H$64/HYPOTHESES!$C$64)</f>
        <v>40839.97056633</v>
      </c>
      <c r="O57" s="18" t="n">
        <v>0</v>
      </c>
    </row>
    <row r="58" customFormat="false" ht="15" hidden="false" customHeight="false" outlineLevel="0" collapsed="false">
      <c r="A58" s="32" t="n">
        <v>627700</v>
      </c>
      <c r="B58" s="12" t="s">
        <v>220</v>
      </c>
      <c r="C58" s="13" t="s">
        <v>216</v>
      </c>
      <c r="D58" s="33" t="n">
        <v>58500</v>
      </c>
      <c r="E58" s="33" t="n">
        <v>0</v>
      </c>
      <c r="F58" s="15" t="n">
        <f aca="false">IF(HYPOTHESES!$C$64=0,0,$D58*HYPOTHESES!D$64/HYPOTHESES!$C$64)</f>
        <v>61423.4366886818</v>
      </c>
      <c r="G58" s="18" t="n">
        <v>0</v>
      </c>
      <c r="H58" s="15" t="n">
        <f aca="false">IF(HYPOTHESES!$C$64=0,0,$D58*HYPOTHESES!E$64/HYPOTHESES!$C$64)</f>
        <v>64494.6085231159</v>
      </c>
      <c r="I58" s="18" t="n">
        <v>0</v>
      </c>
      <c r="J58" s="15" t="n">
        <f aca="false">IF(HYPOTHESES!$C$64=0,0,$D58*HYPOTHESES!F$64/HYPOTHESES!$C$64)</f>
        <v>67719.3389492717</v>
      </c>
      <c r="K58" s="18" t="n">
        <v>0</v>
      </c>
      <c r="L58" s="15" t="n">
        <f aca="false">IF(HYPOTHESES!$C$64=0,0,$D58*HYPOTHESES!G$64/HYPOTHESES!$C$64)</f>
        <v>71105.3058967353</v>
      </c>
      <c r="M58" s="18" t="n">
        <v>0</v>
      </c>
      <c r="N58" s="15" t="n">
        <f aca="false">IF(HYPOTHESES!$C$64=0,0,$D58*HYPOTHESES!H$64/HYPOTHESES!$C$64)</f>
        <v>74660.5711915721</v>
      </c>
      <c r="O58" s="18" t="n">
        <v>0</v>
      </c>
    </row>
    <row r="59" customFormat="false" ht="15" hidden="false" customHeight="false" outlineLevel="0" collapsed="false">
      <c r="A59" s="32" t="n">
        <v>628800</v>
      </c>
      <c r="B59" s="12" t="s">
        <v>221</v>
      </c>
      <c r="C59" s="13" t="s">
        <v>216</v>
      </c>
      <c r="D59" s="33" t="n">
        <v>794044</v>
      </c>
      <c r="E59" s="33" t="n">
        <v>0</v>
      </c>
      <c r="F59" s="15" t="n">
        <f aca="false">IF(HYPOTHESES!$C$64=0,0,$D59*HYPOTHESES!D$64/HYPOTHESES!$C$64)</f>
        <v>833724.980547481</v>
      </c>
      <c r="G59" s="18" t="n">
        <v>0</v>
      </c>
      <c r="H59" s="15" t="n">
        <f aca="false">IF(HYPOTHESES!$C$64=0,0,$D59*HYPOTHESES!E$64/HYPOTHESES!$C$64)</f>
        <v>875411.229574855</v>
      </c>
      <c r="I59" s="18" t="n">
        <v>0</v>
      </c>
      <c r="J59" s="15" t="n">
        <f aca="false">IF(HYPOTHESES!$C$64=0,0,$D59*HYPOTHESES!F$64/HYPOTHESES!$C$64)</f>
        <v>919181.791053598</v>
      </c>
      <c r="K59" s="18" t="n">
        <v>0</v>
      </c>
      <c r="L59" s="15" t="n">
        <f aca="false">IF(HYPOTHESES!$C$64=0,0,$D59*HYPOTHESES!G$64/HYPOTHESES!$C$64)</f>
        <v>965140.880606278</v>
      </c>
      <c r="M59" s="18" t="n">
        <v>0</v>
      </c>
      <c r="N59" s="15" t="n">
        <f aca="false">IF(HYPOTHESES!$C$64=0,0,$D59*HYPOTHESES!H$64/HYPOTHESES!$C$64)</f>
        <v>1013397.92463659</v>
      </c>
      <c r="O59" s="18" t="n">
        <v>0</v>
      </c>
    </row>
    <row r="60" customFormat="false" ht="15" hidden="false" customHeight="false" outlineLevel="0" collapsed="false">
      <c r="A60" s="32" t="n">
        <v>631800</v>
      </c>
      <c r="B60" s="12" t="s">
        <v>222</v>
      </c>
      <c r="C60" s="13" t="s">
        <v>216</v>
      </c>
      <c r="D60" s="33" t="n">
        <v>22590164</v>
      </c>
      <c r="E60" s="33" t="n">
        <v>0</v>
      </c>
      <c r="F60" s="15" t="n">
        <f aca="false">IF(HYPOTHESES!$C$64=0,0,$D60*HYPOTHESES!D$64/HYPOTHESES!$C$64)</f>
        <v>23719068.5169391</v>
      </c>
      <c r="G60" s="18" t="n">
        <v>0</v>
      </c>
      <c r="H60" s="15" t="n">
        <f aca="false">IF(HYPOTHESES!$C$64=0,0,$D60*HYPOTHESES!E$64/HYPOTHESES!$C$64)</f>
        <v>24905021.9427861</v>
      </c>
      <c r="I60" s="18" t="n">
        <v>0</v>
      </c>
      <c r="J60" s="15" t="n">
        <f aca="false">IF(HYPOTHESES!$C$64=0,0,$D60*HYPOTHESES!F$64/HYPOTHESES!$C$64)</f>
        <v>26150273.0399254</v>
      </c>
      <c r="K60" s="18" t="n">
        <v>0</v>
      </c>
      <c r="L60" s="15" t="n">
        <f aca="false">IF(HYPOTHESES!$C$64=0,0,$D60*HYPOTHESES!G$64/HYPOTHESES!$C$64)</f>
        <v>27457786.6919217</v>
      </c>
      <c r="M60" s="18" t="n">
        <v>0</v>
      </c>
      <c r="N60" s="15" t="n">
        <f aca="false">IF(HYPOTHESES!$C$64=0,0,$D60*HYPOTHESES!H$64/HYPOTHESES!$C$64)</f>
        <v>28830676.0265177</v>
      </c>
      <c r="O60" s="18" t="n">
        <v>0</v>
      </c>
    </row>
    <row r="61" customFormat="false" ht="15" hidden="false" customHeight="false" outlineLevel="0" collapsed="false">
      <c r="A61" s="32" t="n">
        <v>632800</v>
      </c>
      <c r="B61" s="12" t="s">
        <v>223</v>
      </c>
      <c r="C61" s="13" t="s">
        <v>216</v>
      </c>
      <c r="D61" s="33" t="n">
        <v>4753040</v>
      </c>
      <c r="E61" s="33" t="n">
        <v>0</v>
      </c>
      <c r="F61" s="15" t="n">
        <f aca="false">IF(HYPOTHESES!$C$64=0,0,$D61*HYPOTHESES!D$64/HYPOTHESES!$C$64)</f>
        <v>4990564.98322687</v>
      </c>
      <c r="G61" s="18" t="n">
        <v>0</v>
      </c>
      <c r="H61" s="15" t="n">
        <f aca="false">IF(HYPOTHESES!$C$64=0,0,$D61*HYPOTHESES!E$64/HYPOTHESES!$C$64)</f>
        <v>5240093.23238822</v>
      </c>
      <c r="I61" s="18" t="n">
        <v>0</v>
      </c>
      <c r="J61" s="15" t="n">
        <f aca="false">IF(HYPOTHESES!$C$64=0,0,$D61*HYPOTHESES!F$64/HYPOTHESES!$C$64)</f>
        <v>5502097.89400763</v>
      </c>
      <c r="K61" s="18" t="n">
        <v>0</v>
      </c>
      <c r="L61" s="15" t="n">
        <f aca="false">IF(HYPOTHESES!$C$64=0,0,$D61*HYPOTHESES!G$64/HYPOTHESES!$C$64)</f>
        <v>5777202.78870801</v>
      </c>
      <c r="M61" s="18" t="n">
        <v>0</v>
      </c>
      <c r="N61" s="15" t="n">
        <f aca="false">IF(HYPOTHESES!$C$64=0,0,$D61*HYPOTHESES!H$64/HYPOTHESES!$C$64)</f>
        <v>6066062.92814341</v>
      </c>
      <c r="O61" s="18" t="n">
        <v>0</v>
      </c>
    </row>
    <row r="62" customFormat="false" ht="15" hidden="false" customHeight="false" outlineLevel="0" collapsed="false">
      <c r="A62" s="32" t="n">
        <v>638800</v>
      </c>
      <c r="B62" s="12" t="s">
        <v>224</v>
      </c>
      <c r="C62" s="13" t="s">
        <v>216</v>
      </c>
      <c r="D62" s="33" t="n">
        <v>23113112</v>
      </c>
      <c r="E62" s="33" t="n">
        <v>0</v>
      </c>
      <c r="F62" s="15" t="n">
        <f aca="false">IF(HYPOTHESES!$C$64=0,0,$D62*HYPOTHESES!D$64/HYPOTHESES!$C$64)</f>
        <v>24268149.9420583</v>
      </c>
      <c r="G62" s="18" t="n">
        <v>0</v>
      </c>
      <c r="H62" s="15" t="n">
        <f aca="false">IF(HYPOTHESES!$C$64=0,0,$D62*HYPOTHESES!E$64/HYPOTHESES!$C$64)</f>
        <v>25481557.4391612</v>
      </c>
      <c r="I62" s="18" t="n">
        <v>0</v>
      </c>
      <c r="J62" s="15" t="n">
        <f aca="false">IF(HYPOTHESES!$C$64=0,0,$D62*HYPOTHESES!F$64/HYPOTHESES!$C$64)</f>
        <v>26755635.3111193</v>
      </c>
      <c r="K62" s="18" t="n">
        <v>0</v>
      </c>
      <c r="L62" s="15" t="n">
        <f aca="false">IF(HYPOTHESES!$C$64=0,0,$D62*HYPOTHESES!G$64/HYPOTHESES!$C$64)</f>
        <v>28093417.0766753</v>
      </c>
      <c r="M62" s="18" t="n">
        <v>0</v>
      </c>
      <c r="N62" s="15" t="n">
        <f aca="false">IF(HYPOTHESES!$C$64=0,0,$D62*HYPOTHESES!H$64/HYPOTHESES!$C$64)</f>
        <v>29498087.930509</v>
      </c>
      <c r="O62" s="18" t="n">
        <v>0</v>
      </c>
    </row>
    <row r="63" customFormat="false" ht="15" hidden="false" customHeight="false" outlineLevel="0" collapsed="false">
      <c r="A63" s="32" t="n">
        <v>641100</v>
      </c>
      <c r="B63" s="12" t="s">
        <v>225</v>
      </c>
      <c r="C63" s="13" t="s">
        <v>226</v>
      </c>
      <c r="D63" s="33" t="n">
        <v>360000</v>
      </c>
      <c r="E63" s="33" t="n">
        <v>0</v>
      </c>
      <c r="F63" s="15" t="n">
        <f aca="false">IF(HYPOTHESES!$C$65=0,0,$D63*HYPOTHESES!D$65/HYPOTHESES!$C$65)</f>
        <v>377799.071738109</v>
      </c>
      <c r="G63" s="18" t="n">
        <v>0</v>
      </c>
      <c r="H63" s="15" t="n">
        <f aca="false">IF(HYPOTHESES!$C$65=0,0,$D63*HYPOTHESES!E$65/HYPOTHESES!$C$65)</f>
        <v>396689.025325014</v>
      </c>
      <c r="I63" s="18" t="n">
        <v>0</v>
      </c>
      <c r="J63" s="15" t="n">
        <f aca="false">IF(HYPOTHESES!$C$65=0,0,$D63*HYPOTHESES!F$65/HYPOTHESES!$C$65)</f>
        <v>416523.476591265</v>
      </c>
      <c r="K63" s="18" t="n">
        <v>0</v>
      </c>
      <c r="L63" s="15" t="n">
        <f aca="false">IF(HYPOTHESES!$C$65=0,0,$D63*HYPOTHESES!G$65/HYPOTHESES!$C$65)</f>
        <v>437349.650420828</v>
      </c>
      <c r="M63" s="18" t="n">
        <v>0</v>
      </c>
      <c r="N63" s="15" t="n">
        <f aca="false">IF(HYPOTHESES!$C$65=0,0,$D63*HYPOTHESES!H$65/HYPOTHESES!$C$65)</f>
        <v>459217.132941869</v>
      </c>
      <c r="O63" s="18" t="n">
        <v>0</v>
      </c>
    </row>
    <row r="64" customFormat="false" ht="15" hidden="false" customHeight="false" outlineLevel="0" collapsed="false">
      <c r="A64" s="32" t="n">
        <v>641201</v>
      </c>
      <c r="B64" s="12" t="s">
        <v>227</v>
      </c>
      <c r="C64" s="13" t="s">
        <v>226</v>
      </c>
      <c r="D64" s="33" t="n">
        <v>9055133</v>
      </c>
      <c r="E64" s="33" t="n">
        <v>0</v>
      </c>
      <c r="F64" s="15" t="n">
        <f aca="false">IF(HYPOTHESES!$C$65=0,0,$D64*HYPOTHESES!D$65/HYPOTHESES!$C$65)</f>
        <v>9502835.67184754</v>
      </c>
      <c r="G64" s="18" t="n">
        <v>0</v>
      </c>
      <c r="H64" s="15" t="n">
        <f aca="false">IF(HYPOTHESES!$C$65=0,0,$D64*HYPOTHESES!E$65/HYPOTHESES!$C$65)</f>
        <v>9977977.45543992</v>
      </c>
      <c r="I64" s="18" t="n">
        <v>0</v>
      </c>
      <c r="J64" s="15" t="n">
        <f aca="false">IF(HYPOTHESES!$C$65=0,0,$D64*HYPOTHESES!F$65/HYPOTHESES!$C$65)</f>
        <v>10476876.3282119</v>
      </c>
      <c r="K64" s="18" t="n">
        <v>0</v>
      </c>
      <c r="L64" s="15" t="n">
        <f aca="false">IF(HYPOTHESES!$C$65=0,0,$D64*HYPOTHESES!G$65/HYPOTHESES!$C$65)</f>
        <v>11000720.1446225</v>
      </c>
      <c r="M64" s="18" t="n">
        <v>0</v>
      </c>
      <c r="N64" s="15" t="n">
        <f aca="false">IF(HYPOTHESES!$C$65=0,0,$D64*HYPOTHESES!H$65/HYPOTHESES!$C$65)</f>
        <v>11550756.1518536</v>
      </c>
      <c r="O64" s="18" t="n">
        <v>0</v>
      </c>
    </row>
    <row r="65" customFormat="false" ht="15" hidden="false" customHeight="false" outlineLevel="0" collapsed="false">
      <c r="A65" s="32" t="n">
        <v>641202</v>
      </c>
      <c r="B65" s="12" t="s">
        <v>228</v>
      </c>
      <c r="C65" s="13" t="s">
        <v>226</v>
      </c>
      <c r="D65" s="33" t="n">
        <v>1548695</v>
      </c>
      <c r="E65" s="33" t="n">
        <v>0</v>
      </c>
      <c r="F65" s="15" t="n">
        <f aca="false">IF(HYPOTHESES!$C$65=0,0,$D65*HYPOTHESES!D$65/HYPOTHESES!$C$65)</f>
        <v>1625265.37057069</v>
      </c>
      <c r="G65" s="18" t="n">
        <v>0</v>
      </c>
      <c r="H65" s="15" t="n">
        <f aca="false">IF(HYPOTHESES!$C$65=0,0,$D65*HYPOTHESES!E$65/HYPOTHESES!$C$65)</f>
        <v>1706528.63909923</v>
      </c>
      <c r="I65" s="18" t="n">
        <v>0</v>
      </c>
      <c r="J65" s="15" t="n">
        <f aca="false">IF(HYPOTHESES!$C$65=0,0,$D65*HYPOTHESES!F$65/HYPOTHESES!$C$65)</f>
        <v>1791855.07105419</v>
      </c>
      <c r="K65" s="18" t="n">
        <v>0</v>
      </c>
      <c r="L65" s="15" t="n">
        <f aca="false">IF(HYPOTHESES!$C$65=0,0,$D65*HYPOTHESES!G$65/HYPOTHESES!$C$65)</f>
        <v>1881447.8246069</v>
      </c>
      <c r="M65" s="18" t="n">
        <v>0</v>
      </c>
      <c r="N65" s="15" t="n">
        <f aca="false">IF(HYPOTHESES!$C$65=0,0,$D65*HYPOTHESES!H$65/HYPOTHESES!$C$65)</f>
        <v>1975520.21583724</v>
      </c>
      <c r="O65" s="18" t="n">
        <v>0</v>
      </c>
    </row>
    <row r="66" customFormat="false" ht="15" hidden="false" customHeight="false" outlineLevel="0" collapsed="false">
      <c r="A66" s="32" t="n">
        <v>641300</v>
      </c>
      <c r="B66" s="12" t="s">
        <v>229</v>
      </c>
      <c r="C66" s="13" t="s">
        <v>226</v>
      </c>
      <c r="D66" s="33" t="n">
        <v>826575</v>
      </c>
      <c r="E66" s="33" t="n">
        <v>0</v>
      </c>
      <c r="F66" s="15" t="n">
        <f aca="false">IF(HYPOTHESES!$C$65=0,0,$D66*HYPOTHESES!D$65/HYPOTHESES!$C$65)</f>
        <v>867442.410338686</v>
      </c>
      <c r="G66" s="18" t="n">
        <v>0</v>
      </c>
      <c r="H66" s="15" t="n">
        <f aca="false">IF(HYPOTHESES!$C$65=0,0,$D66*HYPOTHESES!E$65/HYPOTHESES!$C$65)</f>
        <v>910814.530855621</v>
      </c>
      <c r="I66" s="18" t="n">
        <v>0</v>
      </c>
      <c r="J66" s="15" t="n">
        <f aca="false">IF(HYPOTHESES!$C$65=0,0,$D66*HYPOTHESES!F$65/HYPOTHESES!$C$65)</f>
        <v>956355.257398402</v>
      </c>
      <c r="K66" s="18" t="n">
        <v>0</v>
      </c>
      <c r="L66" s="15" t="n">
        <f aca="false">IF(HYPOTHESES!$C$65=0,0,$D66*HYPOTHESES!G$65/HYPOTHESES!$C$65)</f>
        <v>1004173.02026832</v>
      </c>
      <c r="M66" s="18" t="n">
        <v>0</v>
      </c>
      <c r="N66" s="15" t="n">
        <f aca="false">IF(HYPOTHESES!$C$65=0,0,$D66*HYPOTHESES!H$65/HYPOTHESES!$C$65)</f>
        <v>1054381.67128174</v>
      </c>
      <c r="O66" s="18" t="n">
        <v>0</v>
      </c>
    </row>
    <row r="67" customFormat="false" ht="15" hidden="false" customHeight="false" outlineLevel="0" collapsed="false">
      <c r="A67" s="32" t="n">
        <v>641400</v>
      </c>
      <c r="B67" s="12" t="s">
        <v>230</v>
      </c>
      <c r="C67" s="13" t="s">
        <v>226</v>
      </c>
      <c r="D67" s="33" t="n">
        <v>104066</v>
      </c>
      <c r="E67" s="33" t="n">
        <v>0</v>
      </c>
      <c r="F67" s="15" t="n">
        <f aca="false">IF(HYPOTHESES!$C$65=0,0,$D67*HYPOTHESES!D$65/HYPOTHESES!$C$65)</f>
        <v>109211.217220828</v>
      </c>
      <c r="G67" s="18" t="n">
        <v>0</v>
      </c>
      <c r="H67" s="15" t="n">
        <f aca="false">IF(HYPOTHESES!$C$65=0,0,$D67*HYPOTHESES!E$65/HYPOTHESES!$C$65)</f>
        <v>114671.778081869</v>
      </c>
      <c r="I67" s="18" t="n">
        <v>0</v>
      </c>
      <c r="J67" s="15" t="n">
        <f aca="false">IF(HYPOTHESES!$C$65=0,0,$D67*HYPOTHESES!F$65/HYPOTHESES!$C$65)</f>
        <v>120405.366985963</v>
      </c>
      <c r="K67" s="18" t="n">
        <v>0</v>
      </c>
      <c r="L67" s="15" t="n">
        <f aca="false">IF(HYPOTHESES!$C$65=0,0,$D67*HYPOTHESES!G$65/HYPOTHESES!$C$65)</f>
        <v>126425.635335261</v>
      </c>
      <c r="M67" s="18" t="n">
        <v>0</v>
      </c>
      <c r="N67" s="15" t="n">
        <f aca="false">IF(HYPOTHESES!$C$65=0,0,$D67*HYPOTHESES!H$65/HYPOTHESES!$C$65)</f>
        <v>132746.917102024</v>
      </c>
      <c r="O67" s="18" t="n">
        <v>0</v>
      </c>
    </row>
    <row r="68" customFormat="false" ht="15" hidden="false" customHeight="false" outlineLevel="0" collapsed="false">
      <c r="A68" s="32" t="n">
        <v>641500</v>
      </c>
      <c r="B68" s="12" t="s">
        <v>231</v>
      </c>
      <c r="C68" s="13" t="s">
        <v>226</v>
      </c>
      <c r="D68" s="33" t="n">
        <v>312211</v>
      </c>
      <c r="E68" s="33" t="n">
        <v>0</v>
      </c>
      <c r="F68" s="15" t="n">
        <f aca="false">IF(HYPOTHESES!$C$65=0,0,$D68*HYPOTHESES!D$65/HYPOTHESES!$C$65)</f>
        <v>327647.294406741</v>
      </c>
      <c r="G68" s="18" t="n">
        <v>0</v>
      </c>
      <c r="H68" s="15" t="n">
        <f aca="false">IF(HYPOTHESES!$C$65=0,0,$D68*HYPOTHESES!E$65/HYPOTHESES!$C$65)</f>
        <v>344029.659127078</v>
      </c>
      <c r="I68" s="18" t="n">
        <v>0</v>
      </c>
      <c r="J68" s="15" t="n">
        <f aca="false">IF(HYPOTHESES!$C$65=0,0,$D68*HYPOTHESES!F$65/HYPOTHESES!$C$65)</f>
        <v>361231.142083432</v>
      </c>
      <c r="K68" s="18" t="n">
        <v>0</v>
      </c>
      <c r="L68" s="15" t="n">
        <f aca="false">IF(HYPOTHESES!$C$65=0,0,$D68*HYPOTHESES!G$65/HYPOTHESES!$C$65)</f>
        <v>379292.699187603</v>
      </c>
      <c r="M68" s="18" t="n">
        <v>0</v>
      </c>
      <c r="N68" s="15" t="n">
        <f aca="false">IF(HYPOTHESES!$C$65=0,0,$D68*HYPOTHESES!H$65/HYPOTHESES!$C$65)</f>
        <v>398257.334146983</v>
      </c>
      <c r="O68" s="18" t="n">
        <v>0</v>
      </c>
    </row>
    <row r="69" customFormat="false" ht="15" hidden="false" customHeight="false" outlineLevel="0" collapsed="false">
      <c r="A69" s="32" t="n">
        <v>641830</v>
      </c>
      <c r="B69" s="12" t="s">
        <v>232</v>
      </c>
      <c r="C69" s="13" t="s">
        <v>226</v>
      </c>
      <c r="D69" s="33" t="n">
        <v>211685</v>
      </c>
      <c r="E69" s="33" t="n">
        <v>0</v>
      </c>
      <c r="F69" s="15" t="n">
        <f aca="false">IF(HYPOTHESES!$C$65=0,0,$D69*HYPOTHESES!D$65/HYPOTHESES!$C$65)</f>
        <v>222151.101391338</v>
      </c>
      <c r="G69" s="18" t="n">
        <v>0</v>
      </c>
      <c r="H69" s="15" t="n">
        <f aca="false">IF(HYPOTHESES!$C$65=0,0,$D69*HYPOTHESES!E$65/HYPOTHESES!$C$65)</f>
        <v>233258.656460904</v>
      </c>
      <c r="I69" s="18" t="n">
        <v>0</v>
      </c>
      <c r="J69" s="15" t="n">
        <f aca="false">IF(HYPOTHESES!$C$65=0,0,$D69*HYPOTHESES!F$65/HYPOTHESES!$C$65)</f>
        <v>244921.58928395</v>
      </c>
      <c r="K69" s="18" t="n">
        <v>0</v>
      </c>
      <c r="L69" s="15" t="n">
        <f aca="false">IF(HYPOTHESES!$C$65=0,0,$D69*HYPOTHESES!G$65/HYPOTHESES!$C$65)</f>
        <v>257167.668748147</v>
      </c>
      <c r="M69" s="18" t="n">
        <v>0</v>
      </c>
      <c r="N69" s="15" t="n">
        <f aca="false">IF(HYPOTHESES!$C$65=0,0,$D69*HYPOTHESES!H$65/HYPOTHESES!$C$65)</f>
        <v>270026.052185554</v>
      </c>
      <c r="O69" s="18" t="n">
        <v>0</v>
      </c>
    </row>
    <row r="70" customFormat="false" ht="15" hidden="false" customHeight="false" outlineLevel="0" collapsed="false">
      <c r="A70" s="32" t="n">
        <v>646200</v>
      </c>
      <c r="B70" s="12" t="s">
        <v>233</v>
      </c>
      <c r="C70" s="13" t="s">
        <v>226</v>
      </c>
      <c r="D70" s="33" t="n">
        <v>1725647</v>
      </c>
      <c r="E70" s="33" t="n">
        <v>0</v>
      </c>
      <c r="F70" s="15" t="n">
        <f aca="false">IF(HYPOTHESES!$C$65=0,0,$D70*HYPOTHESES!D$65/HYPOTHESES!$C$65)</f>
        <v>1810966.20763237</v>
      </c>
      <c r="G70" s="18" t="n">
        <v>0</v>
      </c>
      <c r="H70" s="15" t="n">
        <f aca="false">IF(HYPOTHESES!$C$65=0,0,$D70*HYPOTHESES!E$65/HYPOTHESES!$C$65)</f>
        <v>1901514.51801398</v>
      </c>
      <c r="I70" s="18" t="n">
        <v>0</v>
      </c>
      <c r="J70" s="15" t="n">
        <f aca="false">IF(HYPOTHESES!$C$65=0,0,$D70*HYPOTHESES!F$65/HYPOTHESES!$C$65)</f>
        <v>1996590.24391468</v>
      </c>
      <c r="K70" s="18" t="n">
        <v>0</v>
      </c>
      <c r="L70" s="15" t="n">
        <f aca="false">IF(HYPOTHESES!$C$65=0,0,$D70*HYPOTHESES!G$65/HYPOTHESES!$C$65)</f>
        <v>2096419.75611042</v>
      </c>
      <c r="M70" s="18" t="n">
        <v>0</v>
      </c>
      <c r="N70" s="15" t="n">
        <f aca="false">IF(HYPOTHESES!$C$65=0,0,$D70*HYPOTHESES!H$65/HYPOTHESES!$C$65)</f>
        <v>2201240.74391594</v>
      </c>
      <c r="O70" s="18" t="n">
        <v>0</v>
      </c>
    </row>
    <row r="71" customFormat="false" ht="15" hidden="false" customHeight="false" outlineLevel="0" collapsed="false">
      <c r="A71" s="32" t="n">
        <v>648000</v>
      </c>
      <c r="B71" s="12" t="s">
        <v>234</v>
      </c>
      <c r="C71" s="13" t="s">
        <v>226</v>
      </c>
      <c r="D71" s="33" t="n">
        <v>725658</v>
      </c>
      <c r="E71" s="33" t="n">
        <v>0</v>
      </c>
      <c r="F71" s="15" t="n">
        <f aca="false">IF(HYPOTHESES!$C$65=0,0,$D71*HYPOTHESES!D$65/HYPOTHESES!$C$65)</f>
        <v>761535.885553701</v>
      </c>
      <c r="G71" s="18" t="n">
        <v>0</v>
      </c>
      <c r="H71" s="15" t="n">
        <f aca="false">IF(HYPOTHESES!$C$65=0,0,$D71*HYPOTHESES!E$65/HYPOTHESES!$C$65)</f>
        <v>799612.679831386</v>
      </c>
      <c r="I71" s="18" t="n">
        <v>0</v>
      </c>
      <c r="J71" s="15" t="n">
        <f aca="false">IF(HYPOTHESES!$C$65=0,0,$D71*HYPOTHESES!F$65/HYPOTHESES!$C$65)</f>
        <v>839593.313822955</v>
      </c>
      <c r="K71" s="18" t="n">
        <v>0</v>
      </c>
      <c r="L71" s="15" t="n">
        <f aca="false">IF(HYPOTHESES!$C$65=0,0,$D71*HYPOTHESES!G$65/HYPOTHESES!$C$65)</f>
        <v>881572.979514103</v>
      </c>
      <c r="M71" s="18" t="n">
        <v>0</v>
      </c>
      <c r="N71" s="15" t="n">
        <f aca="false">IF(HYPOTHESES!$C$65=0,0,$D71*HYPOTHESES!H$65/HYPOTHESES!$C$65)</f>
        <v>925651.628489808</v>
      </c>
      <c r="O71" s="18" t="n">
        <v>0</v>
      </c>
    </row>
    <row r="72" customFormat="false" ht="15" hidden="false" customHeight="false" outlineLevel="0" collapsed="false">
      <c r="A72" s="32" t="n">
        <v>658800</v>
      </c>
      <c r="B72" s="12" t="s">
        <v>235</v>
      </c>
      <c r="C72" s="13" t="s">
        <v>236</v>
      </c>
      <c r="D72" s="33" t="n">
        <v>1316731</v>
      </c>
      <c r="E72" s="33" t="n">
        <v>0</v>
      </c>
      <c r="F72" s="15" t="n">
        <f aca="false">IF(HYPOTHESES!$C$66=0,0,$D72*HYPOTHESES!D$66/HYPOTHESES!$C$66)</f>
        <v>1398548.256525</v>
      </c>
      <c r="G72" s="18" t="n">
        <v>0</v>
      </c>
      <c r="H72" s="15" t="n">
        <f aca="false">IF(HYPOTHESES!$C$66=0,0,$D72*HYPOTHESES!E$66/HYPOTHESES!$C$66)</f>
        <v>1468475.66935125</v>
      </c>
      <c r="I72" s="18" t="n">
        <v>0</v>
      </c>
      <c r="J72" s="15" t="n">
        <f aca="false">IF(HYPOTHESES!$C$66=0,0,$D72*HYPOTHESES!F$66/HYPOTHESES!$C$66)</f>
        <v>1541899.45281881</v>
      </c>
      <c r="K72" s="18" t="n">
        <v>0</v>
      </c>
      <c r="L72" s="15" t="n">
        <f aca="false">IF(HYPOTHESES!$C$66=0,0,$D72*HYPOTHESES!G$66/HYPOTHESES!$C$66)</f>
        <v>1618994.42545975</v>
      </c>
      <c r="M72" s="18" t="n">
        <v>0</v>
      </c>
      <c r="N72" s="15" t="n">
        <f aca="false">IF(HYPOTHESES!$C$66=0,0,$D72*HYPOTHESES!H$66/HYPOTHESES!$C$66)</f>
        <v>1699944.14673274</v>
      </c>
      <c r="O72" s="18" t="n">
        <v>0</v>
      </c>
    </row>
    <row r="73" customFormat="false" ht="15" hidden="false" customHeight="false" outlineLevel="0" collapsed="false">
      <c r="A73" s="32" t="n">
        <v>661100</v>
      </c>
      <c r="B73" s="12" t="s">
        <v>237</v>
      </c>
      <c r="C73" s="13" t="s">
        <v>238</v>
      </c>
      <c r="D73" s="33" t="n">
        <v>58979354</v>
      </c>
      <c r="E73" s="33" t="n">
        <v>0</v>
      </c>
      <c r="F73" s="15" t="n">
        <f aca="false">IF(HYPOTHESES!$C$67=0,0,$D73*HYPOTHESES!D$67/HYPOTHESES!$C$67)</f>
        <v>61910636.2394284</v>
      </c>
      <c r="G73" s="18" t="n">
        <v>0</v>
      </c>
      <c r="H73" s="15" t="n">
        <f aca="false">IF(HYPOTHESES!$C$67=0,0,$D73*HYPOTHESES!E$67/HYPOTHESES!$C$67)</f>
        <v>65006168.0513999</v>
      </c>
      <c r="I73" s="18" t="n">
        <v>0</v>
      </c>
      <c r="J73" s="15" t="n">
        <f aca="false">IF(HYPOTHESES!$C$67=0,0,$D73*HYPOTHESES!F$67/HYPOTHESES!$C$67)</f>
        <v>68256476.4539699</v>
      </c>
      <c r="K73" s="18" t="n">
        <v>0</v>
      </c>
      <c r="L73" s="15" t="n">
        <f aca="false">IF(HYPOTHESES!$C$67=0,0,$D73*HYPOTHESES!G$67/HYPOTHESES!$C$67)</f>
        <v>71669300.2766684</v>
      </c>
      <c r="M73" s="18" t="n">
        <v>0</v>
      </c>
      <c r="N73" s="15" t="n">
        <f aca="false">IF(HYPOTHESES!$C$67=0,0,$D73*HYPOTHESES!H$67/HYPOTHESES!$C$67)</f>
        <v>75252765.2905018</v>
      </c>
      <c r="O73" s="18" t="n">
        <v>0</v>
      </c>
    </row>
    <row r="74" customFormat="false" ht="15" hidden="false" customHeight="false" outlineLevel="0" collapsed="false">
      <c r="A74" s="32" t="n">
        <v>661200</v>
      </c>
      <c r="B74" s="12" t="s">
        <v>239</v>
      </c>
      <c r="C74" s="13" t="s">
        <v>238</v>
      </c>
      <c r="D74" s="33" t="n">
        <v>19937999</v>
      </c>
      <c r="E74" s="33" t="n">
        <v>0</v>
      </c>
      <c r="F74" s="15" t="n">
        <f aca="false">IF(HYPOTHESES!$C$67=0,0,$D74*HYPOTHESES!D$67/HYPOTHESES!$C$67)</f>
        <v>20928920.3715437</v>
      </c>
      <c r="G74" s="18" t="n">
        <v>0</v>
      </c>
      <c r="H74" s="15" t="n">
        <f aca="false">IF(HYPOTHESES!$C$67=0,0,$D74*HYPOTHESES!E$67/HYPOTHESES!$C$67)</f>
        <v>21975366.3901209</v>
      </c>
      <c r="I74" s="18" t="n">
        <v>0</v>
      </c>
      <c r="J74" s="15" t="n">
        <f aca="false">IF(HYPOTHESES!$C$67=0,0,$D74*HYPOTHESES!F$67/HYPOTHESES!$C$67)</f>
        <v>23074134.7096269</v>
      </c>
      <c r="K74" s="18" t="n">
        <v>0</v>
      </c>
      <c r="L74" s="15" t="n">
        <f aca="false">IF(HYPOTHESES!$C$67=0,0,$D74*HYPOTHESES!G$67/HYPOTHESES!$C$67)</f>
        <v>24227841.4451083</v>
      </c>
      <c r="M74" s="18" t="n">
        <v>0</v>
      </c>
      <c r="N74" s="15" t="n">
        <f aca="false">IF(HYPOTHESES!$C$67=0,0,$D74*HYPOTHESES!H$67/HYPOTHESES!$C$67)</f>
        <v>25439233.5173637</v>
      </c>
      <c r="O74" s="18" t="n">
        <v>0</v>
      </c>
    </row>
    <row r="75" customFormat="false" ht="15" hidden="false" customHeight="false" outlineLevel="0" collapsed="false">
      <c r="A75" s="32" t="n">
        <v>661300</v>
      </c>
      <c r="B75" s="12" t="s">
        <v>240</v>
      </c>
      <c r="C75" s="13" t="s">
        <v>238</v>
      </c>
      <c r="D75" s="33" t="n">
        <v>6578578</v>
      </c>
      <c r="E75" s="33" t="n">
        <v>0</v>
      </c>
      <c r="F75" s="15" t="n">
        <f aca="false">IF(HYPOTHESES!$C$67=0,0,$D75*HYPOTHESES!D$67/HYPOTHESES!$C$67)</f>
        <v>6905534.25747435</v>
      </c>
      <c r="G75" s="18" t="n">
        <v>0</v>
      </c>
      <c r="H75" s="15" t="n">
        <f aca="false">IF(HYPOTHESES!$C$67=0,0,$D75*HYPOTHESES!E$67/HYPOTHESES!$C$67)</f>
        <v>7250810.97034807</v>
      </c>
      <c r="I75" s="18" t="n">
        <v>0</v>
      </c>
      <c r="J75" s="15" t="n">
        <f aca="false">IF(HYPOTHESES!$C$67=0,0,$D75*HYPOTHESES!F$67/HYPOTHESES!$C$67)</f>
        <v>7613351.51886547</v>
      </c>
      <c r="K75" s="18" t="n">
        <v>0</v>
      </c>
      <c r="L75" s="15" t="n">
        <f aca="false">IF(HYPOTHESES!$C$67=0,0,$D75*HYPOTHESES!G$67/HYPOTHESES!$C$67)</f>
        <v>7994019.09480874</v>
      </c>
      <c r="M75" s="18" t="n">
        <v>0</v>
      </c>
      <c r="N75" s="15" t="n">
        <f aca="false">IF(HYPOTHESES!$C$67=0,0,$D75*HYPOTHESES!H$67/HYPOTHESES!$C$67)</f>
        <v>8393720.04954918</v>
      </c>
      <c r="O75" s="18" t="n">
        <v>0</v>
      </c>
    </row>
    <row r="76" customFormat="false" ht="15" hidden="false" customHeight="false" outlineLevel="0" collapsed="false">
      <c r="A76" s="32" t="n">
        <v>661400</v>
      </c>
      <c r="B76" s="12" t="s">
        <v>241</v>
      </c>
      <c r="C76" s="13" t="s">
        <v>238</v>
      </c>
      <c r="D76" s="33" t="n">
        <v>6643514</v>
      </c>
      <c r="E76" s="33" t="n">
        <v>0</v>
      </c>
      <c r="F76" s="15" t="n">
        <f aca="false">IF(HYPOTHESES!$C$67=0,0,$D76*HYPOTHESES!D$67/HYPOTHESES!$C$67)</f>
        <v>6973697.58586285</v>
      </c>
      <c r="G76" s="18" t="n">
        <v>0</v>
      </c>
      <c r="H76" s="15" t="n">
        <f aca="false">IF(HYPOTHESES!$C$67=0,0,$D76*HYPOTHESES!E$67/HYPOTHESES!$C$67)</f>
        <v>7322382.46515599</v>
      </c>
      <c r="I76" s="18" t="n">
        <v>0</v>
      </c>
      <c r="J76" s="15" t="n">
        <f aca="false">IF(HYPOTHESES!$C$67=0,0,$D76*HYPOTHESES!F$67/HYPOTHESES!$C$67)</f>
        <v>7688501.58841379</v>
      </c>
      <c r="K76" s="18" t="n">
        <v>0</v>
      </c>
      <c r="L76" s="15" t="n">
        <f aca="false">IF(HYPOTHESES!$C$67=0,0,$D76*HYPOTHESES!G$67/HYPOTHESES!$C$67)</f>
        <v>8072926.66783448</v>
      </c>
      <c r="M76" s="18" t="n">
        <v>0</v>
      </c>
      <c r="N76" s="15" t="n">
        <f aca="false">IF(HYPOTHESES!$C$67=0,0,$D76*HYPOTHESES!H$67/HYPOTHESES!$C$67)</f>
        <v>8476573.0012262</v>
      </c>
      <c r="O76" s="18" t="n">
        <v>0</v>
      </c>
    </row>
    <row r="77" customFormat="false" ht="15" hidden="false" customHeight="false" outlineLevel="0" collapsed="false">
      <c r="A77" s="32" t="n">
        <v>663400</v>
      </c>
      <c r="B77" s="12" t="s">
        <v>242</v>
      </c>
      <c r="C77" s="13" t="s">
        <v>238</v>
      </c>
      <c r="D77" s="33" t="n">
        <v>6880797</v>
      </c>
      <c r="E77" s="33" t="n">
        <v>0</v>
      </c>
      <c r="F77" s="15" t="n">
        <f aca="false">IF(HYPOTHESES!$C$67=0,0,$D77*HYPOTHESES!D$67/HYPOTHESES!$C$67)</f>
        <v>7222773.58453859</v>
      </c>
      <c r="G77" s="18" t="n">
        <v>0</v>
      </c>
      <c r="H77" s="15" t="n">
        <f aca="false">IF(HYPOTHESES!$C$67=0,0,$D77*HYPOTHESES!E$67/HYPOTHESES!$C$67)</f>
        <v>7583912.26376552</v>
      </c>
      <c r="I77" s="18" t="n">
        <v>0</v>
      </c>
      <c r="J77" s="15" t="n">
        <f aca="false">IF(HYPOTHESES!$C$67=0,0,$D77*HYPOTHESES!F$67/HYPOTHESES!$C$67)</f>
        <v>7963107.8769538</v>
      </c>
      <c r="K77" s="18" t="n">
        <v>0</v>
      </c>
      <c r="L77" s="15" t="n">
        <f aca="false">IF(HYPOTHESES!$C$67=0,0,$D77*HYPOTHESES!G$67/HYPOTHESES!$C$67)</f>
        <v>8361263.27080149</v>
      </c>
      <c r="M77" s="18" t="n">
        <v>0</v>
      </c>
      <c r="N77" s="15" t="n">
        <f aca="false">IF(HYPOTHESES!$C$67=0,0,$D77*HYPOTHESES!H$67/HYPOTHESES!$C$67)</f>
        <v>8779326.43434156</v>
      </c>
      <c r="O77" s="18" t="n">
        <v>0</v>
      </c>
    </row>
    <row r="78" customFormat="false" ht="15" hidden="false" customHeight="false" outlineLevel="0" collapsed="false">
      <c r="A78" s="32" t="n">
        <v>664104</v>
      </c>
      <c r="B78" s="12" t="s">
        <v>243</v>
      </c>
      <c r="C78" s="13" t="s">
        <v>238</v>
      </c>
      <c r="D78" s="33" t="n">
        <v>7005273</v>
      </c>
      <c r="E78" s="33" t="n">
        <v>0</v>
      </c>
      <c r="F78" s="15" t="n">
        <f aca="false">IF(HYPOTHESES!$C$67=0,0,$D78*HYPOTHESES!D$67/HYPOTHESES!$C$67)</f>
        <v>7353436.05935205</v>
      </c>
      <c r="G78" s="18" t="n">
        <v>0</v>
      </c>
      <c r="H78" s="15" t="n">
        <f aca="false">IF(HYPOTHESES!$C$67=0,0,$D78*HYPOTHESES!E$67/HYPOTHESES!$C$67)</f>
        <v>7721107.86231966</v>
      </c>
      <c r="I78" s="18" t="n">
        <v>0</v>
      </c>
      <c r="J78" s="15" t="n">
        <f aca="false">IF(HYPOTHESES!$C$67=0,0,$D78*HYPOTHESES!F$67/HYPOTHESES!$C$67)</f>
        <v>8107163.25543564</v>
      </c>
      <c r="K78" s="18" t="n">
        <v>0</v>
      </c>
      <c r="L78" s="15" t="n">
        <f aca="false">IF(HYPOTHESES!$C$67=0,0,$D78*HYPOTHESES!G$67/HYPOTHESES!$C$67)</f>
        <v>8512521.41820742</v>
      </c>
      <c r="M78" s="18" t="n">
        <v>0</v>
      </c>
      <c r="N78" s="15" t="n">
        <f aca="false">IF(HYPOTHESES!$C$67=0,0,$D78*HYPOTHESES!H$67/HYPOTHESES!$C$67)</f>
        <v>8938147.48911779</v>
      </c>
      <c r="O78" s="18" t="n">
        <v>0</v>
      </c>
    </row>
    <row r="79" customFormat="false" ht="15" hidden="false" customHeight="false" outlineLevel="0" collapsed="false">
      <c r="A79" s="32" t="n">
        <v>671201</v>
      </c>
      <c r="B79" s="12" t="s">
        <v>244</v>
      </c>
      <c r="C79" s="13" t="s">
        <v>245</v>
      </c>
      <c r="D79" s="33" t="n">
        <v>4142819</v>
      </c>
      <c r="E79" s="33" t="n">
        <v>0</v>
      </c>
      <c r="F79" s="15" t="n">
        <f aca="false">HYPOTHESES!D$84</f>
        <v>3172706.56</v>
      </c>
      <c r="G79" s="18" t="n">
        <v>0</v>
      </c>
      <c r="H79" s="15" t="n">
        <f aca="false">HYPOTHESES!E$84</f>
        <v>1586353.28</v>
      </c>
      <c r="I79" s="18" t="n">
        <v>0</v>
      </c>
      <c r="J79" s="15" t="n">
        <f aca="false">HYPOTHESES!F$84</f>
        <v>0</v>
      </c>
      <c r="K79" s="18" t="n">
        <v>0</v>
      </c>
      <c r="L79" s="15" t="n">
        <f aca="false">HYPOTHESES!G$84</f>
        <v>0</v>
      </c>
      <c r="M79" s="18" t="n">
        <v>0</v>
      </c>
      <c r="N79" s="15" t="n">
        <f aca="false">HYPOTHESES!H$84</f>
        <v>0</v>
      </c>
      <c r="O79" s="18" t="n">
        <v>0</v>
      </c>
    </row>
    <row r="80" customFormat="false" ht="15" hidden="false" customHeight="false" outlineLevel="0" collapsed="false">
      <c r="A80" s="32" t="n">
        <v>672301</v>
      </c>
      <c r="B80" s="12" t="s">
        <v>246</v>
      </c>
      <c r="C80" s="13" t="s">
        <v>245</v>
      </c>
      <c r="D80" s="33" t="n">
        <v>3965478</v>
      </c>
      <c r="E80" s="33" t="n">
        <v>0</v>
      </c>
      <c r="F80" s="15" t="n">
        <f aca="false">HYPOTHESES!D$85</f>
        <v>849575.52</v>
      </c>
      <c r="G80" s="18" t="n">
        <v>0</v>
      </c>
      <c r="H80" s="15" t="n">
        <f aca="false">HYPOTHESES!E$85</f>
        <v>0</v>
      </c>
      <c r="I80" s="18" t="n">
        <v>0</v>
      </c>
      <c r="J80" s="15" t="n">
        <f aca="false">HYPOTHESES!F$85</f>
        <v>0</v>
      </c>
      <c r="K80" s="18" t="n">
        <v>0</v>
      </c>
      <c r="L80" s="15" t="n">
        <f aca="false">HYPOTHESES!G$85</f>
        <v>0</v>
      </c>
      <c r="M80" s="18" t="n">
        <v>0</v>
      </c>
      <c r="N80" s="15" t="n">
        <f aca="false">HYPOTHESES!H$85</f>
        <v>0</v>
      </c>
      <c r="O80" s="18" t="n">
        <v>0</v>
      </c>
    </row>
    <row r="81" customFormat="false" ht="15" hidden="false" customHeight="false" outlineLevel="0" collapsed="false">
      <c r="A81" s="32" t="n">
        <v>681301</v>
      </c>
      <c r="B81" s="12" t="s">
        <v>247</v>
      </c>
      <c r="C81" s="13" t="s">
        <v>248</v>
      </c>
      <c r="D81" s="33" t="n">
        <v>19282845</v>
      </c>
      <c r="E81" s="33" t="n">
        <v>0</v>
      </c>
      <c r="F81" s="15" t="n">
        <f aca="false">HYPOTHESES!D$71</f>
        <v>19282845</v>
      </c>
      <c r="G81" s="18" t="n">
        <v>0</v>
      </c>
      <c r="H81" s="15" t="n">
        <f aca="false">HYPOTHESES!E$71</f>
        <v>19282845</v>
      </c>
      <c r="I81" s="18" t="n">
        <v>0</v>
      </c>
      <c r="J81" s="15" t="n">
        <f aca="false">HYPOTHESES!F$71</f>
        <v>19282845</v>
      </c>
      <c r="K81" s="18" t="n">
        <v>0</v>
      </c>
      <c r="L81" s="15" t="n">
        <f aca="false">HYPOTHESES!G$71</f>
        <v>3816481</v>
      </c>
      <c r="M81" s="18" t="n">
        <v>0</v>
      </c>
      <c r="N81" s="15" t="n">
        <f aca="false">HYPOTHESES!H$71</f>
        <v>0</v>
      </c>
      <c r="O81" s="18" t="n">
        <v>0</v>
      </c>
    </row>
    <row r="82" customFormat="false" ht="15" hidden="false" customHeight="false" outlineLevel="0" collapsed="false">
      <c r="A82" s="32" t="n">
        <v>681302</v>
      </c>
      <c r="B82" s="12" t="s">
        <v>249</v>
      </c>
      <c r="C82" s="13" t="s">
        <v>248</v>
      </c>
      <c r="D82" s="33" t="n">
        <v>44854932</v>
      </c>
      <c r="E82" s="33" t="n">
        <v>0</v>
      </c>
      <c r="F82" s="15" t="n">
        <f aca="false">HYPOTHESES!D$74</f>
        <v>50854932</v>
      </c>
      <c r="G82" s="18" t="n">
        <v>0</v>
      </c>
      <c r="H82" s="15" t="n">
        <f aca="false">HYPOTHESES!E$74</f>
        <v>56854932</v>
      </c>
      <c r="I82" s="18" t="n">
        <v>0</v>
      </c>
      <c r="J82" s="15" t="n">
        <f aca="false">HYPOTHESES!F$74</f>
        <v>62854932</v>
      </c>
      <c r="K82" s="18" t="n">
        <v>0</v>
      </c>
      <c r="L82" s="15" t="n">
        <f aca="false">HYPOTHESES!G$74</f>
        <v>68854932</v>
      </c>
      <c r="M82" s="18" t="n">
        <v>0</v>
      </c>
      <c r="N82" s="15" t="n">
        <f aca="false">HYPOTHESES!H$74</f>
        <v>74854932</v>
      </c>
      <c r="O82" s="18" t="n">
        <v>0</v>
      </c>
    </row>
    <row r="83" customFormat="false" ht="15" hidden="false" customHeight="false" outlineLevel="0" collapsed="false">
      <c r="A83" s="32" t="n">
        <v>681303</v>
      </c>
      <c r="B83" s="12" t="s">
        <v>250</v>
      </c>
      <c r="C83" s="13" t="s">
        <v>248</v>
      </c>
      <c r="D83" s="33" t="n">
        <v>4934884</v>
      </c>
      <c r="E83" s="33" t="n">
        <v>0</v>
      </c>
      <c r="F83" s="15" t="n">
        <f aca="false">HYPOTHESES!D$77</f>
        <v>6601550.66666667</v>
      </c>
      <c r="G83" s="18" t="n">
        <v>0</v>
      </c>
      <c r="H83" s="15" t="n">
        <f aca="false">HYPOTHESES!E$77</f>
        <v>7977506.33333333</v>
      </c>
      <c r="I83" s="18" t="n">
        <v>0</v>
      </c>
      <c r="J83" s="15" t="n">
        <f aca="false">HYPOTHESES!F$77</f>
        <v>5000000</v>
      </c>
      <c r="K83" s="18" t="n">
        <v>0</v>
      </c>
      <c r="L83" s="15" t="n">
        <f aca="false">HYPOTHESES!G$77</f>
        <v>5000000</v>
      </c>
      <c r="M83" s="18" t="n">
        <v>0</v>
      </c>
      <c r="N83" s="15" t="n">
        <f aca="false">HYPOTHESES!H$77</f>
        <v>5000000</v>
      </c>
      <c r="O83" s="18" t="n">
        <v>0</v>
      </c>
    </row>
    <row r="84" customFormat="false" ht="15" hidden="false" customHeight="false" outlineLevel="0" collapsed="false">
      <c r="A84" s="32" t="n">
        <v>681304</v>
      </c>
      <c r="B84" s="12" t="s">
        <v>251</v>
      </c>
      <c r="C84" s="13" t="s">
        <v>248</v>
      </c>
      <c r="D84" s="33" t="n">
        <v>10760638</v>
      </c>
      <c r="E84" s="33" t="n">
        <v>0</v>
      </c>
      <c r="F84" s="15" t="n">
        <f aca="false">HYPOTHESES!D$80</f>
        <v>20760638</v>
      </c>
      <c r="G84" s="18" t="n">
        <v>0</v>
      </c>
      <c r="H84" s="15" t="n">
        <f aca="false">HYPOTHESES!E$80</f>
        <v>20760638</v>
      </c>
      <c r="I84" s="18" t="n">
        <v>0</v>
      </c>
      <c r="J84" s="15" t="n">
        <f aca="false">HYPOTHESES!F$80</f>
        <v>20760638</v>
      </c>
      <c r="K84" s="18" t="n">
        <v>0</v>
      </c>
      <c r="L84" s="15" t="n">
        <f aca="false">HYPOTHESES!G$80</f>
        <v>30760638</v>
      </c>
      <c r="M84" s="18" t="n">
        <v>0</v>
      </c>
      <c r="N84" s="15" t="n">
        <f aca="false">HYPOTHESES!H$80</f>
        <v>20760638</v>
      </c>
      <c r="O84" s="18" t="n">
        <v>0</v>
      </c>
    </row>
    <row r="85" customFormat="false" ht="15" hidden="false" customHeight="false" outlineLevel="0" collapsed="false">
      <c r="A85" s="32" t="n">
        <v>691100</v>
      </c>
      <c r="B85" s="12" t="s">
        <v>252</v>
      </c>
      <c r="C85" s="13" t="s">
        <v>248</v>
      </c>
      <c r="D85" s="33" t="n">
        <v>6059296</v>
      </c>
      <c r="E85" s="33" t="n">
        <v>0</v>
      </c>
      <c r="F85" s="15" t="n">
        <f aca="false">HYPOTHESES!D$83</f>
        <v>6059296</v>
      </c>
      <c r="G85" s="18" t="n">
        <v>0</v>
      </c>
      <c r="H85" s="15" t="n">
        <f aca="false">HYPOTHESES!E$83</f>
        <v>6059296</v>
      </c>
      <c r="I85" s="18" t="n">
        <v>0</v>
      </c>
      <c r="J85" s="15" t="n">
        <f aca="false">HYPOTHESES!F$83</f>
        <v>6059296</v>
      </c>
      <c r="K85" s="18" t="n">
        <v>0</v>
      </c>
      <c r="L85" s="15" t="n">
        <f aca="false">HYPOTHESES!G$83</f>
        <v>6059296</v>
      </c>
      <c r="M85" s="18" t="n">
        <v>0</v>
      </c>
      <c r="N85" s="15" t="n">
        <f aca="false">HYPOTHESES!H$83</f>
        <v>6059296</v>
      </c>
      <c r="O85" s="18" t="n">
        <v>0</v>
      </c>
    </row>
    <row r="86" customFormat="false" ht="15" hidden="false" customHeight="false" outlineLevel="0" collapsed="false">
      <c r="A86" s="26" t="n">
        <v>705100</v>
      </c>
      <c r="B86" s="27" t="s">
        <v>253</v>
      </c>
      <c r="C86" s="28" t="s">
        <v>254</v>
      </c>
      <c r="D86" s="29" t="n">
        <v>0</v>
      </c>
      <c r="E86" s="29" t="n">
        <v>701026695</v>
      </c>
      <c r="F86" s="30" t="n">
        <v>0</v>
      </c>
      <c r="G86" s="31" t="n">
        <f aca="false">HYPOTHESES!D$61</f>
        <v>736078029.75</v>
      </c>
      <c r="H86" s="30" t="n">
        <v>0</v>
      </c>
      <c r="I86" s="31" t="n">
        <f aca="false">HYPOTHESES!E$61</f>
        <v>772881931.2375</v>
      </c>
      <c r="J86" s="30" t="n">
        <v>0</v>
      </c>
      <c r="K86" s="31" t="n">
        <f aca="false">HYPOTHESES!F$61</f>
        <v>811526027.799375</v>
      </c>
      <c r="L86" s="30" t="n">
        <v>0</v>
      </c>
      <c r="M86" s="31" t="n">
        <f aca="false">HYPOTHESES!G$61</f>
        <v>852102329.189344</v>
      </c>
      <c r="N86" s="30" t="n">
        <v>0</v>
      </c>
      <c r="O86" s="31" t="n">
        <f aca="false">HYPOTHESES!H$61</f>
        <v>894707445.648811</v>
      </c>
    </row>
    <row r="87" customFormat="false" ht="15" hidden="false" customHeight="false" outlineLevel="0" collapsed="false">
      <c r="A87" s="32" t="n">
        <v>771200</v>
      </c>
      <c r="B87" s="12" t="s">
        <v>255</v>
      </c>
      <c r="C87" s="13" t="s">
        <v>256</v>
      </c>
      <c r="D87" s="33" t="n">
        <v>0</v>
      </c>
      <c r="E87" s="33" t="n">
        <v>848594</v>
      </c>
      <c r="F87" s="18" t="n">
        <v>0</v>
      </c>
      <c r="G87" s="15" t="n">
        <f aca="false">HYPOTHESES!D$86</f>
        <v>848594</v>
      </c>
      <c r="H87" s="18" t="n">
        <v>0</v>
      </c>
      <c r="I87" s="15" t="n">
        <f aca="false">HYPOTHESES!E$86</f>
        <v>848594</v>
      </c>
      <c r="J87" s="18" t="n">
        <v>0</v>
      </c>
      <c r="K87" s="15" t="n">
        <f aca="false">HYPOTHESES!F$86</f>
        <v>848594</v>
      </c>
      <c r="L87" s="18" t="n">
        <v>0</v>
      </c>
      <c r="M87" s="15" t="n">
        <f aca="false">HYPOTHESES!G$86</f>
        <v>848594</v>
      </c>
      <c r="N87" s="18" t="n">
        <v>0</v>
      </c>
      <c r="O87" s="15" t="n">
        <f aca="false">HYPOTHESES!H$86</f>
        <v>848594</v>
      </c>
    </row>
    <row r="88" customFormat="false" ht="15" hidden="false" customHeight="false" outlineLevel="0" collapsed="false">
      <c r="A88" s="26" t="n">
        <v>891100</v>
      </c>
      <c r="B88" s="27" t="s">
        <v>257</v>
      </c>
      <c r="C88" s="28" t="s">
        <v>258</v>
      </c>
      <c r="D88" s="29" t="n">
        <v>24232959</v>
      </c>
      <c r="E88" s="29" t="n">
        <v>0</v>
      </c>
      <c r="F88" s="31" t="n">
        <f aca="false">IF(HYPOTHESES!D$89&gt;=HYPOTHESES!D$90,HYPOTHESES!D$91,0)</f>
        <v>23222852.9803833</v>
      </c>
      <c r="G88" s="30" t="n">
        <v>0</v>
      </c>
      <c r="H88" s="31" t="n">
        <f aca="false">IF(HYPOTHESES!E$89&gt;=HYPOTHESES!E$90,HYPOTHESES!E$91,0)</f>
        <v>24483150.7845692</v>
      </c>
      <c r="I88" s="30" t="n">
        <v>0</v>
      </c>
      <c r="J88" s="31" t="n">
        <f aca="false">IF(HYPOTHESES!F$89&gt;=HYPOTHESES!F$90,HYPOTHESES!F$91,0)</f>
        <v>26744185.4347976</v>
      </c>
      <c r="K88" s="30" t="n">
        <v>0</v>
      </c>
      <c r="L88" s="31" t="n">
        <f aca="false">IF(HYPOTHESES!G$89&gt;=HYPOTHESES!G$90,HYPOTHESES!G$91,0)</f>
        <v>29361849.6690375</v>
      </c>
      <c r="M88" s="30" t="n">
        <v>0</v>
      </c>
      <c r="N88" s="31" t="n">
        <f aca="false">IF(HYPOTHESES!H$89&gt;=HYPOTHESES!H$90,HYPOTHESES!H$91,0)</f>
        <v>34204596.8149894</v>
      </c>
      <c r="O88" s="30" t="n">
        <v>0</v>
      </c>
    </row>
    <row r="89" customFormat="false" ht="15" hidden="false" customHeight="false" outlineLevel="0" collapsed="false">
      <c r="A89" s="32" t="n">
        <v>895000</v>
      </c>
      <c r="B89" s="12" t="s">
        <v>259</v>
      </c>
      <c r="C89" s="13" t="s">
        <v>258</v>
      </c>
      <c r="D89" s="33" t="n">
        <v>0</v>
      </c>
      <c r="E89" s="33" t="n">
        <v>0</v>
      </c>
      <c r="F89" s="15" t="n">
        <f aca="false">IF(HYPOTHESES!D$89&lt;HYPOTHESES!D$90,HYPOTHESES!D$91,0)</f>
        <v>0</v>
      </c>
      <c r="G89" s="18" t="n">
        <v>0</v>
      </c>
      <c r="H89" s="15" t="n">
        <f aca="false">IF(HYPOTHESES!E$89&lt;HYPOTHESES!E$90,HYPOTHESES!E$91,0)</f>
        <v>0</v>
      </c>
      <c r="I89" s="18" t="n">
        <v>0</v>
      </c>
      <c r="J89" s="15" t="n">
        <f aca="false">IF(HYPOTHESES!F$89&lt;HYPOTHESES!F$90,HYPOTHESES!F$91,0)</f>
        <v>0</v>
      </c>
      <c r="K89" s="18" t="n">
        <v>0</v>
      </c>
      <c r="L89" s="15" t="n">
        <f aca="false">IF(HYPOTHESES!G$89&lt;HYPOTHESES!G$90,HYPOTHESES!G$91,0)</f>
        <v>0</v>
      </c>
      <c r="M89" s="18" t="n">
        <v>0</v>
      </c>
      <c r="N89" s="15" t="n">
        <f aca="false">IF(HYPOTHESES!H$89&lt;HYPOTHESES!H$90,HYPOTHESES!H$91,0)</f>
        <v>0</v>
      </c>
      <c r="O89" s="18" t="n">
        <v>0</v>
      </c>
    </row>
    <row r="91" customFormat="false" ht="15" hidden="false" customHeight="false" outlineLevel="0" collapsed="false">
      <c r="B91" s="34" t="s">
        <v>260</v>
      </c>
      <c r="D91" s="35" t="n">
        <f aca="false">SUM(D5:D89)</f>
        <v>2342400758</v>
      </c>
      <c r="E91" s="35" t="n">
        <f aca="false">SUM(E5:E89)</f>
        <v>2342400758</v>
      </c>
      <c r="F91" s="35" t="n">
        <f aca="false">SUM(F5:F89)</f>
        <v>2396595152.1834</v>
      </c>
      <c r="G91" s="35" t="n">
        <f aca="false">SUM(G5:G89)</f>
        <v>2396595152.1834</v>
      </c>
      <c r="H91" s="35" t="n">
        <f aca="false">SUM(H5:H89)</f>
        <v>2603336046.73888</v>
      </c>
      <c r="I91" s="35" t="n">
        <f aca="false">SUM(I5:I89)</f>
        <v>2603336046.73888</v>
      </c>
      <c r="J91" s="35" t="n">
        <f aca="false">SUM(J5:J89)</f>
        <v>2839945793.04348</v>
      </c>
      <c r="K91" s="35" t="n">
        <f aca="false">SUM(K5:K89)</f>
        <v>2839945793.04348</v>
      </c>
      <c r="L91" s="35" t="n">
        <f aca="false">SUM(L5:L89)</f>
        <v>3086575986.2978</v>
      </c>
      <c r="M91" s="35" t="n">
        <f aca="false">SUM(M5:M89)</f>
        <v>3086575986.2978</v>
      </c>
      <c r="N91" s="35" t="n">
        <f aca="false">SUM(N5:N89)</f>
        <v>3337932205.45234</v>
      </c>
      <c r="O91" s="35" t="n">
        <f aca="false">SUM(O5:O89)</f>
        <v>3337932205.45234</v>
      </c>
    </row>
    <row r="92" customFormat="false" ht="15" hidden="false" customHeight="false" outlineLevel="0" collapsed="false">
      <c r="B92" s="4" t="s">
        <v>261</v>
      </c>
      <c r="D92" s="23" t="n">
        <f aca="false">D91-E91</f>
        <v>0</v>
      </c>
      <c r="F92" s="23" t="n">
        <f aca="false">F91-G91</f>
        <v>0</v>
      </c>
      <c r="H92" s="23" t="n">
        <f aca="false">H91-I91</f>
        <v>0</v>
      </c>
      <c r="J92" s="23" t="n">
        <f aca="false">J91-K91</f>
        <v>0</v>
      </c>
      <c r="L92" s="23" t="n">
        <f aca="false">L91-M91</f>
        <v>0</v>
      </c>
      <c r="N92" s="23" t="n">
        <f aca="false">N91-O91</f>
        <v>0</v>
      </c>
    </row>
    <row r="94" customFormat="false" ht="15" hidden="false" customHeight="false" outlineLevel="0" collapsed="false">
      <c r="A94" s="7" t="s">
        <v>262</v>
      </c>
    </row>
  </sheetData>
  <mergeCells count="7">
    <mergeCell ref="A1:O1"/>
    <mergeCell ref="D3:E3"/>
    <mergeCell ref="F3:G3"/>
    <mergeCell ref="H3:I3"/>
    <mergeCell ref="J3:K3"/>
    <mergeCell ref="L3:M3"/>
    <mergeCell ref="N3:O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263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264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265</v>
      </c>
      <c r="B5" s="36" t="s">
        <v>266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267</v>
      </c>
    </row>
    <row r="6" customFormat="false" ht="15" hidden="false" customHeight="false" outlineLevel="0" collapsed="false">
      <c r="A6" s="13" t="s">
        <v>268</v>
      </c>
      <c r="B6" s="12" t="s">
        <v>269</v>
      </c>
      <c r="C6" s="15" t="n">
        <f aca="false">SUMIFS(BALANCES!$D:$D,BALANCES!$C:$C,"AD")-(SUMIFS(BALANCES!$E:$E,BALANCES!$C:$C,"AD"))</f>
        <v>0</v>
      </c>
      <c r="D6" s="15" t="n">
        <f aca="false">SUMIFS(BALANCES!$F:$F,BALANCES!$C:$C,"AD")-(SUMIFS(BALANCES!$G:$G,BALANCES!$C:$C,"AD"))</f>
        <v>0</v>
      </c>
      <c r="E6" s="15" t="n">
        <f aca="false">SUMIFS(BALANCES!$H:$H,BALANCES!$C:$C,"AD")-(SUMIFS(BALANCES!$I:$I,BALANCES!$C:$C,"AD"))</f>
        <v>0</v>
      </c>
      <c r="F6" s="15" t="n">
        <f aca="false">SUMIFS(BALANCES!$J:$J,BALANCES!$C:$C,"AD")-(SUMIFS(BALANCES!$K:$K,BALANCES!$C:$C,"AD"))</f>
        <v>0</v>
      </c>
      <c r="G6" s="15" t="n">
        <f aca="false">SUMIFS(BALANCES!$L:$L,BALANCES!$C:$C,"AD")-(SUMIFS(BALANCES!$M:$M,BALANCES!$C:$C,"AD"))</f>
        <v>0</v>
      </c>
      <c r="H6" s="15" t="n">
        <f aca="false">SUMIFS(BALANCES!$N:$N,BALANCES!$C:$C,"AD")-(SUMIFS(BALANCES!$O:$O,BALANCES!$C:$C,"AD"))</f>
        <v>0</v>
      </c>
    </row>
    <row r="7" customFormat="false" ht="15" hidden="false" customHeight="false" outlineLevel="0" collapsed="false">
      <c r="A7" s="13" t="s">
        <v>270</v>
      </c>
      <c r="B7" s="12" t="s">
        <v>271</v>
      </c>
      <c r="C7" s="15" t="n">
        <f aca="false">SUMIFS(BALANCES!$D:$D,BALANCES!$C:$C,"AJ")-(SUMIFS(BALANCES!$E:$E,BALANCES!$C:$C,"AJ"))</f>
        <v>0</v>
      </c>
      <c r="D7" s="15" t="n">
        <f aca="false">SUMIFS(BALANCES!$F:$F,BALANCES!$C:$C,"AJ")-(SUMIFS(BALANCES!$G:$G,BALANCES!$C:$C,"AJ"))</f>
        <v>0</v>
      </c>
      <c r="E7" s="15" t="n">
        <f aca="false">SUMIFS(BALANCES!$H:$H,BALANCES!$C:$C,"AJ")-(SUMIFS(BALANCES!$I:$I,BALANCES!$C:$C,"AJ"))</f>
        <v>0</v>
      </c>
      <c r="F7" s="15" t="n">
        <f aca="false">SUMIFS(BALANCES!$J:$J,BALANCES!$C:$C,"AJ")-(SUMIFS(BALANCES!$K:$K,BALANCES!$C:$C,"AJ"))</f>
        <v>0</v>
      </c>
      <c r="G7" s="15" t="n">
        <f aca="false">SUMIFS(BALANCES!$L:$L,BALANCES!$C:$C,"AJ")-(SUMIFS(BALANCES!$M:$M,BALANCES!$C:$C,"AJ"))</f>
        <v>0</v>
      </c>
      <c r="H7" s="15" t="n">
        <f aca="false">SUMIFS(BALANCES!$N:$N,BALANCES!$C:$C,"AJ")-(SUMIFS(BALANCES!$O:$O,BALANCES!$C:$C,"AJ"))</f>
        <v>0</v>
      </c>
    </row>
    <row r="8" customFormat="false" ht="15" hidden="false" customHeight="false" outlineLevel="0" collapsed="false">
      <c r="A8" s="13" t="s">
        <v>272</v>
      </c>
      <c r="B8" s="12" t="s">
        <v>273</v>
      </c>
      <c r="C8" s="15" t="n">
        <f aca="false">SUMIFS(BALANCES!$D:$D,BALANCES!$C:$C,"AK")-(SUMIFS(BALANCES!$E:$E,BALANCES!$C:$C,"AK"))</f>
        <v>0</v>
      </c>
      <c r="D8" s="15" t="n">
        <f aca="false">SUMIFS(BALANCES!$F:$F,BALANCES!$C:$C,"AK")-(SUMIFS(BALANCES!$G:$G,BALANCES!$C:$C,"AK"))</f>
        <v>0</v>
      </c>
      <c r="E8" s="15" t="n">
        <f aca="false">SUMIFS(BALANCES!$H:$H,BALANCES!$C:$C,"AK")-(SUMIFS(BALANCES!$I:$I,BALANCES!$C:$C,"AK"))</f>
        <v>0</v>
      </c>
      <c r="F8" s="15" t="n">
        <f aca="false">SUMIFS(BALANCES!$J:$J,BALANCES!$C:$C,"AK")-(SUMIFS(BALANCES!$K:$K,BALANCES!$C:$C,"AK"))</f>
        <v>0</v>
      </c>
      <c r="G8" s="15" t="n">
        <f aca="false">SUMIFS(BALANCES!$L:$L,BALANCES!$C:$C,"AK")-(SUMIFS(BALANCES!$M:$M,BALANCES!$C:$C,"AK"))</f>
        <v>0</v>
      </c>
      <c r="H8" s="15" t="n">
        <f aca="false">SUMIFS(BALANCES!$N:$N,BALANCES!$C:$C,"AK")-(SUMIFS(BALANCES!$O:$O,BALANCES!$C:$C,"AK"))</f>
        <v>0</v>
      </c>
    </row>
    <row r="9" customFormat="false" ht="15" hidden="false" customHeight="false" outlineLevel="0" collapsed="false">
      <c r="A9" s="13" t="s">
        <v>160</v>
      </c>
      <c r="B9" s="12" t="s">
        <v>274</v>
      </c>
      <c r="C9" s="15" t="n">
        <f aca="false">SUMIFS(BALANCES!$D:$D,BALANCES!$C:$C,"AL")-(SUMIFS(BALANCES!$E:$E,BALANCES!$C:$C,"AL"))</f>
        <v>61665016</v>
      </c>
      <c r="D9" s="15" t="n">
        <f aca="false">SUMIFS(BALANCES!$F:$F,BALANCES!$C:$C,"AL")-(SUMIFS(BALANCES!$G:$G,BALANCES!$C:$C,"AL"))</f>
        <v>42382171</v>
      </c>
      <c r="E9" s="15" t="n">
        <f aca="false">SUMIFS(BALANCES!$H:$H,BALANCES!$C:$C,"AL")-(SUMIFS(BALANCES!$I:$I,BALANCES!$C:$C,"AL"))</f>
        <v>23099326</v>
      </c>
      <c r="F9" s="15" t="n">
        <f aca="false">SUMIFS(BALANCES!$J:$J,BALANCES!$C:$C,"AL")-(SUMIFS(BALANCES!$K:$K,BALANCES!$C:$C,"AL"))</f>
        <v>3816481</v>
      </c>
      <c r="G9" s="15" t="n">
        <f aca="false">SUMIFS(BALANCES!$L:$L,BALANCES!$C:$C,"AL")-(SUMIFS(BALANCES!$M:$M,BALANCES!$C:$C,"AL"))</f>
        <v>0</v>
      </c>
      <c r="H9" s="15" t="n">
        <f aca="false">SUMIFS(BALANCES!$N:$N,BALANCES!$C:$C,"AL")-(SUMIFS(BALANCES!$O:$O,BALANCES!$C:$C,"AL"))</f>
        <v>0</v>
      </c>
    </row>
    <row r="10" customFormat="false" ht="15" hidden="false" customHeight="false" outlineLevel="0" collapsed="false">
      <c r="A10" s="13" t="s">
        <v>162</v>
      </c>
      <c r="B10" s="12" t="s">
        <v>275</v>
      </c>
      <c r="C10" s="15" t="n">
        <f aca="false">SUMIFS(BALANCES!$D:$D,BALANCES!$C:$C,"AM")-(SUMIFS(BALANCES!$E:$E,BALANCES!$C:$C,"AM"))</f>
        <v>267440561</v>
      </c>
      <c r="D10" s="15" t="n">
        <f aca="false">SUMIFS(BALANCES!$F:$F,BALANCES!$C:$C,"AM")-(SUMIFS(BALANCES!$G:$G,BALANCES!$C:$C,"AM"))</f>
        <v>244984078.333333</v>
      </c>
      <c r="E10" s="15" t="n">
        <f aca="false">SUMIFS(BALANCES!$H:$H,BALANCES!$C:$C,"AM")-(SUMIFS(BALANCES!$I:$I,BALANCES!$C:$C,"AM"))</f>
        <v>215151640</v>
      </c>
      <c r="F10" s="15" t="n">
        <f aca="false">SUMIFS(BALANCES!$J:$J,BALANCES!$C:$C,"AM")-(SUMIFS(BALANCES!$K:$K,BALANCES!$C:$C,"AM"))</f>
        <v>182296708</v>
      </c>
      <c r="G10" s="15" t="n">
        <f aca="false">SUMIFS(BALANCES!$L:$L,BALANCES!$C:$C,"AM")-(SUMIFS(BALANCES!$M:$M,BALANCES!$C:$C,"AM"))</f>
        <v>143441776</v>
      </c>
      <c r="H10" s="15" t="n">
        <f aca="false">SUMIFS(BALANCES!$N:$N,BALANCES!$C:$C,"AM")-(SUMIFS(BALANCES!$O:$O,BALANCES!$C:$C,"AM"))</f>
        <v>98586844</v>
      </c>
    </row>
    <row r="11" customFormat="false" ht="15" hidden="false" customHeight="false" outlineLevel="0" collapsed="false">
      <c r="A11" s="13" t="s">
        <v>166</v>
      </c>
      <c r="B11" s="12" t="s">
        <v>52</v>
      </c>
      <c r="C11" s="15" t="n">
        <f aca="false">SUMIFS(BALANCES!$D:$D,BALANCES!$C:$C,"AN")-(SUMIFS(BALANCES!$E:$E,BALANCES!$C:$C,"AN"))</f>
        <v>73755603</v>
      </c>
      <c r="D11" s="15" t="n">
        <f aca="false">SUMIFS(BALANCES!$F:$F,BALANCES!$C:$C,"AN")-(SUMIFS(BALANCES!$G:$G,BALANCES!$C:$C,"AN"))</f>
        <v>92994965</v>
      </c>
      <c r="E11" s="15" t="n">
        <f aca="false">SUMIFS(BALANCES!$H:$H,BALANCES!$C:$C,"AN")-(SUMIFS(BALANCES!$I:$I,BALANCES!$C:$C,"AN"))</f>
        <v>72234327</v>
      </c>
      <c r="F11" s="15" t="n">
        <f aca="false">SUMIFS(BALANCES!$J:$J,BALANCES!$C:$C,"AN")-(SUMIFS(BALANCES!$K:$K,BALANCES!$C:$C,"AN"))</f>
        <v>51473689</v>
      </c>
      <c r="G11" s="15" t="n">
        <f aca="false">SUMIFS(BALANCES!$L:$L,BALANCES!$C:$C,"AN")-(SUMIFS(BALANCES!$M:$M,BALANCES!$C:$C,"AN"))</f>
        <v>60713051</v>
      </c>
      <c r="H11" s="15" t="n">
        <f aca="false">SUMIFS(BALANCES!$N:$N,BALANCES!$C:$C,"AN")-(SUMIFS(BALANCES!$O:$O,BALANCES!$C:$C,"AN"))</f>
        <v>39952413</v>
      </c>
    </row>
    <row r="12" customFormat="false" ht="15" hidden="false" customHeight="false" outlineLevel="0" collapsed="false">
      <c r="A12" s="34" t="s">
        <v>276</v>
      </c>
      <c r="B12" s="34" t="s">
        <v>277</v>
      </c>
      <c r="C12" s="35" t="n">
        <f aca="false">C7+C8+C9+C10+C11</f>
        <v>402861180</v>
      </c>
      <c r="D12" s="35" t="n">
        <f aca="false">D7+D8+D9+D10+D11</f>
        <v>380361214.333333</v>
      </c>
      <c r="E12" s="35" t="n">
        <f aca="false">E7+E8+E9+E10+E11</f>
        <v>310485293</v>
      </c>
      <c r="F12" s="35" t="n">
        <f aca="false">F7+F8+F9+F10+F11</f>
        <v>237586878</v>
      </c>
      <c r="G12" s="35" t="n">
        <f aca="false">G7+G8+G9+G10+G11</f>
        <v>204154827</v>
      </c>
      <c r="H12" s="35" t="n">
        <f aca="false">H7+H8+H9+H10+H11</f>
        <v>138539257</v>
      </c>
      <c r="I12" s="38"/>
    </row>
    <row r="13" customFormat="false" ht="15" hidden="false" customHeight="false" outlineLevel="0" collapsed="false">
      <c r="A13" s="13" t="s">
        <v>278</v>
      </c>
      <c r="B13" s="12" t="s">
        <v>279</v>
      </c>
      <c r="C13" s="15" t="n">
        <f aca="false">SUMIFS(BALANCES!$D:$D,BALANCES!$C:$C,"AP")-(SUMIFS(BALANCES!$E:$E,BALANCES!$C:$C,"AP"))</f>
        <v>0</v>
      </c>
      <c r="D13" s="15" t="n">
        <f aca="false">SUMIFS(BALANCES!$F:$F,BALANCES!$C:$C,"AP")-(SUMIFS(BALANCES!$G:$G,BALANCES!$C:$C,"AP"))</f>
        <v>0</v>
      </c>
      <c r="E13" s="15" t="n">
        <f aca="false">SUMIFS(BALANCES!$H:$H,BALANCES!$C:$C,"AP")-(SUMIFS(BALANCES!$I:$I,BALANCES!$C:$C,"AP"))</f>
        <v>0</v>
      </c>
      <c r="F13" s="15" t="n">
        <f aca="false">SUMIFS(BALANCES!$J:$J,BALANCES!$C:$C,"AP")-(SUMIFS(BALANCES!$K:$K,BALANCES!$C:$C,"AP"))</f>
        <v>0</v>
      </c>
      <c r="G13" s="15" t="n">
        <f aca="false">SUMIFS(BALANCES!$L:$L,BALANCES!$C:$C,"AP")-(SUMIFS(BALANCES!$M:$M,BALANCES!$C:$C,"AP"))</f>
        <v>0</v>
      </c>
      <c r="H13" s="15" t="n">
        <f aca="false">SUMIFS(BALANCES!$N:$N,BALANCES!$C:$C,"AP")-(SUMIFS(BALANCES!$O:$O,BALANCES!$C:$C,"AP"))</f>
        <v>0</v>
      </c>
    </row>
    <row r="14" customFormat="false" ht="15" hidden="false" customHeight="false" outlineLevel="0" collapsed="false">
      <c r="A14" s="13" t="s">
        <v>280</v>
      </c>
      <c r="B14" s="12" t="s">
        <v>281</v>
      </c>
      <c r="C14" s="15" t="n">
        <f aca="false">SUMIFS(BALANCES!$D:$D,BALANCES!$C:$C,"AR")-(SUMIFS(BALANCES!$E:$E,BALANCES!$C:$C,"AR"))</f>
        <v>0</v>
      </c>
      <c r="D14" s="15" t="n">
        <f aca="false">SUMIFS(BALANCES!$F:$F,BALANCES!$C:$C,"AR")-(SUMIFS(BALANCES!$G:$G,BALANCES!$C:$C,"AR"))</f>
        <v>0</v>
      </c>
      <c r="E14" s="15" t="n">
        <f aca="false">SUMIFS(BALANCES!$H:$H,BALANCES!$C:$C,"AR")-(SUMIFS(BALANCES!$I:$I,BALANCES!$C:$C,"AR"))</f>
        <v>0</v>
      </c>
      <c r="F14" s="15" t="n">
        <f aca="false">SUMIFS(BALANCES!$J:$J,BALANCES!$C:$C,"AR")-(SUMIFS(BALANCES!$K:$K,BALANCES!$C:$C,"AR"))</f>
        <v>0</v>
      </c>
      <c r="G14" s="15" t="n">
        <f aca="false">SUMIFS(BALANCES!$L:$L,BALANCES!$C:$C,"AR")-(SUMIFS(BALANCES!$M:$M,BALANCES!$C:$C,"AR"))</f>
        <v>0</v>
      </c>
      <c r="H14" s="15" t="n">
        <f aca="false">SUMIFS(BALANCES!$N:$N,BALANCES!$C:$C,"AR")-(SUMIFS(BALANCES!$O:$O,BALANCES!$C:$C,"AR"))</f>
        <v>0</v>
      </c>
    </row>
    <row r="15" customFormat="false" ht="15" hidden="false" customHeight="false" outlineLevel="0" collapsed="false">
      <c r="A15" s="13" t="s">
        <v>169</v>
      </c>
      <c r="B15" s="12" t="s">
        <v>282</v>
      </c>
      <c r="C15" s="15" t="n">
        <f aca="false">SUMIFS(BALANCES!$D:$D,BALANCES!$C:$C,"AS")-(SUMIFS(BALANCES!$E:$E,BALANCES!$C:$C,"AS"))</f>
        <v>256420138</v>
      </c>
      <c r="D15" s="15" t="n">
        <f aca="false">SUMIFS(BALANCES!$F:$F,BALANCES!$C:$C,"AS")-(SUMIFS(BALANCES!$G:$G,BALANCES!$C:$C,"AS"))</f>
        <v>256420138</v>
      </c>
      <c r="E15" s="15" t="n">
        <f aca="false">SUMIFS(BALANCES!$H:$H,BALANCES!$C:$C,"AS")-(SUMIFS(BALANCES!$I:$I,BALANCES!$C:$C,"AS"))</f>
        <v>256420138</v>
      </c>
      <c r="F15" s="15" t="n">
        <f aca="false">SUMIFS(BALANCES!$J:$J,BALANCES!$C:$C,"AS")-(SUMIFS(BALANCES!$K:$K,BALANCES!$C:$C,"AS"))</f>
        <v>256420138</v>
      </c>
      <c r="G15" s="15" t="n">
        <f aca="false">SUMIFS(BALANCES!$L:$L,BALANCES!$C:$C,"AS")-(SUMIFS(BALANCES!$M:$M,BALANCES!$C:$C,"AS"))</f>
        <v>256420138</v>
      </c>
      <c r="H15" s="15" t="n">
        <f aca="false">SUMIFS(BALANCES!$N:$N,BALANCES!$C:$C,"AS")-(SUMIFS(BALANCES!$O:$O,BALANCES!$C:$C,"AS"))</f>
        <v>256420138</v>
      </c>
    </row>
    <row r="16" customFormat="false" ht="15" hidden="false" customHeight="false" outlineLevel="0" collapsed="false">
      <c r="A16" s="34" t="s">
        <v>283</v>
      </c>
      <c r="B16" s="34" t="s">
        <v>284</v>
      </c>
      <c r="C16" s="35" t="n">
        <f aca="false">C14+C15</f>
        <v>256420138</v>
      </c>
      <c r="D16" s="35" t="n">
        <f aca="false">D14+D15</f>
        <v>256420138</v>
      </c>
      <c r="E16" s="35" t="n">
        <f aca="false">E14+E15</f>
        <v>256420138</v>
      </c>
      <c r="F16" s="35" t="n">
        <f aca="false">F14+F15</f>
        <v>256420138</v>
      </c>
      <c r="G16" s="35" t="n">
        <f aca="false">G14+G15</f>
        <v>256420138</v>
      </c>
      <c r="H16" s="35" t="n">
        <f aca="false">H14+H15</f>
        <v>256420138</v>
      </c>
      <c r="I16" s="38"/>
    </row>
    <row r="17" customFormat="false" ht="15" hidden="false" customHeight="false" outlineLevel="0" collapsed="false">
      <c r="A17" s="34" t="s">
        <v>285</v>
      </c>
      <c r="B17" s="34" t="s">
        <v>286</v>
      </c>
      <c r="C17" s="35" t="n">
        <f aca="false">C6+C12+C13+C16</f>
        <v>659281318</v>
      </c>
      <c r="D17" s="35" t="n">
        <f aca="false">D6+D12+D13+D16</f>
        <v>636781352.333333</v>
      </c>
      <c r="E17" s="35" t="n">
        <f aca="false">E6+E12+E13+E16</f>
        <v>566905431</v>
      </c>
      <c r="F17" s="35" t="n">
        <f aca="false">F6+F12+F13+F16</f>
        <v>494007016</v>
      </c>
      <c r="G17" s="35" t="n">
        <f aca="false">G6+G12+G13+G16</f>
        <v>460574965</v>
      </c>
      <c r="H17" s="35" t="n">
        <f aca="false">H6+H12+H13+H16</f>
        <v>394959395</v>
      </c>
      <c r="I17" s="39" t="n">
        <f aca="false">IF(OR(C17&lt;=0,H17&lt;=0),"",(H17/C17)^(1/5)-1)</f>
        <v>-0.097397907682102</v>
      </c>
    </row>
    <row r="18" customFormat="false" ht="15" hidden="false" customHeight="false" outlineLevel="0" collapsed="false">
      <c r="A18" s="13" t="s">
        <v>287</v>
      </c>
      <c r="B18" s="12" t="s">
        <v>288</v>
      </c>
      <c r="C18" s="15" t="n">
        <f aca="false">SUMIFS(BALANCES!$D:$D,BALANCES!$C:$C,"BA")-(SUMIFS(BALANCES!$E:$E,BALANCES!$C:$C,"BA"))</f>
        <v>0</v>
      </c>
      <c r="D18" s="15" t="n">
        <f aca="false">SUMIFS(BALANCES!$F:$F,BALANCES!$C:$C,"BA")-(SUMIFS(BALANCES!$G:$G,BALANCES!$C:$C,"BA"))</f>
        <v>0</v>
      </c>
      <c r="E18" s="15" t="n">
        <f aca="false">SUMIFS(BALANCES!$H:$H,BALANCES!$C:$C,"BA")-(SUMIFS(BALANCES!$I:$I,BALANCES!$C:$C,"BA"))</f>
        <v>0</v>
      </c>
      <c r="F18" s="15" t="n">
        <f aca="false">SUMIFS(BALANCES!$J:$J,BALANCES!$C:$C,"BA")-(SUMIFS(BALANCES!$K:$K,BALANCES!$C:$C,"BA"))</f>
        <v>0</v>
      </c>
      <c r="G18" s="15" t="n">
        <f aca="false">SUMIFS(BALANCES!$L:$L,BALANCES!$C:$C,"BA")-(SUMIFS(BALANCES!$M:$M,BALANCES!$C:$C,"BA"))</f>
        <v>0</v>
      </c>
      <c r="H18" s="15" t="n">
        <f aca="false">SUMIFS(BALANCES!$N:$N,BALANCES!$C:$C,"BA")-(SUMIFS(BALANCES!$O:$O,BALANCES!$C:$C,"BA"))</f>
        <v>0</v>
      </c>
    </row>
    <row r="19" customFormat="false" ht="15" hidden="false" customHeight="false" outlineLevel="0" collapsed="false">
      <c r="A19" s="13" t="s">
        <v>289</v>
      </c>
      <c r="B19" s="12" t="s">
        <v>290</v>
      </c>
      <c r="C19" s="15" t="n">
        <f aca="false">SUMIFS(BALANCES!$D:$D,BALANCES!$C:$C,"BB")-(SUMIFS(BALANCES!$E:$E,BALANCES!$C:$C,"BB"))</f>
        <v>0</v>
      </c>
      <c r="D19" s="15" t="n">
        <f aca="false">SUMIFS(BALANCES!$F:$F,BALANCES!$C:$C,"BB")-(SUMIFS(BALANCES!$G:$G,BALANCES!$C:$C,"BB"))</f>
        <v>0</v>
      </c>
      <c r="E19" s="15" t="n">
        <f aca="false">SUMIFS(BALANCES!$H:$H,BALANCES!$C:$C,"BB")-(SUMIFS(BALANCES!$I:$I,BALANCES!$C:$C,"BB"))</f>
        <v>0</v>
      </c>
      <c r="F19" s="15" t="n">
        <f aca="false">SUMIFS(BALANCES!$J:$J,BALANCES!$C:$C,"BB")-(SUMIFS(BALANCES!$K:$K,BALANCES!$C:$C,"BB"))</f>
        <v>0</v>
      </c>
      <c r="G19" s="15" t="n">
        <f aca="false">SUMIFS(BALANCES!$L:$L,BALANCES!$C:$C,"BB")-(SUMIFS(BALANCES!$M:$M,BALANCES!$C:$C,"BB"))</f>
        <v>0</v>
      </c>
      <c r="H19" s="15" t="n">
        <f aca="false">SUMIFS(BALANCES!$N:$N,BALANCES!$C:$C,"BB")-(SUMIFS(BALANCES!$O:$O,BALANCES!$C:$C,"BB"))</f>
        <v>0</v>
      </c>
    </row>
    <row r="20" customFormat="false" ht="15" hidden="false" customHeight="false" outlineLevel="0" collapsed="false">
      <c r="A20" s="13" t="s">
        <v>291</v>
      </c>
      <c r="B20" s="12" t="s">
        <v>292</v>
      </c>
      <c r="C20" s="15" t="n">
        <f aca="false">SUMIFS(BALANCES!$D:$D,BALANCES!$C:$C,"BH")-(SUMIFS(BALANCES!$E:$E,BALANCES!$C:$C,"BH"))</f>
        <v>0</v>
      </c>
      <c r="D20" s="15" t="n">
        <f aca="false">SUMIFS(BALANCES!$F:$F,BALANCES!$C:$C,"BH")-(SUMIFS(BALANCES!$G:$G,BALANCES!$C:$C,"BH"))</f>
        <v>0</v>
      </c>
      <c r="E20" s="15" t="n">
        <f aca="false">SUMIFS(BALANCES!$H:$H,BALANCES!$C:$C,"BH")-(SUMIFS(BALANCES!$I:$I,BALANCES!$C:$C,"BH"))</f>
        <v>0</v>
      </c>
      <c r="F20" s="15" t="n">
        <f aca="false">SUMIFS(BALANCES!$J:$J,BALANCES!$C:$C,"BH")-(SUMIFS(BALANCES!$K:$K,BALANCES!$C:$C,"BH"))</f>
        <v>0</v>
      </c>
      <c r="G20" s="15" t="n">
        <f aca="false">SUMIFS(BALANCES!$L:$L,BALANCES!$C:$C,"BH")-(SUMIFS(BALANCES!$M:$M,BALANCES!$C:$C,"BH"))</f>
        <v>0</v>
      </c>
      <c r="H20" s="15" t="n">
        <f aca="false">SUMIFS(BALANCES!$N:$N,BALANCES!$C:$C,"BH")-(SUMIFS(BALANCES!$O:$O,BALANCES!$C:$C,"BH"))</f>
        <v>0</v>
      </c>
    </row>
    <row r="21" customFormat="false" ht="15" hidden="false" customHeight="false" outlineLevel="0" collapsed="false">
      <c r="A21" s="13" t="s">
        <v>178</v>
      </c>
      <c r="B21" s="12" t="s">
        <v>293</v>
      </c>
      <c r="C21" s="15" t="n">
        <f aca="false">SUMIFS(BALANCES!$D:$D,BALANCES!$C:$C,"BI")-(SUMIFS(BALANCES!$E:$E,BALANCES!$C:$C,"BI"))</f>
        <v>452271396</v>
      </c>
      <c r="D21" s="15" t="n">
        <f aca="false">SUMIFS(BALANCES!$F:$F,BALANCES!$C:$C,"BI")-(SUMIFS(BALANCES!$G:$G,BALANCES!$C:$C,"BI"))</f>
        <v>475301941.099125</v>
      </c>
      <c r="E21" s="15" t="n">
        <f aca="false">SUMIFS(BALANCES!$H:$H,BALANCES!$C:$C,"BI")-(SUMIFS(BALANCES!$I:$I,BALANCES!$C:$C,"BI"))</f>
        <v>499067038.154081</v>
      </c>
      <c r="F21" s="15" t="n">
        <f aca="false">SUMIFS(BALANCES!$J:$J,BALANCES!$C:$C,"BI")-(SUMIFS(BALANCES!$K:$K,BALANCES!$C:$C,"BI"))</f>
        <v>524020390.061785</v>
      </c>
      <c r="G21" s="15" t="n">
        <f aca="false">SUMIFS(BALANCES!$L:$L,BALANCES!$C:$C,"BI")-(SUMIFS(BALANCES!$M:$M,BALANCES!$C:$C,"BI"))</f>
        <v>550221409.564875</v>
      </c>
      <c r="H21" s="15" t="n">
        <f aca="false">SUMIFS(BALANCES!$N:$N,BALANCES!$C:$C,"BI")-(SUMIFS(BALANCES!$O:$O,BALANCES!$C:$C,"BI"))</f>
        <v>577732480.043118</v>
      </c>
    </row>
    <row r="22" customFormat="false" ht="15" hidden="false" customHeight="false" outlineLevel="0" collapsed="false">
      <c r="A22" s="13" t="s">
        <v>294</v>
      </c>
      <c r="B22" s="12" t="s">
        <v>295</v>
      </c>
      <c r="C22" s="15" t="n">
        <f aca="false">SUMIFS(BALANCES!$D:$D,BALANCES!$C:$C,"BJ")-(SUMIFS(BALANCES!$E:$E,BALANCES!$C:$C,"BJ"))</f>
        <v>0</v>
      </c>
      <c r="D22" s="15" t="n">
        <f aca="false">SUMIFS(BALANCES!$F:$F,BALANCES!$C:$C,"BJ")-(SUMIFS(BALANCES!$G:$G,BALANCES!$C:$C,"BJ"))</f>
        <v>0</v>
      </c>
      <c r="E22" s="15" t="n">
        <f aca="false">SUMIFS(BALANCES!$H:$H,BALANCES!$C:$C,"BJ")-(SUMIFS(BALANCES!$I:$I,BALANCES!$C:$C,"BJ"))</f>
        <v>0</v>
      </c>
      <c r="F22" s="15" t="n">
        <f aca="false">SUMIFS(BALANCES!$J:$J,BALANCES!$C:$C,"BJ")-(SUMIFS(BALANCES!$K:$K,BALANCES!$C:$C,"BJ"))</f>
        <v>0</v>
      </c>
      <c r="G22" s="15" t="n">
        <f aca="false">SUMIFS(BALANCES!$L:$L,BALANCES!$C:$C,"BJ")-(SUMIFS(BALANCES!$M:$M,BALANCES!$C:$C,"BJ"))</f>
        <v>0</v>
      </c>
      <c r="H22" s="15" t="n">
        <f aca="false">SUMIFS(BALANCES!$N:$N,BALANCES!$C:$C,"BJ")-(SUMIFS(BALANCES!$O:$O,BALANCES!$C:$C,"BJ"))</f>
        <v>0</v>
      </c>
    </row>
    <row r="23" customFormat="false" ht="15" hidden="false" customHeight="false" outlineLevel="0" collapsed="false">
      <c r="A23" s="34" t="s">
        <v>296</v>
      </c>
      <c r="B23" s="34" t="s">
        <v>297</v>
      </c>
      <c r="C23" s="35" t="n">
        <f aca="false">C20+C21+C22</f>
        <v>452271396</v>
      </c>
      <c r="D23" s="35" t="n">
        <f aca="false">D20+D21+D22</f>
        <v>475301941.099125</v>
      </c>
      <c r="E23" s="35" t="n">
        <f aca="false">E20+E21+E22</f>
        <v>499067038.154081</v>
      </c>
      <c r="F23" s="35" t="n">
        <f aca="false">F20+F21+F22</f>
        <v>524020390.061785</v>
      </c>
      <c r="G23" s="35" t="n">
        <f aca="false">G20+G21+G22</f>
        <v>550221409.564875</v>
      </c>
      <c r="H23" s="35" t="n">
        <f aca="false">H20+H21+H22</f>
        <v>577732480.043118</v>
      </c>
      <c r="I23" s="38"/>
    </row>
    <row r="24" customFormat="false" ht="15" hidden="false" customHeight="false" outlineLevel="0" collapsed="false">
      <c r="A24" s="34" t="s">
        <v>298</v>
      </c>
      <c r="B24" s="34" t="s">
        <v>299</v>
      </c>
      <c r="C24" s="35" t="n">
        <f aca="false">C18+C19+C23</f>
        <v>452271396</v>
      </c>
      <c r="D24" s="35" t="n">
        <f aca="false">D18+D19+D23</f>
        <v>475301941.099125</v>
      </c>
      <c r="E24" s="35" t="n">
        <f aca="false">E18+E19+E23</f>
        <v>499067038.154081</v>
      </c>
      <c r="F24" s="35" t="n">
        <f aca="false">F18+F19+F23</f>
        <v>524020390.061785</v>
      </c>
      <c r="G24" s="35" t="n">
        <f aca="false">G18+G19+G23</f>
        <v>550221409.564875</v>
      </c>
      <c r="H24" s="35" t="n">
        <f aca="false">H18+H19+H23</f>
        <v>577732480.043118</v>
      </c>
      <c r="I24" s="39" t="n">
        <f aca="false">IF(OR(C24&lt;=0,H24&lt;=0),"",(H24/C24)^(1/5)-1)</f>
        <v>0.0501843269014832</v>
      </c>
    </row>
    <row r="25" customFormat="false" ht="15" hidden="false" customHeight="false" outlineLevel="0" collapsed="false">
      <c r="A25" s="13" t="s">
        <v>300</v>
      </c>
      <c r="B25" s="12" t="s">
        <v>301</v>
      </c>
      <c r="C25" s="15" t="n">
        <f aca="false">SUMIFS(BALANCES!$D:$D,BALANCES!$C:$C,"BQ")-(SUMIFS(BALANCES!$E:$E,BALANCES!$C:$C,"BQ"))</f>
        <v>0</v>
      </c>
      <c r="D25" s="15" t="n">
        <f aca="false">SUMIFS(BALANCES!$F:$F,BALANCES!$C:$C,"BQ")-(SUMIFS(BALANCES!$G:$G,BALANCES!$C:$C,"BQ"))</f>
        <v>0</v>
      </c>
      <c r="E25" s="15" t="n">
        <f aca="false">SUMIFS(BALANCES!$H:$H,BALANCES!$C:$C,"BQ")-(SUMIFS(BALANCES!$I:$I,BALANCES!$C:$C,"BQ"))</f>
        <v>0</v>
      </c>
      <c r="F25" s="15" t="n">
        <f aca="false">SUMIFS(BALANCES!$J:$J,BALANCES!$C:$C,"BQ")-(SUMIFS(BALANCES!$K:$K,BALANCES!$C:$C,"BQ"))</f>
        <v>0</v>
      </c>
      <c r="G25" s="15" t="n">
        <f aca="false">SUMIFS(BALANCES!$L:$L,BALANCES!$C:$C,"BQ")-(SUMIFS(BALANCES!$M:$M,BALANCES!$C:$C,"BQ"))</f>
        <v>0</v>
      </c>
      <c r="H25" s="15" t="n">
        <f aca="false">SUMIFS(BALANCES!$N:$N,BALANCES!$C:$C,"BQ")-(SUMIFS(BALANCES!$O:$O,BALANCES!$C:$C,"BQ"))</f>
        <v>0</v>
      </c>
    </row>
    <row r="26" customFormat="false" ht="15" hidden="false" customHeight="false" outlineLevel="0" collapsed="false">
      <c r="A26" s="13" t="s">
        <v>302</v>
      </c>
      <c r="B26" s="12" t="s">
        <v>303</v>
      </c>
      <c r="C26" s="15" t="n">
        <f aca="false">SUMIFS(BALANCES!$D:$D,BALANCES!$C:$C,"BR")-(SUMIFS(BALANCES!$E:$E,BALANCES!$C:$C,"BR"))</f>
        <v>0</v>
      </c>
      <c r="D26" s="15" t="n">
        <f aca="false">SUMIFS(BALANCES!$F:$F,BALANCES!$C:$C,"BR")-(SUMIFS(BALANCES!$G:$G,BALANCES!$C:$C,"BR"))</f>
        <v>0</v>
      </c>
      <c r="E26" s="15" t="n">
        <f aca="false">SUMIFS(BALANCES!$H:$H,BALANCES!$C:$C,"BR")-(SUMIFS(BALANCES!$I:$I,BALANCES!$C:$C,"BR"))</f>
        <v>0</v>
      </c>
      <c r="F26" s="15" t="n">
        <f aca="false">SUMIFS(BALANCES!$J:$J,BALANCES!$C:$C,"BR")-(SUMIFS(BALANCES!$K:$K,BALANCES!$C:$C,"BR"))</f>
        <v>0</v>
      </c>
      <c r="G26" s="15" t="n">
        <f aca="false">SUMIFS(BALANCES!$L:$L,BALANCES!$C:$C,"BR")-(SUMIFS(BALANCES!$M:$M,BALANCES!$C:$C,"BR"))</f>
        <v>0</v>
      </c>
      <c r="H26" s="15" t="n">
        <f aca="false">SUMIFS(BALANCES!$N:$N,BALANCES!$C:$C,"BR")-(SUMIFS(BALANCES!$O:$O,BALANCES!$C:$C,"BR"))</f>
        <v>0</v>
      </c>
    </row>
    <row r="27" customFormat="false" ht="15" hidden="false" customHeight="false" outlineLevel="0" collapsed="false">
      <c r="A27" s="13" t="s">
        <v>201</v>
      </c>
      <c r="B27" s="12" t="s">
        <v>304</v>
      </c>
      <c r="C27" s="15" t="n">
        <f aca="false">SUMIFS(BALANCES!$D:$D,BALANCES!$C:$C,"BS")+SUMIFS(BALANCES!$D:$D,BALANCES!$C:$C,"TRESO")-(SUMIFS(BALANCES!$E:$E,BALANCES!$C:$C,"BS"))</f>
        <v>128133958</v>
      </c>
      <c r="D27" s="15" t="n">
        <f aca="false">SUMIFS(BALANCES!$F:$F,BALANCES!$C:$C,"BS")+SUMIFS(BALANCES!$F:$F,BALANCES!$C:$C,"TRESO")-(SUMIFS(BALANCES!$G:$G,BALANCES!$C:$C,"BS"))</f>
        <v>46216154.2754206</v>
      </c>
      <c r="E27" s="15" t="n">
        <f aca="false">SUMIFS(BALANCES!$H:$H,BALANCES!$C:$C,"BS")+SUMIFS(BALANCES!$H:$H,BALANCES!$C:$C,"TRESO")-(SUMIFS(BALANCES!$I:$I,BALANCES!$C:$C,"BS"))</f>
        <v>161168943.701008</v>
      </c>
      <c r="F27" s="15" t="n">
        <f aca="false">SUMIFS(BALANCES!$J:$J,BALANCES!$C:$C,"BS")+SUMIFS(BALANCES!$J:$J,BALANCES!$C:$C,"TRESO")-(SUMIFS(BALANCES!$K:$K,BALANCES!$C:$C,"BS"))</f>
        <v>305964345.486709</v>
      </c>
      <c r="G27" s="15" t="n">
        <f aca="false">SUMIFS(BALANCES!$L:$L,BALANCES!$C:$C,"BS")+SUMIFS(BALANCES!$L:$L,BALANCES!$C:$C,"TRESO")-(SUMIFS(BALANCES!$M:$M,BALANCES!$C:$C,"BS"))</f>
        <v>418670210.550694</v>
      </c>
      <c r="H27" s="15" t="n">
        <f aca="false">SUMIFS(BALANCES!$N:$N,BALANCES!$C:$C,"BS")+SUMIFS(BALANCES!$N:$N,BALANCES!$C:$C,"TRESO")-(SUMIFS(BALANCES!$O:$O,BALANCES!$C:$C,"BS"))</f>
        <v>579438484.205379</v>
      </c>
    </row>
    <row r="28" customFormat="false" ht="15" hidden="false" customHeight="false" outlineLevel="0" collapsed="false">
      <c r="A28" s="34" t="s">
        <v>305</v>
      </c>
      <c r="B28" s="34" t="s">
        <v>306</v>
      </c>
      <c r="C28" s="35" t="n">
        <f aca="false">C25+C26+C27</f>
        <v>128133958</v>
      </c>
      <c r="D28" s="35" t="n">
        <f aca="false">D25+D26+D27</f>
        <v>46216154.2754206</v>
      </c>
      <c r="E28" s="35" t="n">
        <f aca="false">E25+E26+E27</f>
        <v>161168943.701008</v>
      </c>
      <c r="F28" s="35" t="n">
        <f aca="false">F25+F26+F27</f>
        <v>305964345.486709</v>
      </c>
      <c r="G28" s="35" t="n">
        <f aca="false">G25+G26+G27</f>
        <v>418670210.550694</v>
      </c>
      <c r="H28" s="35" t="n">
        <f aca="false">H25+H26+H27</f>
        <v>579438484.205379</v>
      </c>
      <c r="I28" s="38"/>
    </row>
    <row r="29" customFormat="false" ht="15" hidden="false" customHeight="false" outlineLevel="0" collapsed="false">
      <c r="A29" s="13" t="s">
        <v>307</v>
      </c>
      <c r="B29" s="12" t="s">
        <v>308</v>
      </c>
      <c r="C29" s="15" t="n">
        <f aca="false">SUMIFS(BALANCES!$D:$D,BALANCES!$C:$C,"BU")-(SUMIFS(BALANCES!$E:$E,BALANCES!$C:$C,"BU"))</f>
        <v>0</v>
      </c>
      <c r="D29" s="15" t="n">
        <f aca="false">SUMIFS(BALANCES!$F:$F,BALANCES!$C:$C,"BU")-(SUMIFS(BALANCES!$G:$G,BALANCES!$C:$C,"BU"))</f>
        <v>0</v>
      </c>
      <c r="E29" s="15" t="n">
        <f aca="false">SUMIFS(BALANCES!$H:$H,BALANCES!$C:$C,"BU")-(SUMIFS(BALANCES!$I:$I,BALANCES!$C:$C,"BU"))</f>
        <v>0</v>
      </c>
      <c r="F29" s="15" t="n">
        <f aca="false">SUMIFS(BALANCES!$J:$J,BALANCES!$C:$C,"BU")-(SUMIFS(BALANCES!$K:$K,BALANCES!$C:$C,"BU"))</f>
        <v>0</v>
      </c>
      <c r="G29" s="15" t="n">
        <f aca="false">SUMIFS(BALANCES!$L:$L,BALANCES!$C:$C,"BU")-(SUMIFS(BALANCES!$M:$M,BALANCES!$C:$C,"BU"))</f>
        <v>0</v>
      </c>
      <c r="H29" s="15" t="n">
        <f aca="false">SUMIFS(BALANCES!$N:$N,BALANCES!$C:$C,"BU")-(SUMIFS(BALANCES!$O:$O,BALANCES!$C:$C,"BU"))</f>
        <v>0</v>
      </c>
    </row>
    <row r="30" customFormat="false" ht="15" hidden="false" customHeight="false" outlineLevel="0" collapsed="false">
      <c r="A30" s="34" t="s">
        <v>309</v>
      </c>
      <c r="B30" s="34" t="s">
        <v>310</v>
      </c>
      <c r="C30" s="35" t="n">
        <f aca="false">C17+C24+C28+C29</f>
        <v>1239686672</v>
      </c>
      <c r="D30" s="35" t="n">
        <f aca="false">D17+D24+D28+D29</f>
        <v>1158299447.70788</v>
      </c>
      <c r="E30" s="35" t="n">
        <f aca="false">E17+E24+E28+E29</f>
        <v>1227141412.85509</v>
      </c>
      <c r="F30" s="35" t="n">
        <f aca="false">F17+F24+F28+F29</f>
        <v>1323991751.54849</v>
      </c>
      <c r="G30" s="35" t="n">
        <f aca="false">G17+G24+G28+G29</f>
        <v>1429466585.11557</v>
      </c>
      <c r="H30" s="35" t="n">
        <f aca="false">H17+H24+H28+H29</f>
        <v>1552130359.2485</v>
      </c>
      <c r="I30" s="39" t="n">
        <f aca="false">IF(OR(C30&lt;=0,H30&lt;=0),"",(H30/C30)^(1/5)-1)</f>
        <v>0.0459796911793886</v>
      </c>
    </row>
    <row r="32" customFormat="false" ht="15" hidden="false" customHeight="false" outlineLevel="0" collapsed="false">
      <c r="A32" s="36" t="s">
        <v>265</v>
      </c>
      <c r="B32" s="36" t="s">
        <v>311</v>
      </c>
      <c r="C32" s="36" t="str">
        <f aca="false">"Réel "&amp;HYPOTHESES!$C$5</f>
        <v>Réel 2024</v>
      </c>
      <c r="D32" s="37" t="n">
        <f aca="false">HYPOTHESES!$C$5+1</f>
        <v>2025</v>
      </c>
      <c r="E32" s="37" t="n">
        <f aca="false">HYPOTHESES!$C$5+2</f>
        <v>2026</v>
      </c>
      <c r="F32" s="37" t="n">
        <f aca="false">HYPOTHESES!$C$5+3</f>
        <v>2027</v>
      </c>
      <c r="G32" s="37" t="n">
        <f aca="false">HYPOTHESES!$C$5+4</f>
        <v>2028</v>
      </c>
      <c r="H32" s="37" t="n">
        <f aca="false">HYPOTHESES!$C$5+5</f>
        <v>2029</v>
      </c>
      <c r="I32" s="36" t="s">
        <v>267</v>
      </c>
    </row>
    <row r="33" customFormat="false" ht="15" hidden="false" customHeight="false" outlineLevel="0" collapsed="false">
      <c r="A33" s="13" t="s">
        <v>148</v>
      </c>
      <c r="B33" s="12" t="s">
        <v>312</v>
      </c>
      <c r="C33" s="15" t="n">
        <f aca="false">SUMIFS(BALANCES!$E:$E,BALANCES!$C:$C,"CA")-(SUMIFS(BALANCES!$D:$D,BALANCES!$C:$C,"CA"))</f>
        <v>10000000</v>
      </c>
      <c r="D33" s="15" t="n">
        <f aca="false">SUMIFS(BALANCES!$G:$G,BALANCES!$C:$C,"CA")-(SUMIFS(BALANCES!$F:$F,BALANCES!$C:$C,"CA"))</f>
        <v>10000000</v>
      </c>
      <c r="E33" s="15" t="n">
        <f aca="false">SUMIFS(BALANCES!$I:$I,BALANCES!$C:$C,"CA")-(SUMIFS(BALANCES!$H:$H,BALANCES!$C:$C,"CA"))</f>
        <v>10000000</v>
      </c>
      <c r="F33" s="15" t="n">
        <f aca="false">SUMIFS(BALANCES!$K:$K,BALANCES!$C:$C,"CA")-(SUMIFS(BALANCES!$J:$J,BALANCES!$C:$C,"CA"))</f>
        <v>10000000</v>
      </c>
      <c r="G33" s="15" t="n">
        <f aca="false">SUMIFS(BALANCES!$M:$M,BALANCES!$C:$C,"CA")-(SUMIFS(BALANCES!$L:$L,BALANCES!$C:$C,"CA"))</f>
        <v>10000000</v>
      </c>
      <c r="H33" s="15" t="n">
        <f aca="false">SUMIFS(BALANCES!$O:$O,BALANCES!$C:$C,"CA")-(SUMIFS(BALANCES!$N:$N,BALANCES!$C:$C,"CA"))</f>
        <v>10000000</v>
      </c>
    </row>
    <row r="34" customFormat="false" ht="15" hidden="false" customHeight="false" outlineLevel="0" collapsed="false">
      <c r="A34" s="13" t="s">
        <v>313</v>
      </c>
      <c r="B34" s="12" t="s">
        <v>314</v>
      </c>
      <c r="C34" s="15" t="n">
        <f aca="false">-(SUMIFS(BALANCES!$D:$D,BALANCES!$C:$C,"CB"))</f>
        <v>-0</v>
      </c>
      <c r="D34" s="15" t="n">
        <f aca="false">-(SUMIFS(BALANCES!$F:$F,BALANCES!$C:$C,"CB"))</f>
        <v>-0</v>
      </c>
      <c r="E34" s="15" t="n">
        <f aca="false">-(SUMIFS(BALANCES!$H:$H,BALANCES!$C:$C,"CB"))</f>
        <v>-0</v>
      </c>
      <c r="F34" s="15" t="n">
        <f aca="false">-(SUMIFS(BALANCES!$J:$J,BALANCES!$C:$C,"CB"))</f>
        <v>-0</v>
      </c>
      <c r="G34" s="15" t="n">
        <f aca="false">-(SUMIFS(BALANCES!$L:$L,BALANCES!$C:$C,"CB"))</f>
        <v>-0</v>
      </c>
      <c r="H34" s="15" t="n">
        <f aca="false">-(SUMIFS(BALANCES!$N:$N,BALANCES!$C:$C,"CB"))</f>
        <v>-0</v>
      </c>
    </row>
    <row r="35" customFormat="false" ht="15" hidden="false" customHeight="false" outlineLevel="0" collapsed="false">
      <c r="A35" s="13" t="s">
        <v>315</v>
      </c>
      <c r="B35" s="12" t="s">
        <v>316</v>
      </c>
      <c r="C35" s="15" t="n">
        <f aca="false">SUMIFS(BALANCES!$E:$E,BALANCES!$C:$C,"CD")-(SUMIFS(BALANCES!$D:$D,BALANCES!$C:$C,"CD"))</f>
        <v>0</v>
      </c>
      <c r="D35" s="15" t="n">
        <f aca="false">SUMIFS(BALANCES!$G:$G,BALANCES!$C:$C,"CD")-(SUMIFS(BALANCES!$F:$F,BALANCES!$C:$C,"CD"))</f>
        <v>0</v>
      </c>
      <c r="E35" s="15" t="n">
        <f aca="false">SUMIFS(BALANCES!$I:$I,BALANCES!$C:$C,"CD")-(SUMIFS(BALANCES!$H:$H,BALANCES!$C:$C,"CD"))</f>
        <v>0</v>
      </c>
      <c r="F35" s="15" t="n">
        <f aca="false">SUMIFS(BALANCES!$K:$K,BALANCES!$C:$C,"CD")-(SUMIFS(BALANCES!$J:$J,BALANCES!$C:$C,"CD"))</f>
        <v>0</v>
      </c>
      <c r="G35" s="15" t="n">
        <f aca="false">SUMIFS(BALANCES!$M:$M,BALANCES!$C:$C,"CD")-(SUMIFS(BALANCES!$L:$L,BALANCES!$C:$C,"CD"))</f>
        <v>0</v>
      </c>
      <c r="H35" s="15" t="n">
        <f aca="false">SUMIFS(BALANCES!$O:$O,BALANCES!$C:$C,"CD")-(SUMIFS(BALANCES!$N:$N,BALANCES!$C:$C,"CD"))</f>
        <v>0</v>
      </c>
    </row>
    <row r="36" customFormat="false" ht="15" hidden="false" customHeight="false" outlineLevel="0" collapsed="false">
      <c r="A36" s="13" t="s">
        <v>317</v>
      </c>
      <c r="B36" s="12" t="s">
        <v>318</v>
      </c>
      <c r="C36" s="15" t="n">
        <f aca="false">SUMIFS(BALANCES!$E:$E,BALANCES!$C:$C,"CE")-(SUMIFS(BALANCES!$D:$D,BALANCES!$C:$C,"CE"))</f>
        <v>0</v>
      </c>
      <c r="D36" s="15" t="n">
        <f aca="false">SUMIFS(BALANCES!$G:$G,BALANCES!$C:$C,"CE")-(SUMIFS(BALANCES!$F:$F,BALANCES!$C:$C,"CE"))</f>
        <v>0</v>
      </c>
      <c r="E36" s="15" t="n">
        <f aca="false">SUMIFS(BALANCES!$I:$I,BALANCES!$C:$C,"CE")-(SUMIFS(BALANCES!$H:$H,BALANCES!$C:$C,"CE"))</f>
        <v>0</v>
      </c>
      <c r="F36" s="15" t="n">
        <f aca="false">SUMIFS(BALANCES!$K:$K,BALANCES!$C:$C,"CE")-(SUMIFS(BALANCES!$J:$J,BALANCES!$C:$C,"CE"))</f>
        <v>0</v>
      </c>
      <c r="G36" s="15" t="n">
        <f aca="false">SUMIFS(BALANCES!$M:$M,BALANCES!$C:$C,"CE")-(SUMIFS(BALANCES!$L:$L,BALANCES!$C:$C,"CE"))</f>
        <v>0</v>
      </c>
      <c r="H36" s="15" t="n">
        <f aca="false">SUMIFS(BALANCES!$O:$O,BALANCES!$C:$C,"CE")-(SUMIFS(BALANCES!$N:$N,BALANCES!$C:$C,"CE"))</f>
        <v>0</v>
      </c>
    </row>
    <row r="37" customFormat="false" ht="15" hidden="false" customHeight="false" outlineLevel="0" collapsed="false">
      <c r="A37" s="13" t="s">
        <v>150</v>
      </c>
      <c r="B37" s="12" t="s">
        <v>319</v>
      </c>
      <c r="C37" s="15" t="n">
        <f aca="false">SUMIFS(BALANCES!$E:$E,BALANCES!$C:$C,"CF")-(SUMIFS(BALANCES!$D:$D,BALANCES!$C:$C,"CF"))</f>
        <v>0</v>
      </c>
      <c r="D37" s="15" t="n">
        <f aca="false">SUMIFS(BALANCES!$G:$G,BALANCES!$C:$C,"CF")-(SUMIFS(BALANCES!$F:$F,BALANCES!$C:$C,"CF"))</f>
        <v>2000000</v>
      </c>
      <c r="E37" s="15" t="n">
        <f aca="false">SUMIFS(BALANCES!$I:$I,BALANCES!$C:$C,"CF")-(SUMIFS(BALANCES!$H:$H,BALANCES!$C:$C,"CF"))</f>
        <v>2000000</v>
      </c>
      <c r="F37" s="15" t="n">
        <f aca="false">SUMIFS(BALANCES!$K:$K,BALANCES!$C:$C,"CF")-(SUMIFS(BALANCES!$J:$J,BALANCES!$C:$C,"CF"))</f>
        <v>2000000</v>
      </c>
      <c r="G37" s="15" t="n">
        <f aca="false">SUMIFS(BALANCES!$M:$M,BALANCES!$C:$C,"CF")-(SUMIFS(BALANCES!$L:$L,BALANCES!$C:$C,"CF"))</f>
        <v>2000000</v>
      </c>
      <c r="H37" s="15" t="n">
        <f aca="false">SUMIFS(BALANCES!$O:$O,BALANCES!$C:$C,"CF")-(SUMIFS(BALANCES!$N:$N,BALANCES!$C:$C,"CF"))</f>
        <v>2000000</v>
      </c>
    </row>
    <row r="38" customFormat="false" ht="15" hidden="false" customHeight="false" outlineLevel="0" collapsed="false">
      <c r="A38" s="13" t="s">
        <v>320</v>
      </c>
      <c r="B38" s="12" t="s">
        <v>321</v>
      </c>
      <c r="C38" s="15" t="n">
        <f aca="false">SUMIFS(BALANCES!$E:$E,BALANCES!$C:$C,"CG")-(SUMIFS(BALANCES!$D:$D,BALANCES!$C:$C,"CG"))</f>
        <v>0</v>
      </c>
      <c r="D38" s="15" t="n">
        <f aca="false">SUMIFS(BALANCES!$G:$G,BALANCES!$C:$C,"CG")-(SUMIFS(BALANCES!$F:$F,BALANCES!$C:$C,"CG"))</f>
        <v>0</v>
      </c>
      <c r="E38" s="15" t="n">
        <f aca="false">SUMIFS(BALANCES!$I:$I,BALANCES!$C:$C,"CG")-(SUMIFS(BALANCES!$H:$H,BALANCES!$C:$C,"CG"))</f>
        <v>0</v>
      </c>
      <c r="F38" s="15" t="n">
        <f aca="false">SUMIFS(BALANCES!$K:$K,BALANCES!$C:$C,"CG")-(SUMIFS(BALANCES!$J:$J,BALANCES!$C:$C,"CG"))</f>
        <v>0</v>
      </c>
      <c r="G38" s="15" t="n">
        <f aca="false">SUMIFS(BALANCES!$M:$M,BALANCES!$C:$C,"CG")-(SUMIFS(BALANCES!$L:$L,BALANCES!$C:$C,"CG"))</f>
        <v>0</v>
      </c>
      <c r="H38" s="15" t="n">
        <f aca="false">SUMIFS(BALANCES!$O:$O,BALANCES!$C:$C,"CG")-(SUMIFS(BALANCES!$N:$N,BALANCES!$C:$C,"CG"))</f>
        <v>0</v>
      </c>
    </row>
    <row r="39" customFormat="false" ht="15" hidden="false" customHeight="false" outlineLevel="0" collapsed="false">
      <c r="A39" s="13" t="s">
        <v>152</v>
      </c>
      <c r="B39" s="12" t="s">
        <v>322</v>
      </c>
      <c r="C39" s="15" t="n">
        <f aca="false">SUMIFS(BALANCES!$E:$E,BALANCES!$C:$C,"CH")-(SUMIFS(BALANCES!$D:$D,BALANCES!$C:$C,"CH"))</f>
        <v>773799851</v>
      </c>
      <c r="D39" s="15" t="n">
        <f aca="false">SUMIFS(BALANCES!$G:$G,BALANCES!$C:$C,"CH")-(SUMIFS(BALANCES!$F:$F,BALANCES!$C:$C,"CH"))</f>
        <v>844498728</v>
      </c>
      <c r="E39" s="15" t="n">
        <f aca="false">SUMIFS(BALANCES!$I:$I,BALANCES!$C:$C,"CH")-(SUMIFS(BALANCES!$H:$H,BALANCES!$C:$C,"CH"))</f>
        <v>914167286.94115</v>
      </c>
      <c r="F39" s="15" t="n">
        <f aca="false">SUMIFS(BALANCES!$K:$K,BALANCES!$C:$C,"CH")-(SUMIFS(BALANCES!$J:$J,BALANCES!$C:$C,"CH"))</f>
        <v>987616739.294858</v>
      </c>
      <c r="G39" s="15" t="n">
        <f aca="false">SUMIFS(BALANCES!$M:$M,BALANCES!$C:$C,"CH")-(SUMIFS(BALANCES!$L:$L,BALANCES!$C:$C,"CH"))</f>
        <v>1067849295.59925</v>
      </c>
      <c r="H39" s="15" t="n">
        <f aca="false">SUMIFS(BALANCES!$O:$O,BALANCES!$C:$C,"CH")-(SUMIFS(BALANCES!$N:$N,BALANCES!$C:$C,"CH"))</f>
        <v>1155934844.60636</v>
      </c>
    </row>
    <row r="40" customFormat="false" ht="15" hidden="false" customHeight="false" outlineLevel="0" collapsed="false">
      <c r="A40" s="13" t="s">
        <v>323</v>
      </c>
      <c r="B40" s="12" t="s">
        <v>324</v>
      </c>
      <c r="C40" s="15" t="n">
        <f aca="false">'COMPTE DE RESULTAT'!C47</f>
        <v>72698877</v>
      </c>
      <c r="D40" s="15" t="n">
        <f aca="false">'COMPTE DE RESULTAT'!D47</f>
        <v>69668558.94115</v>
      </c>
      <c r="E40" s="15" t="n">
        <f aca="false">'COMPTE DE RESULTAT'!E47</f>
        <v>73449452.3537075</v>
      </c>
      <c r="F40" s="15" t="n">
        <f aca="false">'COMPTE DE RESULTAT'!F47</f>
        <v>80232556.3043929</v>
      </c>
      <c r="G40" s="15" t="n">
        <f aca="false">'COMPTE DE RESULTAT'!G47</f>
        <v>88085549.0071126</v>
      </c>
      <c r="H40" s="15" t="n">
        <f aca="false">'COMPTE DE RESULTAT'!H47</f>
        <v>102613790.444968</v>
      </c>
    </row>
    <row r="41" customFormat="false" ht="15" hidden="false" customHeight="false" outlineLevel="0" collapsed="false">
      <c r="A41" s="13" t="s">
        <v>325</v>
      </c>
      <c r="B41" s="12" t="s">
        <v>326</v>
      </c>
      <c r="C41" s="15" t="n">
        <f aca="false">SUMIFS(BALANCES!$E:$E,BALANCES!$C:$C,"CL")-(SUMIFS(BALANCES!$D:$D,BALANCES!$C:$C,"CL"))</f>
        <v>0</v>
      </c>
      <c r="D41" s="15" t="n">
        <f aca="false">SUMIFS(BALANCES!$G:$G,BALANCES!$C:$C,"CL")-(SUMIFS(BALANCES!$F:$F,BALANCES!$C:$C,"CL"))</f>
        <v>0</v>
      </c>
      <c r="E41" s="15" t="n">
        <f aca="false">SUMIFS(BALANCES!$I:$I,BALANCES!$C:$C,"CL")-(SUMIFS(BALANCES!$H:$H,BALANCES!$C:$C,"CL"))</f>
        <v>0</v>
      </c>
      <c r="F41" s="15" t="n">
        <f aca="false">SUMIFS(BALANCES!$K:$K,BALANCES!$C:$C,"CL")-(SUMIFS(BALANCES!$J:$J,BALANCES!$C:$C,"CL"))</f>
        <v>0</v>
      </c>
      <c r="G41" s="15" t="n">
        <f aca="false">SUMIFS(BALANCES!$M:$M,BALANCES!$C:$C,"CL")-(SUMIFS(BALANCES!$L:$L,BALANCES!$C:$C,"CL"))</f>
        <v>0</v>
      </c>
      <c r="H41" s="15" t="n">
        <f aca="false">SUMIFS(BALANCES!$O:$O,BALANCES!$C:$C,"CL")-(SUMIFS(BALANCES!$N:$N,BALANCES!$C:$C,"CL"))</f>
        <v>0</v>
      </c>
    </row>
    <row r="42" customFormat="false" ht="15" hidden="false" customHeight="false" outlineLevel="0" collapsed="false">
      <c r="A42" s="13" t="s">
        <v>327</v>
      </c>
      <c r="B42" s="12" t="s">
        <v>328</v>
      </c>
      <c r="C42" s="15" t="n">
        <f aca="false">SUMIFS(BALANCES!$E:$E,BALANCES!$C:$C,"CM")-(SUMIFS(BALANCES!$D:$D,BALANCES!$C:$C,"CM"))</f>
        <v>0</v>
      </c>
      <c r="D42" s="15" t="n">
        <f aca="false">SUMIFS(BALANCES!$G:$G,BALANCES!$C:$C,"CM")-(SUMIFS(BALANCES!$F:$F,BALANCES!$C:$C,"CM"))</f>
        <v>0</v>
      </c>
      <c r="E42" s="15" t="n">
        <f aca="false">SUMIFS(BALANCES!$I:$I,BALANCES!$C:$C,"CM")-(SUMIFS(BALANCES!$H:$H,BALANCES!$C:$C,"CM"))</f>
        <v>0</v>
      </c>
      <c r="F42" s="15" t="n">
        <f aca="false">SUMIFS(BALANCES!$K:$K,BALANCES!$C:$C,"CM")-(SUMIFS(BALANCES!$J:$J,BALANCES!$C:$C,"CM"))</f>
        <v>0</v>
      </c>
      <c r="G42" s="15" t="n">
        <f aca="false">SUMIFS(BALANCES!$M:$M,BALANCES!$C:$C,"CM")-(SUMIFS(BALANCES!$L:$L,BALANCES!$C:$C,"CM"))</f>
        <v>0</v>
      </c>
      <c r="H42" s="15" t="n">
        <f aca="false">SUMIFS(BALANCES!$O:$O,BALANCES!$C:$C,"CM")-(SUMIFS(BALANCES!$N:$N,BALANCES!$C:$C,"CM"))</f>
        <v>0</v>
      </c>
    </row>
    <row r="43" customFormat="false" ht="15" hidden="false" customHeight="false" outlineLevel="0" collapsed="false">
      <c r="A43" s="34" t="s">
        <v>329</v>
      </c>
      <c r="B43" s="34" t="s">
        <v>330</v>
      </c>
      <c r="C43" s="35" t="n">
        <f aca="false">C33+C34+C35+C36+C37+C38+C39+C40+C41+C42</f>
        <v>856498728</v>
      </c>
      <c r="D43" s="35" t="n">
        <f aca="false">D33+D34+D35+D36+D37+D38+D39+D40+D41+D42</f>
        <v>926167286.94115</v>
      </c>
      <c r="E43" s="35" t="n">
        <f aca="false">E33+E34+E35+E36+E37+E38+E39+E40+E41+E42</f>
        <v>999616739.294858</v>
      </c>
      <c r="F43" s="35" t="n">
        <f aca="false">F33+F34+F35+F36+F37+F38+F39+F40+F41+F42</f>
        <v>1079849295.59925</v>
      </c>
      <c r="G43" s="35" t="n">
        <f aca="false">G33+G34+G35+G36+G37+G38+G39+G40+G41+G42</f>
        <v>1167934844.60636</v>
      </c>
      <c r="H43" s="35" t="n">
        <f aca="false">H33+H34+H35+H36+H37+H38+H39+H40+H41+H42</f>
        <v>1270548635.05133</v>
      </c>
      <c r="I43" s="39" t="n">
        <f aca="false">IF(OR(C43&lt;=0,H43&lt;=0),"",(H43/C43)^(1/5)-1)</f>
        <v>0.0820639150871108</v>
      </c>
    </row>
    <row r="44" customFormat="false" ht="15" hidden="false" customHeight="false" outlineLevel="0" collapsed="false">
      <c r="A44" s="13" t="s">
        <v>154</v>
      </c>
      <c r="B44" s="12" t="s">
        <v>331</v>
      </c>
      <c r="C44" s="15" t="n">
        <f aca="false">SUMIFS(BALANCES!$E:$E,BALANCES!$C:$C,"DA")-(SUMIFS(BALANCES!$D:$D,BALANCES!$C:$C,"DA"))</f>
        <v>39658832</v>
      </c>
      <c r="D44" s="15" t="n">
        <f aca="false">SUMIFS(BALANCES!$G:$G,BALANCES!$C:$C,"DA")-(SUMIFS(BALANCES!$F:$F,BALANCES!$C:$C,"DA"))</f>
        <v>19829416</v>
      </c>
      <c r="E44" s="15" t="n">
        <f aca="false">SUMIFS(BALANCES!$I:$I,BALANCES!$C:$C,"DA")-(SUMIFS(BALANCES!$H:$H,BALANCES!$C:$C,"DA"))</f>
        <v>0</v>
      </c>
      <c r="F44" s="15" t="n">
        <f aca="false">SUMIFS(BALANCES!$K:$K,BALANCES!$C:$C,"DA")-(SUMIFS(BALANCES!$J:$J,BALANCES!$C:$C,"DA"))</f>
        <v>0</v>
      </c>
      <c r="G44" s="15" t="n">
        <f aca="false">SUMIFS(BALANCES!$M:$M,BALANCES!$C:$C,"DA")-(SUMIFS(BALANCES!$L:$L,BALANCES!$C:$C,"DA"))</f>
        <v>0</v>
      </c>
      <c r="H44" s="15" t="n">
        <f aca="false">SUMIFS(BALANCES!$O:$O,BALANCES!$C:$C,"DA")-(SUMIFS(BALANCES!$N:$N,BALANCES!$C:$C,"DA"))</f>
        <v>0</v>
      </c>
    </row>
    <row r="45" customFormat="false" ht="15" hidden="false" customHeight="false" outlineLevel="0" collapsed="false">
      <c r="A45" s="13" t="s">
        <v>156</v>
      </c>
      <c r="B45" s="12" t="s">
        <v>155</v>
      </c>
      <c r="C45" s="15" t="n">
        <f aca="false">SUMIFS(BALANCES!$E:$E,BALANCES!$C:$C,"DB")-(SUMIFS(BALANCES!$D:$D,BALANCES!$C:$C,"DB"))</f>
        <v>10619694</v>
      </c>
      <c r="D45" s="15" t="n">
        <f aca="false">SUMIFS(BALANCES!$G:$G,BALANCES!$C:$C,"DB")-(SUMIFS(BALANCES!$F:$F,BALANCES!$C:$C,"DB"))</f>
        <v>0</v>
      </c>
      <c r="E45" s="15" t="n">
        <f aca="false">SUMIFS(BALANCES!$I:$I,BALANCES!$C:$C,"DB")-(SUMIFS(BALANCES!$H:$H,BALANCES!$C:$C,"DB"))</f>
        <v>0</v>
      </c>
      <c r="F45" s="15" t="n">
        <f aca="false">SUMIFS(BALANCES!$K:$K,BALANCES!$C:$C,"DB")-(SUMIFS(BALANCES!$J:$J,BALANCES!$C:$C,"DB"))</f>
        <v>0</v>
      </c>
      <c r="G45" s="15" t="n">
        <f aca="false">SUMIFS(BALANCES!$M:$M,BALANCES!$C:$C,"DB")-(SUMIFS(BALANCES!$L:$L,BALANCES!$C:$C,"DB"))</f>
        <v>0</v>
      </c>
      <c r="H45" s="15" t="n">
        <f aca="false">SUMIFS(BALANCES!$O:$O,BALANCES!$C:$C,"DB")-(SUMIFS(BALANCES!$N:$N,BALANCES!$C:$C,"DB"))</f>
        <v>0</v>
      </c>
    </row>
    <row r="46" customFormat="false" ht="15" hidden="false" customHeight="false" outlineLevel="0" collapsed="false">
      <c r="A46" s="13" t="s">
        <v>158</v>
      </c>
      <c r="B46" s="12" t="s">
        <v>332</v>
      </c>
      <c r="C46" s="15" t="n">
        <f aca="false">SUMIFS(BALANCES!$E:$E,BALANCES!$C:$C,"DC")-(SUMIFS(BALANCES!$D:$D,BALANCES!$C:$C,"DC"))</f>
        <v>21273896</v>
      </c>
      <c r="D46" s="15" t="n">
        <f aca="false">SUMIFS(BALANCES!$G:$G,BALANCES!$C:$C,"DC")-(SUMIFS(BALANCES!$F:$F,BALANCES!$C:$C,"DC"))</f>
        <v>27333192</v>
      </c>
      <c r="E46" s="15" t="n">
        <f aca="false">SUMIFS(BALANCES!$I:$I,BALANCES!$C:$C,"DC")-(SUMIFS(BALANCES!$H:$H,BALANCES!$C:$C,"DC"))</f>
        <v>33392488</v>
      </c>
      <c r="F46" s="15" t="n">
        <f aca="false">SUMIFS(BALANCES!$K:$K,BALANCES!$C:$C,"DC")-(SUMIFS(BALANCES!$J:$J,BALANCES!$C:$C,"DC"))</f>
        <v>39451784</v>
      </c>
      <c r="G46" s="15" t="n">
        <f aca="false">SUMIFS(BALANCES!$M:$M,BALANCES!$C:$C,"DC")-(SUMIFS(BALANCES!$L:$L,BALANCES!$C:$C,"DC"))</f>
        <v>45511080</v>
      </c>
      <c r="H46" s="15" t="n">
        <f aca="false">SUMIFS(BALANCES!$O:$O,BALANCES!$C:$C,"DC")-(SUMIFS(BALANCES!$N:$N,BALANCES!$C:$C,"DC"))</f>
        <v>51570376</v>
      </c>
    </row>
    <row r="47" customFormat="false" ht="15" hidden="false" customHeight="false" outlineLevel="0" collapsed="false">
      <c r="A47" s="34" t="s">
        <v>333</v>
      </c>
      <c r="B47" s="34" t="s">
        <v>334</v>
      </c>
      <c r="C47" s="35" t="n">
        <f aca="false">C44+C45+C46</f>
        <v>71552422</v>
      </c>
      <c r="D47" s="35" t="n">
        <f aca="false">D44+D45+D46</f>
        <v>47162608</v>
      </c>
      <c r="E47" s="35" t="n">
        <f aca="false">E44+E45+E46</f>
        <v>33392488</v>
      </c>
      <c r="F47" s="35" t="n">
        <f aca="false">F44+F45+F46</f>
        <v>39451784</v>
      </c>
      <c r="G47" s="35" t="n">
        <f aca="false">G44+G45+G46</f>
        <v>45511080</v>
      </c>
      <c r="H47" s="35" t="n">
        <f aca="false">H44+H45+H46</f>
        <v>51570376</v>
      </c>
      <c r="I47" s="38"/>
    </row>
    <row r="48" customFormat="false" ht="15" hidden="false" customHeight="false" outlineLevel="0" collapsed="false">
      <c r="A48" s="34" t="s">
        <v>335</v>
      </c>
      <c r="B48" s="34" t="s">
        <v>336</v>
      </c>
      <c r="C48" s="35" t="n">
        <f aca="false">C43+C47</f>
        <v>928051150</v>
      </c>
      <c r="D48" s="35" t="n">
        <f aca="false">D43+D47</f>
        <v>973329894.94115</v>
      </c>
      <c r="E48" s="35" t="n">
        <f aca="false">E43+E47</f>
        <v>1033009227.29486</v>
      </c>
      <c r="F48" s="35" t="n">
        <f aca="false">F43+F47</f>
        <v>1119301079.59925</v>
      </c>
      <c r="G48" s="35" t="n">
        <f aca="false">G43+G47</f>
        <v>1213445924.60636</v>
      </c>
      <c r="H48" s="35" t="n">
        <f aca="false">H43+H47</f>
        <v>1322119011.05133</v>
      </c>
      <c r="I48" s="38"/>
    </row>
    <row r="49" customFormat="false" ht="15" hidden="false" customHeight="false" outlineLevel="0" collapsed="false">
      <c r="A49" s="13" t="s">
        <v>197</v>
      </c>
      <c r="B49" s="12" t="s">
        <v>337</v>
      </c>
      <c r="C49" s="15" t="n">
        <f aca="false">SUMIFS(BALANCES!$E:$E,BALANCES!$C:$C,"DH")-(SUMIFS(BALANCES!$D:$D,BALANCES!$C:$C,"DH"))</f>
        <v>132896547</v>
      </c>
      <c r="D49" s="15" t="n">
        <f aca="false">SUMIFS(BALANCES!$G:$G,BALANCES!$C:$C,"DH")-(SUMIFS(BALANCES!$F:$F,BALANCES!$C:$C,"DH"))</f>
        <v>0</v>
      </c>
      <c r="E49" s="15" t="n">
        <f aca="false">SUMIFS(BALANCES!$I:$I,BALANCES!$C:$C,"DH")-(SUMIFS(BALANCES!$H:$H,BALANCES!$C:$C,"DH"))</f>
        <v>0</v>
      </c>
      <c r="F49" s="15" t="n">
        <f aca="false">SUMIFS(BALANCES!$K:$K,BALANCES!$C:$C,"DH")-(SUMIFS(BALANCES!$J:$J,BALANCES!$C:$C,"DH"))</f>
        <v>0</v>
      </c>
      <c r="G49" s="15" t="n">
        <f aca="false">SUMIFS(BALANCES!$M:$M,BALANCES!$C:$C,"DH")-(SUMIFS(BALANCES!$L:$L,BALANCES!$C:$C,"DH"))</f>
        <v>0</v>
      </c>
      <c r="H49" s="15" t="n">
        <f aca="false">SUMIFS(BALANCES!$O:$O,BALANCES!$C:$C,"DH")-(SUMIFS(BALANCES!$N:$N,BALANCES!$C:$C,"DH"))</f>
        <v>0</v>
      </c>
    </row>
    <row r="50" customFormat="false" ht="15" hidden="false" customHeight="false" outlineLevel="0" collapsed="false">
      <c r="A50" s="13" t="s">
        <v>338</v>
      </c>
      <c r="B50" s="12" t="s">
        <v>339</v>
      </c>
      <c r="C50" s="15" t="n">
        <f aca="false">SUMIFS(BALANCES!$E:$E,BALANCES!$C:$C,"DI")-(SUMIFS(BALANCES!$D:$D,BALANCES!$C:$C,"DI"))</f>
        <v>0</v>
      </c>
      <c r="D50" s="15" t="n">
        <f aca="false">SUMIFS(BALANCES!$G:$G,BALANCES!$C:$C,"DI")-(SUMIFS(BALANCES!$F:$F,BALANCES!$C:$C,"DI"))</f>
        <v>0</v>
      </c>
      <c r="E50" s="15" t="n">
        <f aca="false">SUMIFS(BALANCES!$I:$I,BALANCES!$C:$C,"DI")-(SUMIFS(BALANCES!$H:$H,BALANCES!$C:$C,"DI"))</f>
        <v>0</v>
      </c>
      <c r="F50" s="15" t="n">
        <f aca="false">SUMIFS(BALANCES!$K:$K,BALANCES!$C:$C,"DI")-(SUMIFS(BALANCES!$J:$J,BALANCES!$C:$C,"DI"))</f>
        <v>0</v>
      </c>
      <c r="G50" s="15" t="n">
        <f aca="false">SUMIFS(BALANCES!$M:$M,BALANCES!$C:$C,"DI")-(SUMIFS(BALANCES!$L:$L,BALANCES!$C:$C,"DI"))</f>
        <v>0</v>
      </c>
      <c r="H50" s="15" t="n">
        <f aca="false">SUMIFS(BALANCES!$O:$O,BALANCES!$C:$C,"DI")-(SUMIFS(BALANCES!$N:$N,BALANCES!$C:$C,"DI"))</f>
        <v>0</v>
      </c>
    </row>
    <row r="51" customFormat="false" ht="15" hidden="false" customHeight="false" outlineLevel="0" collapsed="false">
      <c r="A51" s="13" t="s">
        <v>176</v>
      </c>
      <c r="B51" s="12" t="s">
        <v>340</v>
      </c>
      <c r="C51" s="15" t="n">
        <f aca="false">SUMIFS(BALANCES!$E:$E,BALANCES!$C:$C,"DJ")-(SUMIFS(BALANCES!$D:$D,BALANCES!$C:$C,"DJ"))</f>
        <v>72947866</v>
      </c>
      <c r="D51" s="15" t="n">
        <f aca="false">SUMIFS(BALANCES!$G:$G,BALANCES!$C:$C,"DJ")-(SUMIFS(BALANCES!$F:$F,BALANCES!$C:$C,"DJ"))</f>
        <v>76257009.1439061</v>
      </c>
      <c r="E51" s="15" t="n">
        <f aca="false">SUMIFS(BALANCES!$I:$I,BALANCES!$C:$C,"DJ")-(SUMIFS(BALANCES!$H:$H,BALANCES!$C:$C,"DJ"))</f>
        <v>80069859.6011014</v>
      </c>
      <c r="F51" s="15" t="n">
        <f aca="false">SUMIFS(BALANCES!$K:$K,BALANCES!$C:$C,"DJ")-(SUMIFS(BALANCES!$J:$J,BALANCES!$C:$C,"DJ"))</f>
        <v>84073352.5811564</v>
      </c>
      <c r="G51" s="15" t="n">
        <f aca="false">SUMIFS(BALANCES!$M:$M,BALANCES!$C:$C,"DJ")-(SUMIFS(BALANCES!$L:$L,BALANCES!$C:$C,"DJ"))</f>
        <v>88277020.2102142</v>
      </c>
      <c r="H51" s="15" t="n">
        <f aca="false">SUMIFS(BALANCES!$O:$O,BALANCES!$C:$C,"DJ")-(SUMIFS(BALANCES!$N:$N,BALANCES!$C:$C,"DJ"))</f>
        <v>92690871.220725</v>
      </c>
    </row>
    <row r="52" customFormat="false" ht="15" hidden="false" customHeight="false" outlineLevel="0" collapsed="false">
      <c r="A52" s="13" t="s">
        <v>180</v>
      </c>
      <c r="B52" s="12" t="s">
        <v>341</v>
      </c>
      <c r="C52" s="15" t="n">
        <f aca="false">SUMIFS(BALANCES!$E:$E,BALANCES!$C:$C,"DK")-(SUMIFS(BALANCES!$D:$D,BALANCES!$C:$C,"DK"))</f>
        <v>102091109</v>
      </c>
      <c r="D52" s="15" t="n">
        <f aca="false">SUMIFS(BALANCES!$G:$G,BALANCES!$C:$C,"DK")-(SUMIFS(BALANCES!$F:$F,BALANCES!$C:$C,"DK"))</f>
        <v>105012543.622823</v>
      </c>
      <c r="E52" s="15" t="n">
        <f aca="false">SUMIFS(BALANCES!$I:$I,BALANCES!$C:$C,"DK")-(SUMIFS(BALANCES!$H:$H,BALANCES!$C:$C,"DK"))</f>
        <v>110362325.959131</v>
      </c>
      <c r="F52" s="15" t="n">
        <f aca="false">SUMIFS(BALANCES!$K:$K,BALANCES!$C:$C,"DK")-(SUMIFS(BALANCES!$J:$J,BALANCES!$C:$C,"DK"))</f>
        <v>116917319.368087</v>
      </c>
      <c r="G52" s="15" t="n">
        <f aca="false">SUMIFS(BALANCES!$M:$M,BALANCES!$C:$C,"DK")-(SUMIFS(BALANCES!$L:$L,BALANCES!$C:$C,"DK"))</f>
        <v>124043640.298991</v>
      </c>
      <c r="H52" s="15" t="n">
        <f aca="false">SUMIFS(BALANCES!$O:$O,BALANCES!$C:$C,"DK")-(SUMIFS(BALANCES!$N:$N,BALANCES!$C:$C,"DK"))</f>
        <v>133620476.976441</v>
      </c>
    </row>
    <row r="53" customFormat="false" ht="15" hidden="false" customHeight="false" outlineLevel="0" collapsed="false">
      <c r="A53" s="13" t="s">
        <v>195</v>
      </c>
      <c r="B53" s="12" t="s">
        <v>342</v>
      </c>
      <c r="C53" s="15" t="n">
        <f aca="false">SUMIFS(BALANCES!$E:$E,BALANCES!$C:$C,"DM")-(SUMIFS(BALANCES!$D:$D,BALANCES!$C:$C,"DM"))</f>
        <v>3700000</v>
      </c>
      <c r="D53" s="15" t="n">
        <f aca="false">SUMIFS(BALANCES!$G:$G,BALANCES!$C:$C,"DM")-(SUMIFS(BALANCES!$F:$F,BALANCES!$C:$C,"DM"))</f>
        <v>3700000</v>
      </c>
      <c r="E53" s="15" t="n">
        <f aca="false">SUMIFS(BALANCES!$I:$I,BALANCES!$C:$C,"DM")-(SUMIFS(BALANCES!$H:$H,BALANCES!$C:$C,"DM"))</f>
        <v>3700000</v>
      </c>
      <c r="F53" s="15" t="n">
        <f aca="false">SUMIFS(BALANCES!$K:$K,BALANCES!$C:$C,"DM")-(SUMIFS(BALANCES!$J:$J,BALANCES!$C:$C,"DM"))</f>
        <v>3700000</v>
      </c>
      <c r="G53" s="15" t="n">
        <f aca="false">SUMIFS(BALANCES!$M:$M,BALANCES!$C:$C,"DM")-(SUMIFS(BALANCES!$L:$L,BALANCES!$C:$C,"DM"))</f>
        <v>3700000</v>
      </c>
      <c r="H53" s="15" t="n">
        <f aca="false">SUMIFS(BALANCES!$O:$O,BALANCES!$C:$C,"DM")-(SUMIFS(BALANCES!$N:$N,BALANCES!$C:$C,"DM"))</f>
        <v>3700000</v>
      </c>
    </row>
    <row r="54" customFormat="false" ht="15" hidden="false" customHeight="false" outlineLevel="0" collapsed="false">
      <c r="A54" s="13" t="s">
        <v>343</v>
      </c>
      <c r="B54" s="12" t="s">
        <v>344</v>
      </c>
      <c r="C54" s="15" t="n">
        <f aca="false">SUMIFS(BALANCES!$E:$E,BALANCES!$C:$C,"DN")-(SUMIFS(BALANCES!$D:$D,BALANCES!$C:$C,"DN"))</f>
        <v>0</v>
      </c>
      <c r="D54" s="15" t="n">
        <f aca="false">SUMIFS(BALANCES!$G:$G,BALANCES!$C:$C,"DN")-(SUMIFS(BALANCES!$F:$F,BALANCES!$C:$C,"DN"))</f>
        <v>0</v>
      </c>
      <c r="E54" s="15" t="n">
        <f aca="false">SUMIFS(BALANCES!$I:$I,BALANCES!$C:$C,"DN")-(SUMIFS(BALANCES!$H:$H,BALANCES!$C:$C,"DN"))</f>
        <v>0</v>
      </c>
      <c r="F54" s="15" t="n">
        <f aca="false">SUMIFS(BALANCES!$K:$K,BALANCES!$C:$C,"DN")-(SUMIFS(BALANCES!$J:$J,BALANCES!$C:$C,"DN"))</f>
        <v>0</v>
      </c>
      <c r="G54" s="15" t="n">
        <f aca="false">SUMIFS(BALANCES!$M:$M,BALANCES!$C:$C,"DN")-(SUMIFS(BALANCES!$L:$L,BALANCES!$C:$C,"DN"))</f>
        <v>0</v>
      </c>
      <c r="H54" s="15" t="n">
        <f aca="false">SUMIFS(BALANCES!$O:$O,BALANCES!$C:$C,"DN")-(SUMIFS(BALANCES!$N:$N,BALANCES!$C:$C,"DN"))</f>
        <v>0</v>
      </c>
    </row>
    <row r="55" customFormat="false" ht="15" hidden="false" customHeight="false" outlineLevel="0" collapsed="false">
      <c r="A55" s="34" t="s">
        <v>345</v>
      </c>
      <c r="B55" s="34" t="s">
        <v>346</v>
      </c>
      <c r="C55" s="35" t="n">
        <f aca="false">C49+C50+C51+C52+C53+C54</f>
        <v>311635522</v>
      </c>
      <c r="D55" s="35" t="n">
        <f aca="false">D49+D50+D51+D52+D53+D54</f>
        <v>184969552.766729</v>
      </c>
      <c r="E55" s="35" t="n">
        <f aca="false">E49+E50+E51+E52+E53+E54</f>
        <v>194132185.560232</v>
      </c>
      <c r="F55" s="35" t="n">
        <f aca="false">F49+F50+F51+F52+F53+F54</f>
        <v>204690671.949244</v>
      </c>
      <c r="G55" s="35" t="n">
        <f aca="false">G49+G50+G51+G52+G53+G54</f>
        <v>216020660.509206</v>
      </c>
      <c r="H55" s="35" t="n">
        <f aca="false">H49+H50+H51+H52+H53+H54</f>
        <v>230011348.197166</v>
      </c>
      <c r="I55" s="38"/>
    </row>
    <row r="56" customFormat="false" ht="15" hidden="false" customHeight="false" outlineLevel="0" collapsed="false">
      <c r="A56" s="13" t="s">
        <v>347</v>
      </c>
      <c r="B56" s="12" t="s">
        <v>348</v>
      </c>
      <c r="C56" s="15" t="n">
        <f aca="false">SUMIFS(BALANCES!$E:$E,BALANCES!$C:$C,"DQ")-(SUMIFS(BALANCES!$D:$D,BALANCES!$C:$C,"DQ"))</f>
        <v>0</v>
      </c>
      <c r="D56" s="15" t="n">
        <f aca="false">SUMIFS(BALANCES!$G:$G,BALANCES!$C:$C,"DQ")-(SUMIFS(BALANCES!$F:$F,BALANCES!$C:$C,"DQ"))</f>
        <v>0</v>
      </c>
      <c r="E56" s="15" t="n">
        <f aca="false">SUMIFS(BALANCES!$I:$I,BALANCES!$C:$C,"DQ")-(SUMIFS(BALANCES!$H:$H,BALANCES!$C:$C,"DQ"))</f>
        <v>0</v>
      </c>
      <c r="F56" s="15" t="n">
        <f aca="false">SUMIFS(BALANCES!$K:$K,BALANCES!$C:$C,"DQ")-(SUMIFS(BALANCES!$J:$J,BALANCES!$C:$C,"DQ"))</f>
        <v>0</v>
      </c>
      <c r="G56" s="15" t="n">
        <f aca="false">SUMIFS(BALANCES!$M:$M,BALANCES!$C:$C,"DQ")-(SUMIFS(BALANCES!$L:$L,BALANCES!$C:$C,"DQ"))</f>
        <v>0</v>
      </c>
      <c r="H56" s="15" t="n">
        <f aca="false">SUMIFS(BALANCES!$O:$O,BALANCES!$C:$C,"DQ")-(SUMIFS(BALANCES!$N:$N,BALANCES!$C:$C,"DQ"))</f>
        <v>0</v>
      </c>
    </row>
    <row r="57" customFormat="false" ht="15" hidden="false" customHeight="false" outlineLevel="0" collapsed="false">
      <c r="A57" s="13" t="s">
        <v>349</v>
      </c>
      <c r="B57" s="12" t="s">
        <v>350</v>
      </c>
      <c r="C57" s="15" t="n">
        <f aca="false">SUMIFS(BALANCES!$E:$E,BALANCES!$C:$C,"DR")+SUMIFS(BALANCES!$E:$E,BALANCES!$C:$C,"TRESO")-(SUMIFS(BALANCES!$D:$D,BALANCES!$C:$C,"DR"))</f>
        <v>0</v>
      </c>
      <c r="D57" s="15" t="n">
        <f aca="false">SUMIFS(BALANCES!$G:$G,BALANCES!$C:$C,"DR")+SUMIFS(BALANCES!$G:$G,BALANCES!$C:$C,"TRESO")-(SUMIFS(BALANCES!$F:$F,BALANCES!$C:$C,"DR"))</f>
        <v>0</v>
      </c>
      <c r="E57" s="15" t="n">
        <f aca="false">SUMIFS(BALANCES!$I:$I,BALANCES!$C:$C,"DR")+SUMIFS(BALANCES!$I:$I,BALANCES!$C:$C,"TRESO")-(SUMIFS(BALANCES!$H:$H,BALANCES!$C:$C,"DR"))</f>
        <v>0</v>
      </c>
      <c r="F57" s="15" t="n">
        <f aca="false">SUMIFS(BALANCES!$K:$K,BALANCES!$C:$C,"DR")+SUMIFS(BALANCES!$K:$K,BALANCES!$C:$C,"TRESO")-(SUMIFS(BALANCES!$J:$J,BALANCES!$C:$C,"DR"))</f>
        <v>0</v>
      </c>
      <c r="G57" s="15" t="n">
        <f aca="false">SUMIFS(BALANCES!$M:$M,BALANCES!$C:$C,"DR")+SUMIFS(BALANCES!$M:$M,BALANCES!$C:$C,"TRESO")-(SUMIFS(BALANCES!$L:$L,BALANCES!$C:$C,"DR"))</f>
        <v>0</v>
      </c>
      <c r="H57" s="15" t="n">
        <f aca="false">SUMIFS(BALANCES!$O:$O,BALANCES!$C:$C,"DR")+SUMIFS(BALANCES!$O:$O,BALANCES!$C:$C,"TRESO")-(SUMIFS(BALANCES!$N:$N,BALANCES!$C:$C,"DR"))</f>
        <v>0</v>
      </c>
    </row>
    <row r="58" customFormat="false" ht="15" hidden="false" customHeight="false" outlineLevel="0" collapsed="false">
      <c r="A58" s="34" t="s">
        <v>351</v>
      </c>
      <c r="B58" s="34" t="s">
        <v>352</v>
      </c>
      <c r="C58" s="35" t="n">
        <f aca="false">C56+C57</f>
        <v>0</v>
      </c>
      <c r="D58" s="35" t="n">
        <f aca="false">D56+D57</f>
        <v>0</v>
      </c>
      <c r="E58" s="35" t="n">
        <f aca="false">E56+E57</f>
        <v>0</v>
      </c>
      <c r="F58" s="35" t="n">
        <f aca="false">F56+F57</f>
        <v>0</v>
      </c>
      <c r="G58" s="35" t="n">
        <f aca="false">G56+G57</f>
        <v>0</v>
      </c>
      <c r="H58" s="35" t="n">
        <f aca="false">H56+H57</f>
        <v>0</v>
      </c>
      <c r="I58" s="38"/>
    </row>
    <row r="59" customFormat="false" ht="15" hidden="false" customHeight="false" outlineLevel="0" collapsed="false">
      <c r="A59" s="13" t="s">
        <v>353</v>
      </c>
      <c r="B59" s="12" t="s">
        <v>354</v>
      </c>
      <c r="C59" s="15" t="n">
        <f aca="false">SUMIFS(BALANCES!$E:$E,BALANCES!$C:$C,"DV")-(SUMIFS(BALANCES!$D:$D,BALANCES!$C:$C,"DV"))</f>
        <v>0</v>
      </c>
      <c r="D59" s="15" t="n">
        <f aca="false">SUMIFS(BALANCES!$G:$G,BALANCES!$C:$C,"DV")-(SUMIFS(BALANCES!$F:$F,BALANCES!$C:$C,"DV"))</f>
        <v>0</v>
      </c>
      <c r="E59" s="15" t="n">
        <f aca="false">SUMIFS(BALANCES!$I:$I,BALANCES!$C:$C,"DV")-(SUMIFS(BALANCES!$H:$H,BALANCES!$C:$C,"DV"))</f>
        <v>0</v>
      </c>
      <c r="F59" s="15" t="n">
        <f aca="false">SUMIFS(BALANCES!$K:$K,BALANCES!$C:$C,"DV")-(SUMIFS(BALANCES!$J:$J,BALANCES!$C:$C,"DV"))</f>
        <v>0</v>
      </c>
      <c r="G59" s="15" t="n">
        <f aca="false">SUMIFS(BALANCES!$M:$M,BALANCES!$C:$C,"DV")-(SUMIFS(BALANCES!$L:$L,BALANCES!$C:$C,"DV"))</f>
        <v>0</v>
      </c>
      <c r="H59" s="15" t="n">
        <f aca="false">SUMIFS(BALANCES!$O:$O,BALANCES!$C:$C,"DV")-(SUMIFS(BALANCES!$N:$N,BALANCES!$C:$C,"DV"))</f>
        <v>0</v>
      </c>
    </row>
    <row r="60" customFormat="false" ht="15" hidden="false" customHeight="false" outlineLevel="0" collapsed="false">
      <c r="A60" s="34" t="s">
        <v>355</v>
      </c>
      <c r="B60" s="34" t="s">
        <v>356</v>
      </c>
      <c r="C60" s="35" t="n">
        <f aca="false">C48+C55+C58+C59</f>
        <v>1239686672</v>
      </c>
      <c r="D60" s="35" t="n">
        <f aca="false">D48+D55+D58+D59</f>
        <v>1158299447.70788</v>
      </c>
      <c r="E60" s="35" t="n">
        <f aca="false">E48+E55+E58+E59</f>
        <v>1227141412.85509</v>
      </c>
      <c r="F60" s="35" t="n">
        <f aca="false">F48+F55+F58+F59</f>
        <v>1323991751.54849</v>
      </c>
      <c r="G60" s="35" t="n">
        <f aca="false">G48+G55+G58+G59</f>
        <v>1429466585.11557</v>
      </c>
      <c r="H60" s="35" t="n">
        <f aca="false">H48+H55+H58+H59</f>
        <v>1552130359.2485</v>
      </c>
      <c r="I60" s="39" t="n">
        <f aca="false">IF(OR(C60&lt;=0,H60&lt;=0),"",(H60/C60)^(1/5)-1)</f>
        <v>0.0459796911793886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357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358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265</v>
      </c>
      <c r="B5" s="36" t="s">
        <v>359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267</v>
      </c>
    </row>
    <row r="6" customFormat="false" ht="15" hidden="false" customHeight="false" outlineLevel="0" collapsed="false">
      <c r="A6" s="13" t="s">
        <v>360</v>
      </c>
      <c r="B6" s="12" t="s">
        <v>361</v>
      </c>
      <c r="C6" s="15" t="n">
        <f aca="false">SUMIFS(BALANCES!$E:$E,BALANCES!$C:$C,"TA")-(SUMIFS(BALANCES!$D:$D,BALANCES!$C:$C,"TA"))</f>
        <v>0</v>
      </c>
      <c r="D6" s="15" t="n">
        <f aca="false">SUMIFS(BALANCES!$G:$G,BALANCES!$C:$C,"TA")-(SUMIFS(BALANCES!$F:$F,BALANCES!$C:$C,"TA"))</f>
        <v>0</v>
      </c>
      <c r="E6" s="15" t="n">
        <f aca="false">SUMIFS(BALANCES!$I:$I,BALANCES!$C:$C,"TA")-(SUMIFS(BALANCES!$H:$H,BALANCES!$C:$C,"TA"))</f>
        <v>0</v>
      </c>
      <c r="F6" s="15" t="n">
        <f aca="false">SUMIFS(BALANCES!$K:$K,BALANCES!$C:$C,"TA")-(SUMIFS(BALANCES!$J:$J,BALANCES!$C:$C,"TA"))</f>
        <v>0</v>
      </c>
      <c r="G6" s="15" t="n">
        <f aca="false">SUMIFS(BALANCES!$M:$M,BALANCES!$C:$C,"TA")-(SUMIFS(BALANCES!$L:$L,BALANCES!$C:$C,"TA"))</f>
        <v>0</v>
      </c>
      <c r="H6" s="15" t="n">
        <f aca="false">SUMIFS(BALANCES!$O:$O,BALANCES!$C:$C,"TA")-(SUMIFS(BALANCES!$N:$N,BALANCES!$C:$C,"TA"))</f>
        <v>0</v>
      </c>
    </row>
    <row r="7" customFormat="false" ht="15" hidden="false" customHeight="false" outlineLevel="0" collapsed="false">
      <c r="A7" s="13" t="s">
        <v>362</v>
      </c>
      <c r="B7" s="12" t="s">
        <v>363</v>
      </c>
      <c r="C7" s="15" t="n">
        <f aca="false">SUMIFS(BALANCES!$E:$E,BALANCES!$C:$C,"RA")-(SUMIFS(BALANCES!$D:$D,BALANCES!$C:$C,"RA"))</f>
        <v>0</v>
      </c>
      <c r="D7" s="15" t="n">
        <f aca="false">SUMIFS(BALANCES!$G:$G,BALANCES!$C:$C,"RA")-(SUMIFS(BALANCES!$F:$F,BALANCES!$C:$C,"RA"))</f>
        <v>0</v>
      </c>
      <c r="E7" s="15" t="n">
        <f aca="false">SUMIFS(BALANCES!$I:$I,BALANCES!$C:$C,"RA")-(SUMIFS(BALANCES!$H:$H,BALANCES!$C:$C,"RA"))</f>
        <v>0</v>
      </c>
      <c r="F7" s="15" t="n">
        <f aca="false">SUMIFS(BALANCES!$K:$K,BALANCES!$C:$C,"RA")-(SUMIFS(BALANCES!$J:$J,BALANCES!$C:$C,"RA"))</f>
        <v>0</v>
      </c>
      <c r="G7" s="15" t="n">
        <f aca="false">SUMIFS(BALANCES!$M:$M,BALANCES!$C:$C,"RA")-(SUMIFS(BALANCES!$L:$L,BALANCES!$C:$C,"RA"))</f>
        <v>0</v>
      </c>
      <c r="H7" s="15" t="n">
        <f aca="false">SUMIFS(BALANCES!$O:$O,BALANCES!$C:$C,"RA")-(SUMIFS(BALANCES!$N:$N,BALANCES!$C:$C,"RA"))</f>
        <v>0</v>
      </c>
    </row>
    <row r="8" customFormat="false" ht="15" hidden="false" customHeight="false" outlineLevel="0" collapsed="false">
      <c r="A8" s="13" t="s">
        <v>364</v>
      </c>
      <c r="B8" s="12" t="s">
        <v>365</v>
      </c>
      <c r="C8" s="15" t="n">
        <f aca="false">SUMIFS(BALANCES!$E:$E,BALANCES!$C:$C,"RB")-(SUMIFS(BALANCES!$D:$D,BALANCES!$C:$C,"RB"))</f>
        <v>0</v>
      </c>
      <c r="D8" s="15" t="n">
        <f aca="false">SUMIFS(BALANCES!$G:$G,BALANCES!$C:$C,"RB")-(SUMIFS(BALANCES!$F:$F,BALANCES!$C:$C,"RB"))</f>
        <v>0</v>
      </c>
      <c r="E8" s="15" t="n">
        <f aca="false">SUMIFS(BALANCES!$I:$I,BALANCES!$C:$C,"RB")-(SUMIFS(BALANCES!$H:$H,BALANCES!$C:$C,"RB"))</f>
        <v>0</v>
      </c>
      <c r="F8" s="15" t="n">
        <f aca="false">SUMIFS(BALANCES!$K:$K,BALANCES!$C:$C,"RB")-(SUMIFS(BALANCES!$J:$J,BALANCES!$C:$C,"RB"))</f>
        <v>0</v>
      </c>
      <c r="G8" s="15" t="n">
        <f aca="false">SUMIFS(BALANCES!$M:$M,BALANCES!$C:$C,"RB")-(SUMIFS(BALANCES!$L:$L,BALANCES!$C:$C,"RB"))</f>
        <v>0</v>
      </c>
      <c r="H8" s="15" t="n">
        <f aca="false">SUMIFS(BALANCES!$O:$O,BALANCES!$C:$C,"RB")-(SUMIFS(BALANCES!$N:$N,BALANCES!$C:$C,"RB"))</f>
        <v>0</v>
      </c>
    </row>
    <row r="9" customFormat="false" ht="15" hidden="false" customHeight="false" outlineLevel="0" collapsed="false">
      <c r="A9" s="34" t="s">
        <v>366</v>
      </c>
      <c r="B9" s="34" t="s">
        <v>367</v>
      </c>
      <c r="C9" s="35" t="n">
        <f aca="false">C6+C7+C8</f>
        <v>0</v>
      </c>
      <c r="D9" s="35" t="n">
        <f aca="false">D6+D7+D8</f>
        <v>0</v>
      </c>
      <c r="E9" s="35" t="n">
        <f aca="false">E6+E7+E8</f>
        <v>0</v>
      </c>
      <c r="F9" s="35" t="n">
        <f aca="false">F6+F7+F8</f>
        <v>0</v>
      </c>
      <c r="G9" s="35" t="n">
        <f aca="false">G6+G7+G8</f>
        <v>0</v>
      </c>
      <c r="H9" s="35" t="n">
        <f aca="false">H6+H7+H8</f>
        <v>0</v>
      </c>
      <c r="I9" s="38"/>
    </row>
    <row r="10" customFormat="false" ht="15" hidden="false" customHeight="false" outlineLevel="0" collapsed="false">
      <c r="A10" s="13" t="s">
        <v>368</v>
      </c>
      <c r="B10" s="12" t="s">
        <v>369</v>
      </c>
      <c r="C10" s="15" t="n">
        <f aca="false">SUMIFS(BALANCES!$E:$E,BALANCES!$C:$C,"TB")-(SUMIFS(BALANCES!$D:$D,BALANCES!$C:$C,"TB"))</f>
        <v>0</v>
      </c>
      <c r="D10" s="15" t="n">
        <f aca="false">SUMIFS(BALANCES!$G:$G,BALANCES!$C:$C,"TB")-(SUMIFS(BALANCES!$F:$F,BALANCES!$C:$C,"TB"))</f>
        <v>0</v>
      </c>
      <c r="E10" s="15" t="n">
        <f aca="false">SUMIFS(BALANCES!$I:$I,BALANCES!$C:$C,"TB")-(SUMIFS(BALANCES!$H:$H,BALANCES!$C:$C,"TB"))</f>
        <v>0</v>
      </c>
      <c r="F10" s="15" t="n">
        <f aca="false">SUMIFS(BALANCES!$K:$K,BALANCES!$C:$C,"TB")-(SUMIFS(BALANCES!$J:$J,BALANCES!$C:$C,"TB"))</f>
        <v>0</v>
      </c>
      <c r="G10" s="15" t="n">
        <f aca="false">SUMIFS(BALANCES!$M:$M,BALANCES!$C:$C,"TB")-(SUMIFS(BALANCES!$L:$L,BALANCES!$C:$C,"TB"))</f>
        <v>0</v>
      </c>
      <c r="H10" s="15" t="n">
        <f aca="false">SUMIFS(BALANCES!$O:$O,BALANCES!$C:$C,"TB")-(SUMIFS(BALANCES!$N:$N,BALANCES!$C:$C,"TB"))</f>
        <v>0</v>
      </c>
    </row>
    <row r="11" customFormat="false" ht="15" hidden="false" customHeight="false" outlineLevel="0" collapsed="false">
      <c r="A11" s="13" t="s">
        <v>254</v>
      </c>
      <c r="B11" s="12" t="s">
        <v>370</v>
      </c>
      <c r="C11" s="15" t="n">
        <f aca="false">SUMIFS(BALANCES!$E:$E,BALANCES!$C:$C,"TC")-(SUMIFS(BALANCES!$D:$D,BALANCES!$C:$C,"TC"))</f>
        <v>701026695</v>
      </c>
      <c r="D11" s="15" t="n">
        <f aca="false">SUMIFS(BALANCES!$G:$G,BALANCES!$C:$C,"TC")-(SUMIFS(BALANCES!$F:$F,BALANCES!$C:$C,"TC"))</f>
        <v>736078029.75</v>
      </c>
      <c r="E11" s="15" t="n">
        <f aca="false">SUMIFS(BALANCES!$I:$I,BALANCES!$C:$C,"TC")-(SUMIFS(BALANCES!$H:$H,BALANCES!$C:$C,"TC"))</f>
        <v>772881931.2375</v>
      </c>
      <c r="F11" s="15" t="n">
        <f aca="false">SUMIFS(BALANCES!$K:$K,BALANCES!$C:$C,"TC")-(SUMIFS(BALANCES!$J:$J,BALANCES!$C:$C,"TC"))</f>
        <v>811526027.799375</v>
      </c>
      <c r="G11" s="15" t="n">
        <f aca="false">SUMIFS(BALANCES!$M:$M,BALANCES!$C:$C,"TC")-(SUMIFS(BALANCES!$L:$L,BALANCES!$C:$C,"TC"))</f>
        <v>852102329.189344</v>
      </c>
      <c r="H11" s="15" t="n">
        <f aca="false">SUMIFS(BALANCES!$O:$O,BALANCES!$C:$C,"TC")-(SUMIFS(BALANCES!$N:$N,BALANCES!$C:$C,"TC"))</f>
        <v>894707445.648811</v>
      </c>
    </row>
    <row r="12" customFormat="false" ht="15" hidden="false" customHeight="false" outlineLevel="0" collapsed="false">
      <c r="A12" s="13" t="s">
        <v>371</v>
      </c>
      <c r="B12" s="12" t="s">
        <v>372</v>
      </c>
      <c r="C12" s="15" t="n">
        <f aca="false">SUMIFS(BALANCES!$E:$E,BALANCES!$C:$C,"TD")-(SUMIFS(BALANCES!$D:$D,BALANCES!$C:$C,"TD"))</f>
        <v>0</v>
      </c>
      <c r="D12" s="15" t="n">
        <f aca="false">SUMIFS(BALANCES!$G:$G,BALANCES!$C:$C,"TD")-(SUMIFS(BALANCES!$F:$F,BALANCES!$C:$C,"TD"))</f>
        <v>0</v>
      </c>
      <c r="E12" s="15" t="n">
        <f aca="false">SUMIFS(BALANCES!$I:$I,BALANCES!$C:$C,"TD")-(SUMIFS(BALANCES!$H:$H,BALANCES!$C:$C,"TD"))</f>
        <v>0</v>
      </c>
      <c r="F12" s="15" t="n">
        <f aca="false">SUMIFS(BALANCES!$K:$K,BALANCES!$C:$C,"TD")-(SUMIFS(BALANCES!$J:$J,BALANCES!$C:$C,"TD"))</f>
        <v>0</v>
      </c>
      <c r="G12" s="15" t="n">
        <f aca="false">SUMIFS(BALANCES!$M:$M,BALANCES!$C:$C,"TD")-(SUMIFS(BALANCES!$L:$L,BALANCES!$C:$C,"TD"))</f>
        <v>0</v>
      </c>
      <c r="H12" s="15" t="n">
        <f aca="false">SUMIFS(BALANCES!$O:$O,BALANCES!$C:$C,"TD")-(SUMIFS(BALANCES!$N:$N,BALANCES!$C:$C,"TD"))</f>
        <v>0</v>
      </c>
    </row>
    <row r="13" customFormat="false" ht="15" hidden="false" customHeight="false" outlineLevel="0" collapsed="false">
      <c r="A13" s="34" t="s">
        <v>373</v>
      </c>
      <c r="B13" s="34" t="s">
        <v>374</v>
      </c>
      <c r="C13" s="35" t="n">
        <f aca="false">C6+C10+C11+C12</f>
        <v>701026695</v>
      </c>
      <c r="D13" s="35" t="n">
        <f aca="false">D6+D10+D11+D12</f>
        <v>736078029.75</v>
      </c>
      <c r="E13" s="35" t="n">
        <f aca="false">E6+E10+E11+E12</f>
        <v>772881931.2375</v>
      </c>
      <c r="F13" s="35" t="n">
        <f aca="false">F6+F10+F11+F12</f>
        <v>811526027.799375</v>
      </c>
      <c r="G13" s="35" t="n">
        <f aca="false">G6+G10+G11+G12</f>
        <v>852102329.189344</v>
      </c>
      <c r="H13" s="35" t="n">
        <f aca="false">H6+H10+H11+H12</f>
        <v>894707445.648811</v>
      </c>
      <c r="I13" s="39" t="n">
        <f aca="false">IF(OR(C13&lt;=0,H13&lt;=0),"",(H13/C13)^(1/5)-1)</f>
        <v>0.05</v>
      </c>
    </row>
    <row r="14" customFormat="false" ht="15" hidden="false" customHeight="false" outlineLevel="0" collapsed="false">
      <c r="A14" s="13" t="s">
        <v>375</v>
      </c>
      <c r="B14" s="12" t="s">
        <v>376</v>
      </c>
      <c r="C14" s="15" t="n">
        <f aca="false">SUMIFS(BALANCES!$E:$E,BALANCES!$C:$C,"TE")-(SUMIFS(BALANCES!$D:$D,BALANCES!$C:$C,"TE"))</f>
        <v>0</v>
      </c>
      <c r="D14" s="15" t="n">
        <f aca="false">SUMIFS(BALANCES!$G:$G,BALANCES!$C:$C,"TE")-(SUMIFS(BALANCES!$F:$F,BALANCES!$C:$C,"TE"))</f>
        <v>0</v>
      </c>
      <c r="E14" s="15" t="n">
        <f aca="false">SUMIFS(BALANCES!$I:$I,BALANCES!$C:$C,"TE")-(SUMIFS(BALANCES!$H:$H,BALANCES!$C:$C,"TE"))</f>
        <v>0</v>
      </c>
      <c r="F14" s="15" t="n">
        <f aca="false">SUMIFS(BALANCES!$K:$K,BALANCES!$C:$C,"TE")-(SUMIFS(BALANCES!$J:$J,BALANCES!$C:$C,"TE"))</f>
        <v>0</v>
      </c>
      <c r="G14" s="15" t="n">
        <f aca="false">SUMIFS(BALANCES!$M:$M,BALANCES!$C:$C,"TE")-(SUMIFS(BALANCES!$L:$L,BALANCES!$C:$C,"TE"))</f>
        <v>0</v>
      </c>
      <c r="H14" s="15" t="n">
        <f aca="false">SUMIFS(BALANCES!$O:$O,BALANCES!$C:$C,"TE")-(SUMIFS(BALANCES!$N:$N,BALANCES!$C:$C,"TE"))</f>
        <v>0</v>
      </c>
    </row>
    <row r="15" customFormat="false" ht="15" hidden="false" customHeight="false" outlineLevel="0" collapsed="false">
      <c r="A15" s="13" t="s">
        <v>377</v>
      </c>
      <c r="B15" s="12" t="s">
        <v>378</v>
      </c>
      <c r="C15" s="15" t="n">
        <f aca="false">SUMIFS(BALANCES!$E:$E,BALANCES!$C:$C,"TF")-(SUMIFS(BALANCES!$D:$D,BALANCES!$C:$C,"TF"))</f>
        <v>0</v>
      </c>
      <c r="D15" s="15" t="n">
        <f aca="false">SUMIFS(BALANCES!$G:$G,BALANCES!$C:$C,"TF")-(SUMIFS(BALANCES!$F:$F,BALANCES!$C:$C,"TF"))</f>
        <v>0</v>
      </c>
      <c r="E15" s="15" t="n">
        <f aca="false">SUMIFS(BALANCES!$I:$I,BALANCES!$C:$C,"TF")-(SUMIFS(BALANCES!$H:$H,BALANCES!$C:$C,"TF"))</f>
        <v>0</v>
      </c>
      <c r="F15" s="15" t="n">
        <f aca="false">SUMIFS(BALANCES!$K:$K,BALANCES!$C:$C,"TF")-(SUMIFS(BALANCES!$J:$J,BALANCES!$C:$C,"TF"))</f>
        <v>0</v>
      </c>
      <c r="G15" s="15" t="n">
        <f aca="false">SUMIFS(BALANCES!$M:$M,BALANCES!$C:$C,"TF")-(SUMIFS(BALANCES!$L:$L,BALANCES!$C:$C,"TF"))</f>
        <v>0</v>
      </c>
      <c r="H15" s="15" t="n">
        <f aca="false">SUMIFS(BALANCES!$O:$O,BALANCES!$C:$C,"TF")-(SUMIFS(BALANCES!$N:$N,BALANCES!$C:$C,"TF"))</f>
        <v>0</v>
      </c>
    </row>
    <row r="16" customFormat="false" ht="15" hidden="false" customHeight="false" outlineLevel="0" collapsed="false">
      <c r="A16" s="13" t="s">
        <v>379</v>
      </c>
      <c r="B16" s="12" t="s">
        <v>380</v>
      </c>
      <c r="C16" s="15" t="n">
        <f aca="false">SUMIFS(BALANCES!$E:$E,BALANCES!$C:$C,"TG")-(SUMIFS(BALANCES!$D:$D,BALANCES!$C:$C,"TG"))</f>
        <v>0</v>
      </c>
      <c r="D16" s="15" t="n">
        <f aca="false">SUMIFS(BALANCES!$G:$G,BALANCES!$C:$C,"TG")-(SUMIFS(BALANCES!$F:$F,BALANCES!$C:$C,"TG"))</f>
        <v>0</v>
      </c>
      <c r="E16" s="15" t="n">
        <f aca="false">SUMIFS(BALANCES!$I:$I,BALANCES!$C:$C,"TG")-(SUMIFS(BALANCES!$H:$H,BALANCES!$C:$C,"TG"))</f>
        <v>0</v>
      </c>
      <c r="F16" s="15" t="n">
        <f aca="false">SUMIFS(BALANCES!$K:$K,BALANCES!$C:$C,"TG")-(SUMIFS(BALANCES!$J:$J,BALANCES!$C:$C,"TG"))</f>
        <v>0</v>
      </c>
      <c r="G16" s="15" t="n">
        <f aca="false">SUMIFS(BALANCES!$M:$M,BALANCES!$C:$C,"TG")-(SUMIFS(BALANCES!$L:$L,BALANCES!$C:$C,"TG"))</f>
        <v>0</v>
      </c>
      <c r="H16" s="15" t="n">
        <f aca="false">SUMIFS(BALANCES!$O:$O,BALANCES!$C:$C,"TG")-(SUMIFS(BALANCES!$N:$N,BALANCES!$C:$C,"TG"))</f>
        <v>0</v>
      </c>
    </row>
    <row r="17" customFormat="false" ht="15" hidden="false" customHeight="false" outlineLevel="0" collapsed="false">
      <c r="A17" s="13" t="s">
        <v>381</v>
      </c>
      <c r="B17" s="12" t="s">
        <v>382</v>
      </c>
      <c r="C17" s="15" t="n">
        <f aca="false">SUMIFS(BALANCES!$E:$E,BALANCES!$C:$C,"TH")-(SUMIFS(BALANCES!$D:$D,BALANCES!$C:$C,"TH"))</f>
        <v>0</v>
      </c>
      <c r="D17" s="15" t="n">
        <f aca="false">SUMIFS(BALANCES!$G:$G,BALANCES!$C:$C,"TH")-(SUMIFS(BALANCES!$F:$F,BALANCES!$C:$C,"TH"))</f>
        <v>0</v>
      </c>
      <c r="E17" s="15" t="n">
        <f aca="false">SUMIFS(BALANCES!$I:$I,BALANCES!$C:$C,"TH")-(SUMIFS(BALANCES!$H:$H,BALANCES!$C:$C,"TH"))</f>
        <v>0</v>
      </c>
      <c r="F17" s="15" t="n">
        <f aca="false">SUMIFS(BALANCES!$K:$K,BALANCES!$C:$C,"TH")-(SUMIFS(BALANCES!$J:$J,BALANCES!$C:$C,"TH"))</f>
        <v>0</v>
      </c>
      <c r="G17" s="15" t="n">
        <f aca="false">SUMIFS(BALANCES!$M:$M,BALANCES!$C:$C,"TH")-(SUMIFS(BALANCES!$L:$L,BALANCES!$C:$C,"TH"))</f>
        <v>0</v>
      </c>
      <c r="H17" s="15" t="n">
        <f aca="false">SUMIFS(BALANCES!$O:$O,BALANCES!$C:$C,"TH")-(SUMIFS(BALANCES!$N:$N,BALANCES!$C:$C,"TH"))</f>
        <v>0</v>
      </c>
    </row>
    <row r="18" customFormat="false" ht="15" hidden="false" customHeight="false" outlineLevel="0" collapsed="false">
      <c r="A18" s="13" t="s">
        <v>383</v>
      </c>
      <c r="B18" s="12" t="s">
        <v>384</v>
      </c>
      <c r="C18" s="15" t="n">
        <f aca="false">SUMIFS(BALANCES!$E:$E,BALANCES!$C:$C,"TI")-(SUMIFS(BALANCES!$D:$D,BALANCES!$C:$C,"TI"))</f>
        <v>0</v>
      </c>
      <c r="D18" s="15" t="n">
        <f aca="false">SUMIFS(BALANCES!$G:$G,BALANCES!$C:$C,"TI")-(SUMIFS(BALANCES!$F:$F,BALANCES!$C:$C,"TI"))</f>
        <v>0</v>
      </c>
      <c r="E18" s="15" t="n">
        <f aca="false">SUMIFS(BALANCES!$I:$I,BALANCES!$C:$C,"TI")-(SUMIFS(BALANCES!$H:$H,BALANCES!$C:$C,"TI"))</f>
        <v>0</v>
      </c>
      <c r="F18" s="15" t="n">
        <f aca="false">SUMIFS(BALANCES!$K:$K,BALANCES!$C:$C,"TI")-(SUMIFS(BALANCES!$J:$J,BALANCES!$C:$C,"TI"))</f>
        <v>0</v>
      </c>
      <c r="G18" s="15" t="n">
        <f aca="false">SUMIFS(BALANCES!$M:$M,BALANCES!$C:$C,"TI")-(SUMIFS(BALANCES!$L:$L,BALANCES!$C:$C,"TI"))</f>
        <v>0</v>
      </c>
      <c r="H18" s="15" t="n">
        <f aca="false">SUMIFS(BALANCES!$O:$O,BALANCES!$C:$C,"TI")-(SUMIFS(BALANCES!$N:$N,BALANCES!$C:$C,"TI"))</f>
        <v>0</v>
      </c>
    </row>
    <row r="19" customFormat="false" ht="15" hidden="false" customHeight="false" outlineLevel="0" collapsed="false">
      <c r="A19" s="13" t="s">
        <v>385</v>
      </c>
      <c r="B19" s="12" t="s">
        <v>386</v>
      </c>
      <c r="C19" s="15" t="n">
        <f aca="false">SUMIFS(BALANCES!$E:$E,BALANCES!$C:$C,"RC")-(SUMIFS(BALANCES!$D:$D,BALANCES!$C:$C,"RC"))</f>
        <v>0</v>
      </c>
      <c r="D19" s="15" t="n">
        <f aca="false">SUMIFS(BALANCES!$G:$G,BALANCES!$C:$C,"RC")-(SUMIFS(BALANCES!$F:$F,BALANCES!$C:$C,"RC"))</f>
        <v>0</v>
      </c>
      <c r="E19" s="15" t="n">
        <f aca="false">SUMIFS(BALANCES!$I:$I,BALANCES!$C:$C,"RC")-(SUMIFS(BALANCES!$H:$H,BALANCES!$C:$C,"RC"))</f>
        <v>0</v>
      </c>
      <c r="F19" s="15" t="n">
        <f aca="false">SUMIFS(BALANCES!$K:$K,BALANCES!$C:$C,"RC")-(SUMIFS(BALANCES!$J:$J,BALANCES!$C:$C,"RC"))</f>
        <v>0</v>
      </c>
      <c r="G19" s="15" t="n">
        <f aca="false">SUMIFS(BALANCES!$M:$M,BALANCES!$C:$C,"RC")-(SUMIFS(BALANCES!$L:$L,BALANCES!$C:$C,"RC"))</f>
        <v>0</v>
      </c>
      <c r="H19" s="15" t="n">
        <f aca="false">SUMIFS(BALANCES!$O:$O,BALANCES!$C:$C,"RC")-(SUMIFS(BALANCES!$N:$N,BALANCES!$C:$C,"RC"))</f>
        <v>0</v>
      </c>
    </row>
    <row r="20" customFormat="false" ht="15" hidden="false" customHeight="false" outlineLevel="0" collapsed="false">
      <c r="A20" s="13" t="s">
        <v>387</v>
      </c>
      <c r="B20" s="12" t="s">
        <v>388</v>
      </c>
      <c r="C20" s="15" t="n">
        <f aca="false">SUMIFS(BALANCES!$E:$E,BALANCES!$C:$C,"RD")-(SUMIFS(BALANCES!$D:$D,BALANCES!$C:$C,"RD"))</f>
        <v>0</v>
      </c>
      <c r="D20" s="15" t="n">
        <f aca="false">SUMIFS(BALANCES!$G:$G,BALANCES!$C:$C,"RD")-(SUMIFS(BALANCES!$F:$F,BALANCES!$C:$C,"RD"))</f>
        <v>0</v>
      </c>
      <c r="E20" s="15" t="n">
        <f aca="false">SUMIFS(BALANCES!$I:$I,BALANCES!$C:$C,"RD")-(SUMIFS(BALANCES!$H:$H,BALANCES!$C:$C,"RD"))</f>
        <v>0</v>
      </c>
      <c r="F20" s="15" t="n">
        <f aca="false">SUMIFS(BALANCES!$K:$K,BALANCES!$C:$C,"RD")-(SUMIFS(BALANCES!$J:$J,BALANCES!$C:$C,"RD"))</f>
        <v>0</v>
      </c>
      <c r="G20" s="15" t="n">
        <f aca="false">SUMIFS(BALANCES!$M:$M,BALANCES!$C:$C,"RD")-(SUMIFS(BALANCES!$L:$L,BALANCES!$C:$C,"RD"))</f>
        <v>0</v>
      </c>
      <c r="H20" s="15" t="n">
        <f aca="false">SUMIFS(BALANCES!$O:$O,BALANCES!$C:$C,"RD")-(SUMIFS(BALANCES!$N:$N,BALANCES!$C:$C,"RD"))</f>
        <v>0</v>
      </c>
    </row>
    <row r="21" customFormat="false" ht="15" hidden="false" customHeight="false" outlineLevel="0" collapsed="false">
      <c r="A21" s="13" t="s">
        <v>203</v>
      </c>
      <c r="B21" s="12" t="s">
        <v>389</v>
      </c>
      <c r="C21" s="15" t="n">
        <f aca="false">SUMIFS(BALANCES!$E:$E,BALANCES!$C:$C,"RE")-(SUMIFS(BALANCES!$D:$D,BALANCES!$C:$C,"RE"))</f>
        <v>-278141464</v>
      </c>
      <c r="D21" s="15" t="n">
        <f aca="false">SUMIFS(BALANCES!$G:$G,BALANCES!$C:$C,"RE")-(SUMIFS(BALANCES!$F:$F,BALANCES!$C:$C,"RE"))</f>
        <v>-292075762.2048</v>
      </c>
      <c r="E21" s="15" t="n">
        <f aca="false">SUMIFS(BALANCES!$I:$I,BALANCES!$C:$C,"RE")-(SUMIFS(BALANCES!$H:$H,BALANCES!$C:$C,"RE"))</f>
        <v>-306679550.31504</v>
      </c>
      <c r="F21" s="15" t="n">
        <f aca="false">SUMIFS(BALANCES!$K:$K,BALANCES!$C:$C,"RE")-(SUMIFS(BALANCES!$J:$J,BALANCES!$C:$C,"RE"))</f>
        <v>-322013527.830792</v>
      </c>
      <c r="G21" s="15" t="n">
        <f aca="false">SUMIFS(BALANCES!$M:$M,BALANCES!$C:$C,"RE")-(SUMIFS(BALANCES!$L:$L,BALANCES!$C:$C,"RE"))</f>
        <v>-338114204.222332</v>
      </c>
      <c r="H21" s="15" t="n">
        <f aca="false">SUMIFS(BALANCES!$O:$O,BALANCES!$C:$C,"RE")-(SUMIFS(BALANCES!$N:$N,BALANCES!$C:$C,"RE"))</f>
        <v>-355019914.433448</v>
      </c>
    </row>
    <row r="22" customFormat="false" ht="15" hidden="false" customHeight="false" outlineLevel="0" collapsed="false">
      <c r="A22" s="13" t="s">
        <v>390</v>
      </c>
      <c r="B22" s="12" t="s">
        <v>391</v>
      </c>
      <c r="C22" s="15" t="n">
        <f aca="false">SUMIFS(BALANCES!$E:$E,BALANCES!$C:$C,"RF")-(SUMIFS(BALANCES!$D:$D,BALANCES!$C:$C,"RF"))</f>
        <v>0</v>
      </c>
      <c r="D22" s="15" t="n">
        <f aca="false">SUMIFS(BALANCES!$G:$G,BALANCES!$C:$C,"RF")-(SUMIFS(BALANCES!$F:$F,BALANCES!$C:$C,"RF"))</f>
        <v>0</v>
      </c>
      <c r="E22" s="15" t="n">
        <f aca="false">SUMIFS(BALANCES!$I:$I,BALANCES!$C:$C,"RF")-(SUMIFS(BALANCES!$H:$H,BALANCES!$C:$C,"RF"))</f>
        <v>0</v>
      </c>
      <c r="F22" s="15" t="n">
        <f aca="false">SUMIFS(BALANCES!$K:$K,BALANCES!$C:$C,"RF")-(SUMIFS(BALANCES!$J:$J,BALANCES!$C:$C,"RF"))</f>
        <v>0</v>
      </c>
      <c r="G22" s="15" t="n">
        <f aca="false">SUMIFS(BALANCES!$M:$M,BALANCES!$C:$C,"RF")-(SUMIFS(BALANCES!$L:$L,BALANCES!$C:$C,"RF"))</f>
        <v>0</v>
      </c>
      <c r="H22" s="15" t="n">
        <f aca="false">SUMIFS(BALANCES!$O:$O,BALANCES!$C:$C,"RF")-(SUMIFS(BALANCES!$N:$N,BALANCES!$C:$C,"RF"))</f>
        <v>0</v>
      </c>
    </row>
    <row r="23" customFormat="false" ht="15" hidden="false" customHeight="false" outlineLevel="0" collapsed="false">
      <c r="A23" s="13" t="s">
        <v>212</v>
      </c>
      <c r="B23" s="12" t="s">
        <v>23</v>
      </c>
      <c r="C23" s="15" t="n">
        <f aca="false">SUMIFS(BALANCES!$E:$E,BALANCES!$C:$C,"RG")-(SUMIFS(BALANCES!$D:$D,BALANCES!$C:$C,"RG"))</f>
        <v>-3820098</v>
      </c>
      <c r="D23" s="15" t="n">
        <f aca="false">SUMIFS(BALANCES!$G:$G,BALANCES!$C:$C,"RG")-(SUMIFS(BALANCES!$F:$F,BALANCES!$C:$C,"RG"))</f>
        <v>-3974821.36065</v>
      </c>
      <c r="E23" s="15" t="n">
        <f aca="false">SUMIFS(BALANCES!$I:$I,BALANCES!$C:$C,"RG")-(SUMIFS(BALANCES!$H:$H,BALANCES!$C:$C,"RG"))</f>
        <v>-4173562.4286825</v>
      </c>
      <c r="F23" s="15" t="n">
        <f aca="false">SUMIFS(BALANCES!$K:$K,BALANCES!$C:$C,"RG")-(SUMIFS(BALANCES!$J:$J,BALANCES!$C:$C,"RG"))</f>
        <v>-4382240.55011663</v>
      </c>
      <c r="G23" s="15" t="n">
        <f aca="false">SUMIFS(BALANCES!$M:$M,BALANCES!$C:$C,"RG")-(SUMIFS(BALANCES!$L:$L,BALANCES!$C:$C,"RG"))</f>
        <v>-4601352.57762246</v>
      </c>
      <c r="H23" s="15" t="n">
        <f aca="false">SUMIFS(BALANCES!$O:$O,BALANCES!$C:$C,"RG")-(SUMIFS(BALANCES!$N:$N,BALANCES!$C:$C,"RG"))</f>
        <v>-4831420.20650358</v>
      </c>
    </row>
    <row r="24" customFormat="false" ht="15" hidden="false" customHeight="false" outlineLevel="0" collapsed="false">
      <c r="A24" s="13" t="s">
        <v>216</v>
      </c>
      <c r="B24" s="12" t="s">
        <v>25</v>
      </c>
      <c r="C24" s="15" t="n">
        <f aca="false">SUMIFS(BALANCES!$E:$E,BALANCES!$C:$C,"RH")-(SUMIFS(BALANCES!$D:$D,BALANCES!$C:$C,"RH"))</f>
        <v>-106769083</v>
      </c>
      <c r="D24" s="15" t="n">
        <f aca="false">SUMIFS(BALANCES!$G:$G,BALANCES!$C:$C,"RH")-(SUMIFS(BALANCES!$F:$F,BALANCES!$C:$C,"RH"))</f>
        <v>-112104683.930925</v>
      </c>
      <c r="E24" s="15" t="n">
        <f aca="false">SUMIFS(BALANCES!$I:$I,BALANCES!$C:$C,"RH")-(SUMIFS(BALANCES!$H:$H,BALANCES!$C:$C,"RH"))</f>
        <v>-117709918.127471</v>
      </c>
      <c r="F24" s="15" t="n">
        <f aca="false">SUMIFS(BALANCES!$K:$K,BALANCES!$C:$C,"RH")-(SUMIFS(BALANCES!$J:$J,BALANCES!$C:$C,"RH"))</f>
        <v>-123595414.033845</v>
      </c>
      <c r="G24" s="15" t="n">
        <f aca="false">SUMIFS(BALANCES!$M:$M,BALANCES!$C:$C,"RH")-(SUMIFS(BALANCES!$L:$L,BALANCES!$C:$C,"RH"))</f>
        <v>-129775184.735537</v>
      </c>
      <c r="H24" s="15" t="n">
        <f aca="false">SUMIFS(BALANCES!$O:$O,BALANCES!$C:$C,"RH")-(SUMIFS(BALANCES!$N:$N,BALANCES!$C:$C,"RH"))</f>
        <v>-136263943.972314</v>
      </c>
    </row>
    <row r="25" customFormat="false" ht="15" hidden="false" customHeight="false" outlineLevel="0" collapsed="false">
      <c r="A25" s="13" t="s">
        <v>226</v>
      </c>
      <c r="B25" s="12" t="s">
        <v>27</v>
      </c>
      <c r="C25" s="15" t="n">
        <f aca="false">SUMIFS(BALANCES!$E:$E,BALANCES!$C:$C,"RI")-(SUMIFS(BALANCES!$D:$D,BALANCES!$C:$C,"RI"))</f>
        <v>-14869670</v>
      </c>
      <c r="D25" s="15" t="n">
        <f aca="false">SUMIFS(BALANCES!$G:$G,BALANCES!$C:$C,"RI")-(SUMIFS(BALANCES!$F:$F,BALANCES!$C:$C,"RI"))</f>
        <v>-15604854.2307</v>
      </c>
      <c r="E25" s="15" t="n">
        <f aca="false">SUMIFS(BALANCES!$I:$I,BALANCES!$C:$C,"RI")-(SUMIFS(BALANCES!$H:$H,BALANCES!$C:$C,"RI"))</f>
        <v>-16385096.942235</v>
      </c>
      <c r="F25" s="15" t="n">
        <f aca="false">SUMIFS(BALANCES!$K:$K,BALANCES!$C:$C,"RI")-(SUMIFS(BALANCES!$J:$J,BALANCES!$C:$C,"RI"))</f>
        <v>-17204351.7893468</v>
      </c>
      <c r="G25" s="15" t="n">
        <f aca="false">SUMIFS(BALANCES!$M:$M,BALANCES!$C:$C,"RI")-(SUMIFS(BALANCES!$L:$L,BALANCES!$C:$C,"RI"))</f>
        <v>-18064569.3788141</v>
      </c>
      <c r="H25" s="15" t="n">
        <f aca="false">SUMIFS(BALANCES!$O:$O,BALANCES!$C:$C,"RI")-(SUMIFS(BALANCES!$N:$N,BALANCES!$C:$C,"RI"))</f>
        <v>-18967797.8477548</v>
      </c>
    </row>
    <row r="26" customFormat="false" ht="15" hidden="false" customHeight="false" outlineLevel="0" collapsed="false">
      <c r="A26" s="13" t="s">
        <v>236</v>
      </c>
      <c r="B26" s="12" t="s">
        <v>29</v>
      </c>
      <c r="C26" s="15" t="n">
        <f aca="false">SUMIFS(BALANCES!$E:$E,BALANCES!$C:$C,"RJ")-(SUMIFS(BALANCES!$D:$D,BALANCES!$C:$C,"RJ"))</f>
        <v>-1316731</v>
      </c>
      <c r="D26" s="15" t="n">
        <f aca="false">SUMIFS(BALANCES!$G:$G,BALANCES!$C:$C,"RJ")-(SUMIFS(BALANCES!$F:$F,BALANCES!$C:$C,"RJ"))</f>
        <v>-1398548.256525</v>
      </c>
      <c r="E26" s="15" t="n">
        <f aca="false">SUMIFS(BALANCES!$I:$I,BALANCES!$C:$C,"RJ")-(SUMIFS(BALANCES!$H:$H,BALANCES!$C:$C,"RJ"))</f>
        <v>-1468475.66935125</v>
      </c>
      <c r="F26" s="15" t="n">
        <f aca="false">SUMIFS(BALANCES!$K:$K,BALANCES!$C:$C,"RJ")-(SUMIFS(BALANCES!$J:$J,BALANCES!$C:$C,"RJ"))</f>
        <v>-1541899.45281881</v>
      </c>
      <c r="G26" s="15" t="n">
        <f aca="false">SUMIFS(BALANCES!$M:$M,BALANCES!$C:$C,"RJ")-(SUMIFS(BALANCES!$L:$L,BALANCES!$C:$C,"RJ"))</f>
        <v>-1618994.42545975</v>
      </c>
      <c r="H26" s="15" t="n">
        <f aca="false">SUMIFS(BALANCES!$O:$O,BALANCES!$C:$C,"RJ")-(SUMIFS(BALANCES!$N:$N,BALANCES!$C:$C,"RJ"))</f>
        <v>-1699944.14673274</v>
      </c>
    </row>
    <row r="27" customFormat="false" ht="15" hidden="false" customHeight="false" outlineLevel="0" collapsed="false">
      <c r="A27" s="34" t="s">
        <v>392</v>
      </c>
      <c r="B27" s="34" t="s">
        <v>393</v>
      </c>
      <c r="C27" s="35" t="n">
        <f aca="false">C13+C7+C8+C14+C15+C16+C17+C18+C19+C20+C21+C22+C23+C24+C25+C26</f>
        <v>296109649</v>
      </c>
      <c r="D27" s="35" t="n">
        <f aca="false">D13+D7+D8+D14+D15+D16+D17+D18+D19+D20+D21+D22+D23+D24+D25+D26</f>
        <v>310919359.7664</v>
      </c>
      <c r="E27" s="35" t="n">
        <f aca="false">E13+E7+E8+E14+E15+E16+E17+E18+E19+E20+E21+E22+E23+E24+E25+E26</f>
        <v>326465327.75472</v>
      </c>
      <c r="F27" s="35" t="n">
        <f aca="false">F13+F7+F8+F14+F15+F16+F17+F18+F19+F20+F21+F22+F23+F24+F25+F26</f>
        <v>342788594.142456</v>
      </c>
      <c r="G27" s="35" t="n">
        <f aca="false">G13+G7+G8+G14+G15+G16+G17+G18+G19+G20+G21+G22+G23+G24+G25+G26</f>
        <v>359928023.849579</v>
      </c>
      <c r="H27" s="35" t="n">
        <f aca="false">H13+H7+H8+H14+H15+H16+H17+H18+H19+H20+H21+H22+H23+H24+H25+H26</f>
        <v>377924425.042058</v>
      </c>
      <c r="I27" s="38"/>
    </row>
    <row r="28" customFormat="false" ht="15" hidden="false" customHeight="false" outlineLevel="0" collapsed="false">
      <c r="A28" s="13" t="s">
        <v>238</v>
      </c>
      <c r="B28" s="12" t="s">
        <v>31</v>
      </c>
      <c r="C28" s="15" t="n">
        <f aca="false">SUMIFS(BALANCES!$E:$E,BALANCES!$C:$C,"RK")-(SUMIFS(BALANCES!$D:$D,BALANCES!$C:$C,"RK"))</f>
        <v>-106025515</v>
      </c>
      <c r="D28" s="15" t="n">
        <f aca="false">SUMIFS(BALANCES!$G:$G,BALANCES!$C:$C,"RK")-(SUMIFS(BALANCES!$F:$F,BALANCES!$C:$C,"RK"))</f>
        <v>-111294998.0982</v>
      </c>
      <c r="E28" s="15" t="n">
        <f aca="false">SUMIFS(BALANCES!$I:$I,BALANCES!$C:$C,"RK")-(SUMIFS(BALANCES!$H:$H,BALANCES!$C:$C,"RK"))</f>
        <v>-116859748.00311</v>
      </c>
      <c r="F28" s="15" t="n">
        <f aca="false">SUMIFS(BALANCES!$K:$K,BALANCES!$C:$C,"RK")-(SUMIFS(BALANCES!$J:$J,BALANCES!$C:$C,"RK"))</f>
        <v>-122702735.403266</v>
      </c>
      <c r="G28" s="15" t="n">
        <f aca="false">SUMIFS(BALANCES!$M:$M,BALANCES!$C:$C,"RK")-(SUMIFS(BALANCES!$L:$L,BALANCES!$C:$C,"RK"))</f>
        <v>-128837872.173429</v>
      </c>
      <c r="H28" s="15" t="n">
        <f aca="false">SUMIFS(BALANCES!$O:$O,BALANCES!$C:$C,"RK")-(SUMIFS(BALANCES!$N:$N,BALANCES!$C:$C,"RK"))</f>
        <v>-135279765.7821</v>
      </c>
    </row>
    <row r="29" customFormat="false" ht="15" hidden="false" customHeight="false" outlineLevel="0" collapsed="false">
      <c r="A29" s="34" t="s">
        <v>394</v>
      </c>
      <c r="B29" s="34" t="s">
        <v>395</v>
      </c>
      <c r="C29" s="35" t="n">
        <f aca="false">C27+C28</f>
        <v>190084134</v>
      </c>
      <c r="D29" s="35" t="n">
        <f aca="false">D27+D28</f>
        <v>199624361.6682</v>
      </c>
      <c r="E29" s="35" t="n">
        <f aca="false">E27+E28</f>
        <v>209605579.75161</v>
      </c>
      <c r="F29" s="35" t="n">
        <f aca="false">F27+F28</f>
        <v>220085858.739191</v>
      </c>
      <c r="G29" s="35" t="n">
        <f aca="false">G27+G28</f>
        <v>231090151.67615</v>
      </c>
      <c r="H29" s="35" t="n">
        <f aca="false">H27+H28</f>
        <v>242644659.259958</v>
      </c>
      <c r="I29" s="39" t="n">
        <f aca="false">IF(OR(C29&lt;=0,H29&lt;=0),"",(H29/C29)^(1/5)-1)</f>
        <v>0.0500378972903746</v>
      </c>
    </row>
    <row r="30" customFormat="false" ht="15" hidden="false" customHeight="false" outlineLevel="0" collapsed="false">
      <c r="A30" s="13" t="s">
        <v>396</v>
      </c>
      <c r="B30" s="12" t="s">
        <v>397</v>
      </c>
      <c r="C30" s="15" t="n">
        <f aca="false">SUMIFS(BALANCES!$E:$E,BALANCES!$C:$C,"TJ")-(SUMIFS(BALANCES!$D:$D,BALANCES!$C:$C,"TJ"))</f>
        <v>0</v>
      </c>
      <c r="D30" s="15" t="n">
        <f aca="false">SUMIFS(BALANCES!$G:$G,BALANCES!$C:$C,"TJ")-(SUMIFS(BALANCES!$F:$F,BALANCES!$C:$C,"TJ"))</f>
        <v>0</v>
      </c>
      <c r="E30" s="15" t="n">
        <f aca="false">SUMIFS(BALANCES!$I:$I,BALANCES!$C:$C,"TJ")-(SUMIFS(BALANCES!$H:$H,BALANCES!$C:$C,"TJ"))</f>
        <v>0</v>
      </c>
      <c r="F30" s="15" t="n">
        <f aca="false">SUMIFS(BALANCES!$K:$K,BALANCES!$C:$C,"TJ")-(SUMIFS(BALANCES!$J:$J,BALANCES!$C:$C,"TJ"))</f>
        <v>0</v>
      </c>
      <c r="G30" s="15" t="n">
        <f aca="false">SUMIFS(BALANCES!$M:$M,BALANCES!$C:$C,"TJ")-(SUMIFS(BALANCES!$L:$L,BALANCES!$C:$C,"TJ"))</f>
        <v>0</v>
      </c>
      <c r="H30" s="15" t="n">
        <f aca="false">SUMIFS(BALANCES!$O:$O,BALANCES!$C:$C,"TJ")-(SUMIFS(BALANCES!$N:$N,BALANCES!$C:$C,"TJ"))</f>
        <v>0</v>
      </c>
    </row>
    <row r="31" customFormat="false" ht="15" hidden="false" customHeight="false" outlineLevel="0" collapsed="false">
      <c r="A31" s="13" t="s">
        <v>248</v>
      </c>
      <c r="B31" s="12" t="s">
        <v>398</v>
      </c>
      <c r="C31" s="15" t="n">
        <f aca="false">SUMIFS(BALANCES!$E:$E,BALANCES!$C:$C,"RL")-(SUMIFS(BALANCES!$D:$D,BALANCES!$C:$C,"RL"))</f>
        <v>-85892595</v>
      </c>
      <c r="D31" s="15" t="n">
        <f aca="false">SUMIFS(BALANCES!$G:$G,BALANCES!$C:$C,"RL")-(SUMIFS(BALANCES!$F:$F,BALANCES!$C:$C,"RL"))</f>
        <v>-103559261.666667</v>
      </c>
      <c r="E31" s="15" t="n">
        <f aca="false">SUMIFS(BALANCES!$I:$I,BALANCES!$C:$C,"RL")-(SUMIFS(BALANCES!$H:$H,BALANCES!$C:$C,"RL"))</f>
        <v>-110935217.333333</v>
      </c>
      <c r="F31" s="15" t="n">
        <f aca="false">SUMIFS(BALANCES!$K:$K,BALANCES!$C:$C,"RL")-(SUMIFS(BALANCES!$J:$J,BALANCES!$C:$C,"RL"))</f>
        <v>-113957711</v>
      </c>
      <c r="G31" s="15" t="n">
        <f aca="false">SUMIFS(BALANCES!$M:$M,BALANCES!$C:$C,"RL")-(SUMIFS(BALANCES!$L:$L,BALANCES!$C:$C,"RL"))</f>
        <v>-114491347</v>
      </c>
      <c r="H31" s="15" t="n">
        <f aca="false">SUMIFS(BALANCES!$O:$O,BALANCES!$C:$C,"RL")-(SUMIFS(BALANCES!$N:$N,BALANCES!$C:$C,"RL"))</f>
        <v>-106674866</v>
      </c>
    </row>
    <row r="32" customFormat="false" ht="15" hidden="false" customHeight="false" outlineLevel="0" collapsed="false">
      <c r="A32" s="34" t="s">
        <v>399</v>
      </c>
      <c r="B32" s="34" t="s">
        <v>400</v>
      </c>
      <c r="C32" s="35" t="n">
        <f aca="false">C29+C30+C31</f>
        <v>104191539</v>
      </c>
      <c r="D32" s="35" t="n">
        <f aca="false">D29+D30+D31</f>
        <v>96065100.0015333</v>
      </c>
      <c r="E32" s="35" t="n">
        <f aca="false">E29+E30+E31</f>
        <v>98670362.4182767</v>
      </c>
      <c r="F32" s="35" t="n">
        <f aca="false">F29+F30+F31</f>
        <v>106128147.739191</v>
      </c>
      <c r="G32" s="35" t="n">
        <f aca="false">G29+G30+G31</f>
        <v>116598804.67615</v>
      </c>
      <c r="H32" s="35" t="n">
        <f aca="false">H29+H30+H31</f>
        <v>135969793.259958</v>
      </c>
      <c r="I32" s="38"/>
    </row>
    <row r="33" customFormat="false" ht="15" hidden="false" customHeight="false" outlineLevel="0" collapsed="false">
      <c r="A33" s="13" t="s">
        <v>256</v>
      </c>
      <c r="B33" s="12" t="s">
        <v>401</v>
      </c>
      <c r="C33" s="15" t="n">
        <f aca="false">SUMIFS(BALANCES!$E:$E,BALANCES!$C:$C,"TK")-(SUMIFS(BALANCES!$D:$D,BALANCES!$C:$C,"TK"))</f>
        <v>848594</v>
      </c>
      <c r="D33" s="15" t="n">
        <f aca="false">SUMIFS(BALANCES!$G:$G,BALANCES!$C:$C,"TK")-(SUMIFS(BALANCES!$F:$F,BALANCES!$C:$C,"TK"))</f>
        <v>848594</v>
      </c>
      <c r="E33" s="15" t="n">
        <f aca="false">SUMIFS(BALANCES!$I:$I,BALANCES!$C:$C,"TK")-(SUMIFS(BALANCES!$H:$H,BALANCES!$C:$C,"TK"))</f>
        <v>848594</v>
      </c>
      <c r="F33" s="15" t="n">
        <f aca="false">SUMIFS(BALANCES!$K:$K,BALANCES!$C:$C,"TK")-(SUMIFS(BALANCES!$J:$J,BALANCES!$C:$C,"TK"))</f>
        <v>848594</v>
      </c>
      <c r="G33" s="15" t="n">
        <f aca="false">SUMIFS(BALANCES!$M:$M,BALANCES!$C:$C,"TK")-(SUMIFS(BALANCES!$L:$L,BALANCES!$C:$C,"TK"))</f>
        <v>848594</v>
      </c>
      <c r="H33" s="15" t="n">
        <f aca="false">SUMIFS(BALANCES!$O:$O,BALANCES!$C:$C,"TK")-(SUMIFS(BALANCES!$N:$N,BALANCES!$C:$C,"TK"))</f>
        <v>848594</v>
      </c>
    </row>
    <row r="34" customFormat="false" ht="15" hidden="false" customHeight="false" outlineLevel="0" collapsed="false">
      <c r="A34" s="13" t="s">
        <v>402</v>
      </c>
      <c r="B34" s="12" t="s">
        <v>403</v>
      </c>
      <c r="C34" s="15" t="n">
        <f aca="false">SUMIFS(BALANCES!$E:$E,BALANCES!$C:$C,"TL")-(SUMIFS(BALANCES!$D:$D,BALANCES!$C:$C,"TL"))</f>
        <v>0</v>
      </c>
      <c r="D34" s="15" t="n">
        <f aca="false">SUMIFS(BALANCES!$G:$G,BALANCES!$C:$C,"TL")-(SUMIFS(BALANCES!$F:$F,BALANCES!$C:$C,"TL"))</f>
        <v>0</v>
      </c>
      <c r="E34" s="15" t="n">
        <f aca="false">SUMIFS(BALANCES!$I:$I,BALANCES!$C:$C,"TL")-(SUMIFS(BALANCES!$H:$H,BALANCES!$C:$C,"TL"))</f>
        <v>0</v>
      </c>
      <c r="F34" s="15" t="n">
        <f aca="false">SUMIFS(BALANCES!$K:$K,BALANCES!$C:$C,"TL")-(SUMIFS(BALANCES!$J:$J,BALANCES!$C:$C,"TL"))</f>
        <v>0</v>
      </c>
      <c r="G34" s="15" t="n">
        <f aca="false">SUMIFS(BALANCES!$M:$M,BALANCES!$C:$C,"TL")-(SUMIFS(BALANCES!$L:$L,BALANCES!$C:$C,"TL"))</f>
        <v>0</v>
      </c>
      <c r="H34" s="15" t="n">
        <f aca="false">SUMIFS(BALANCES!$O:$O,BALANCES!$C:$C,"TL")-(SUMIFS(BALANCES!$N:$N,BALANCES!$C:$C,"TL"))</f>
        <v>0</v>
      </c>
    </row>
    <row r="35" customFormat="false" ht="15" hidden="false" customHeight="false" outlineLevel="0" collapsed="false">
      <c r="A35" s="13" t="s">
        <v>404</v>
      </c>
      <c r="B35" s="12" t="s">
        <v>405</v>
      </c>
      <c r="C35" s="15" t="n">
        <f aca="false">SUMIFS(BALANCES!$E:$E,BALANCES!$C:$C,"TM")-(SUMIFS(BALANCES!$D:$D,BALANCES!$C:$C,"TM"))</f>
        <v>0</v>
      </c>
      <c r="D35" s="15" t="n">
        <f aca="false">SUMIFS(BALANCES!$G:$G,BALANCES!$C:$C,"TM")-(SUMIFS(BALANCES!$F:$F,BALANCES!$C:$C,"TM"))</f>
        <v>0</v>
      </c>
      <c r="E35" s="15" t="n">
        <f aca="false">SUMIFS(BALANCES!$I:$I,BALANCES!$C:$C,"TM")-(SUMIFS(BALANCES!$H:$H,BALANCES!$C:$C,"TM"))</f>
        <v>0</v>
      </c>
      <c r="F35" s="15" t="n">
        <f aca="false">SUMIFS(BALANCES!$K:$K,BALANCES!$C:$C,"TM")-(SUMIFS(BALANCES!$J:$J,BALANCES!$C:$C,"TM"))</f>
        <v>0</v>
      </c>
      <c r="G35" s="15" t="n">
        <f aca="false">SUMIFS(BALANCES!$M:$M,BALANCES!$C:$C,"TM")-(SUMIFS(BALANCES!$L:$L,BALANCES!$C:$C,"TM"))</f>
        <v>0</v>
      </c>
      <c r="H35" s="15" t="n">
        <f aca="false">SUMIFS(BALANCES!$O:$O,BALANCES!$C:$C,"TM")-(SUMIFS(BALANCES!$N:$N,BALANCES!$C:$C,"TM"))</f>
        <v>0</v>
      </c>
    </row>
    <row r="36" customFormat="false" ht="15" hidden="false" customHeight="false" outlineLevel="0" collapsed="false">
      <c r="A36" s="13" t="s">
        <v>245</v>
      </c>
      <c r="B36" s="12" t="s">
        <v>406</v>
      </c>
      <c r="C36" s="15" t="n">
        <f aca="false">SUMIFS(BALANCES!$E:$E,BALANCES!$C:$C,"RM")-(SUMIFS(BALANCES!$D:$D,BALANCES!$C:$C,"RM"))</f>
        <v>-8108297</v>
      </c>
      <c r="D36" s="15" t="n">
        <f aca="false">SUMIFS(BALANCES!$G:$G,BALANCES!$C:$C,"RM")-(SUMIFS(BALANCES!$F:$F,BALANCES!$C:$C,"RM"))</f>
        <v>-4022282.08</v>
      </c>
      <c r="E36" s="15" t="n">
        <f aca="false">SUMIFS(BALANCES!$I:$I,BALANCES!$C:$C,"RM")-(SUMIFS(BALANCES!$H:$H,BALANCES!$C:$C,"RM"))</f>
        <v>-1586353.28</v>
      </c>
      <c r="F36" s="15" t="n">
        <f aca="false">SUMIFS(BALANCES!$K:$K,BALANCES!$C:$C,"RM")-(SUMIFS(BALANCES!$J:$J,BALANCES!$C:$C,"RM"))</f>
        <v>0</v>
      </c>
      <c r="G36" s="15" t="n">
        <f aca="false">SUMIFS(BALANCES!$M:$M,BALANCES!$C:$C,"RM")-(SUMIFS(BALANCES!$L:$L,BALANCES!$C:$C,"RM"))</f>
        <v>0</v>
      </c>
      <c r="H36" s="15" t="n">
        <f aca="false">SUMIFS(BALANCES!$O:$O,BALANCES!$C:$C,"RM")-(SUMIFS(BALANCES!$N:$N,BALANCES!$C:$C,"RM"))</f>
        <v>0</v>
      </c>
    </row>
    <row r="37" customFormat="false" ht="15" hidden="false" customHeight="false" outlineLevel="0" collapsed="false">
      <c r="A37" s="13" t="s">
        <v>407</v>
      </c>
      <c r="B37" s="12" t="s">
        <v>408</v>
      </c>
      <c r="C37" s="15" t="n">
        <f aca="false">SUMIFS(BALANCES!$E:$E,BALANCES!$C:$C,"RN")-(SUMIFS(BALANCES!$D:$D,BALANCES!$C:$C,"RN"))</f>
        <v>0</v>
      </c>
      <c r="D37" s="15" t="n">
        <f aca="false">SUMIFS(BALANCES!$G:$G,BALANCES!$C:$C,"RN")-(SUMIFS(BALANCES!$F:$F,BALANCES!$C:$C,"RN"))</f>
        <v>0</v>
      </c>
      <c r="E37" s="15" t="n">
        <f aca="false">SUMIFS(BALANCES!$I:$I,BALANCES!$C:$C,"RN")-(SUMIFS(BALANCES!$H:$H,BALANCES!$C:$C,"RN"))</f>
        <v>0</v>
      </c>
      <c r="F37" s="15" t="n">
        <f aca="false">SUMIFS(BALANCES!$K:$K,BALANCES!$C:$C,"RN")-(SUMIFS(BALANCES!$J:$J,BALANCES!$C:$C,"RN"))</f>
        <v>0</v>
      </c>
      <c r="G37" s="15" t="n">
        <f aca="false">SUMIFS(BALANCES!$M:$M,BALANCES!$C:$C,"RN")-(SUMIFS(BALANCES!$L:$L,BALANCES!$C:$C,"RN"))</f>
        <v>0</v>
      </c>
      <c r="H37" s="15" t="n">
        <f aca="false">SUMIFS(BALANCES!$O:$O,BALANCES!$C:$C,"RN")-(SUMIFS(BALANCES!$N:$N,BALANCES!$C:$C,"RN"))</f>
        <v>0</v>
      </c>
    </row>
    <row r="38" customFormat="false" ht="15" hidden="false" customHeight="false" outlineLevel="0" collapsed="false">
      <c r="A38" s="34" t="s">
        <v>409</v>
      </c>
      <c r="B38" s="34" t="s">
        <v>410</v>
      </c>
      <c r="C38" s="35" t="n">
        <f aca="false">C33+C34+C35+C36+C37</f>
        <v>-7259703</v>
      </c>
      <c r="D38" s="35" t="n">
        <f aca="false">D33+D34+D35+D36+D37</f>
        <v>-3173688.08</v>
      </c>
      <c r="E38" s="35" t="n">
        <f aca="false">E33+E34+E35+E36+E37</f>
        <v>-737759.28</v>
      </c>
      <c r="F38" s="35" t="n">
        <f aca="false">F33+F34+F35+F36+F37</f>
        <v>848594</v>
      </c>
      <c r="G38" s="35" t="n">
        <f aca="false">G33+G34+G35+G36+G37</f>
        <v>848594</v>
      </c>
      <c r="H38" s="35" t="n">
        <f aca="false">H33+H34+H35+H36+H37</f>
        <v>848594</v>
      </c>
      <c r="I38" s="38"/>
    </row>
    <row r="39" customFormat="false" ht="15" hidden="false" customHeight="false" outlineLevel="0" collapsed="false">
      <c r="A39" s="34" t="s">
        <v>411</v>
      </c>
      <c r="B39" s="34" t="s">
        <v>412</v>
      </c>
      <c r="C39" s="35" t="n">
        <f aca="false">C32+C38</f>
        <v>96931836</v>
      </c>
      <c r="D39" s="35" t="n">
        <f aca="false">D32+D38</f>
        <v>92891411.9215333</v>
      </c>
      <c r="E39" s="35" t="n">
        <f aca="false">E32+E38</f>
        <v>97932603.1382767</v>
      </c>
      <c r="F39" s="35" t="n">
        <f aca="false">F32+F38</f>
        <v>106976741.739191</v>
      </c>
      <c r="G39" s="35" t="n">
        <f aca="false">G32+G38</f>
        <v>117447398.67615</v>
      </c>
      <c r="H39" s="35" t="n">
        <f aca="false">H32+H38</f>
        <v>136818387.259958</v>
      </c>
      <c r="I39" s="38"/>
    </row>
    <row r="40" customFormat="false" ht="15" hidden="false" customHeight="false" outlineLevel="0" collapsed="false">
      <c r="A40" s="13" t="s">
        <v>413</v>
      </c>
      <c r="B40" s="12" t="s">
        <v>414</v>
      </c>
      <c r="C40" s="15" t="n">
        <f aca="false">SUMIFS(BALANCES!$E:$E,BALANCES!$C:$C,"TN")-(SUMIFS(BALANCES!$D:$D,BALANCES!$C:$C,"TN"))</f>
        <v>0</v>
      </c>
      <c r="D40" s="15" t="n">
        <f aca="false">SUMIFS(BALANCES!$G:$G,BALANCES!$C:$C,"TN")-(SUMIFS(BALANCES!$F:$F,BALANCES!$C:$C,"TN"))</f>
        <v>0</v>
      </c>
      <c r="E40" s="15" t="n">
        <f aca="false">SUMIFS(BALANCES!$I:$I,BALANCES!$C:$C,"TN")-(SUMIFS(BALANCES!$H:$H,BALANCES!$C:$C,"TN"))</f>
        <v>0</v>
      </c>
      <c r="F40" s="15" t="n">
        <f aca="false">SUMIFS(BALANCES!$K:$K,BALANCES!$C:$C,"TN")-(SUMIFS(BALANCES!$J:$J,BALANCES!$C:$C,"TN"))</f>
        <v>0</v>
      </c>
      <c r="G40" s="15" t="n">
        <f aca="false">SUMIFS(BALANCES!$M:$M,BALANCES!$C:$C,"TN")-(SUMIFS(BALANCES!$L:$L,BALANCES!$C:$C,"TN"))</f>
        <v>0</v>
      </c>
      <c r="H40" s="15" t="n">
        <f aca="false">SUMIFS(BALANCES!$O:$O,BALANCES!$C:$C,"TN")-(SUMIFS(BALANCES!$N:$N,BALANCES!$C:$C,"TN"))</f>
        <v>0</v>
      </c>
    </row>
    <row r="41" customFormat="false" ht="15" hidden="false" customHeight="false" outlineLevel="0" collapsed="false">
      <c r="A41" s="13" t="s">
        <v>415</v>
      </c>
      <c r="B41" s="12" t="s">
        <v>416</v>
      </c>
      <c r="C41" s="15" t="n">
        <f aca="false">SUMIFS(BALANCES!$E:$E,BALANCES!$C:$C,"TO")-(SUMIFS(BALANCES!$D:$D,BALANCES!$C:$C,"TO"))</f>
        <v>0</v>
      </c>
      <c r="D41" s="15" t="n">
        <f aca="false">SUMIFS(BALANCES!$G:$G,BALANCES!$C:$C,"TO")-(SUMIFS(BALANCES!$F:$F,BALANCES!$C:$C,"TO"))</f>
        <v>0</v>
      </c>
      <c r="E41" s="15" t="n">
        <f aca="false">SUMIFS(BALANCES!$I:$I,BALANCES!$C:$C,"TO")-(SUMIFS(BALANCES!$H:$H,BALANCES!$C:$C,"TO"))</f>
        <v>0</v>
      </c>
      <c r="F41" s="15" t="n">
        <f aca="false">SUMIFS(BALANCES!$K:$K,BALANCES!$C:$C,"TO")-(SUMIFS(BALANCES!$J:$J,BALANCES!$C:$C,"TO"))</f>
        <v>0</v>
      </c>
      <c r="G41" s="15" t="n">
        <f aca="false">SUMIFS(BALANCES!$M:$M,BALANCES!$C:$C,"TO")-(SUMIFS(BALANCES!$L:$L,BALANCES!$C:$C,"TO"))</f>
        <v>0</v>
      </c>
      <c r="H41" s="15" t="n">
        <f aca="false">SUMIFS(BALANCES!$O:$O,BALANCES!$C:$C,"TO")-(SUMIFS(BALANCES!$N:$N,BALANCES!$C:$C,"TO"))</f>
        <v>0</v>
      </c>
    </row>
    <row r="42" customFormat="false" ht="15" hidden="false" customHeight="false" outlineLevel="0" collapsed="false">
      <c r="A42" s="13" t="s">
        <v>417</v>
      </c>
      <c r="B42" s="12" t="s">
        <v>418</v>
      </c>
      <c r="C42" s="15" t="n">
        <f aca="false">SUMIFS(BALANCES!$E:$E,BALANCES!$C:$C,"RO")-(SUMIFS(BALANCES!$D:$D,BALANCES!$C:$C,"RO"))</f>
        <v>0</v>
      </c>
      <c r="D42" s="15" t="n">
        <f aca="false">SUMIFS(BALANCES!$G:$G,BALANCES!$C:$C,"RO")-(SUMIFS(BALANCES!$F:$F,BALANCES!$C:$C,"RO"))</f>
        <v>0</v>
      </c>
      <c r="E42" s="15" t="n">
        <f aca="false">SUMIFS(BALANCES!$I:$I,BALANCES!$C:$C,"RO")-(SUMIFS(BALANCES!$H:$H,BALANCES!$C:$C,"RO"))</f>
        <v>0</v>
      </c>
      <c r="F42" s="15" t="n">
        <f aca="false">SUMIFS(BALANCES!$K:$K,BALANCES!$C:$C,"RO")-(SUMIFS(BALANCES!$J:$J,BALANCES!$C:$C,"RO"))</f>
        <v>0</v>
      </c>
      <c r="G42" s="15" t="n">
        <f aca="false">SUMIFS(BALANCES!$M:$M,BALANCES!$C:$C,"RO")-(SUMIFS(BALANCES!$L:$L,BALANCES!$C:$C,"RO"))</f>
        <v>0</v>
      </c>
      <c r="H42" s="15" t="n">
        <f aca="false">SUMIFS(BALANCES!$O:$O,BALANCES!$C:$C,"RO")-(SUMIFS(BALANCES!$N:$N,BALANCES!$C:$C,"RO"))</f>
        <v>0</v>
      </c>
    </row>
    <row r="43" customFormat="false" ht="15" hidden="false" customHeight="false" outlineLevel="0" collapsed="false">
      <c r="A43" s="13" t="s">
        <v>419</v>
      </c>
      <c r="B43" s="12" t="s">
        <v>420</v>
      </c>
      <c r="C43" s="15" t="n">
        <f aca="false">SUMIFS(BALANCES!$E:$E,BALANCES!$C:$C,"RP")-(SUMIFS(BALANCES!$D:$D,BALANCES!$C:$C,"RP"))</f>
        <v>0</v>
      </c>
      <c r="D43" s="15" t="n">
        <f aca="false">SUMIFS(BALANCES!$G:$G,BALANCES!$C:$C,"RP")-(SUMIFS(BALANCES!$F:$F,BALANCES!$C:$C,"RP"))</f>
        <v>0</v>
      </c>
      <c r="E43" s="15" t="n">
        <f aca="false">SUMIFS(BALANCES!$I:$I,BALANCES!$C:$C,"RP")-(SUMIFS(BALANCES!$H:$H,BALANCES!$C:$C,"RP"))</f>
        <v>0</v>
      </c>
      <c r="F43" s="15" t="n">
        <f aca="false">SUMIFS(BALANCES!$K:$K,BALANCES!$C:$C,"RP")-(SUMIFS(BALANCES!$J:$J,BALANCES!$C:$C,"RP"))</f>
        <v>0</v>
      </c>
      <c r="G43" s="15" t="n">
        <f aca="false">SUMIFS(BALANCES!$M:$M,BALANCES!$C:$C,"RP")-(SUMIFS(BALANCES!$L:$L,BALANCES!$C:$C,"RP"))</f>
        <v>0</v>
      </c>
      <c r="H43" s="15" t="n">
        <f aca="false">SUMIFS(BALANCES!$O:$O,BALANCES!$C:$C,"RP")-(SUMIFS(BALANCES!$N:$N,BALANCES!$C:$C,"RP"))</f>
        <v>0</v>
      </c>
    </row>
    <row r="44" customFormat="false" ht="15" hidden="false" customHeight="false" outlineLevel="0" collapsed="false">
      <c r="A44" s="34" t="s">
        <v>421</v>
      </c>
      <c r="B44" s="34" t="s">
        <v>422</v>
      </c>
      <c r="C44" s="35" t="n">
        <f aca="false">C40+C41+C42+C43</f>
        <v>0</v>
      </c>
      <c r="D44" s="35" t="n">
        <f aca="false">D40+D41+D42+D43</f>
        <v>0</v>
      </c>
      <c r="E44" s="35" t="n">
        <f aca="false">E40+E41+E42+E43</f>
        <v>0</v>
      </c>
      <c r="F44" s="35" t="n">
        <f aca="false">F40+F41+F42+F43</f>
        <v>0</v>
      </c>
      <c r="G44" s="35" t="n">
        <f aca="false">G40+G41+G42+G43</f>
        <v>0</v>
      </c>
      <c r="H44" s="35" t="n">
        <f aca="false">H40+H41+H42+H43</f>
        <v>0</v>
      </c>
      <c r="I44" s="38"/>
    </row>
    <row r="45" customFormat="false" ht="15" hidden="false" customHeight="false" outlineLevel="0" collapsed="false">
      <c r="A45" s="13" t="s">
        <v>423</v>
      </c>
      <c r="B45" s="12" t="s">
        <v>424</v>
      </c>
      <c r="C45" s="15" t="n">
        <f aca="false">SUMIFS(BALANCES!$E:$E,BALANCES!$C:$C,"RQ")-(SUMIFS(BALANCES!$D:$D,BALANCES!$C:$C,"RQ"))</f>
        <v>0</v>
      </c>
      <c r="D45" s="15" t="n">
        <f aca="false">SUMIFS(BALANCES!$G:$G,BALANCES!$C:$C,"RQ")-(SUMIFS(BALANCES!$F:$F,BALANCES!$C:$C,"RQ"))</f>
        <v>0</v>
      </c>
      <c r="E45" s="15" t="n">
        <f aca="false">SUMIFS(BALANCES!$I:$I,BALANCES!$C:$C,"RQ")-(SUMIFS(BALANCES!$H:$H,BALANCES!$C:$C,"RQ"))</f>
        <v>0</v>
      </c>
      <c r="F45" s="15" t="n">
        <f aca="false">SUMIFS(BALANCES!$K:$K,BALANCES!$C:$C,"RQ")-(SUMIFS(BALANCES!$J:$J,BALANCES!$C:$C,"RQ"))</f>
        <v>0</v>
      </c>
      <c r="G45" s="15" t="n">
        <f aca="false">SUMIFS(BALANCES!$M:$M,BALANCES!$C:$C,"RQ")-(SUMIFS(BALANCES!$L:$L,BALANCES!$C:$C,"RQ"))</f>
        <v>0</v>
      </c>
      <c r="H45" s="15" t="n">
        <f aca="false">SUMIFS(BALANCES!$O:$O,BALANCES!$C:$C,"RQ")-(SUMIFS(BALANCES!$N:$N,BALANCES!$C:$C,"RQ"))</f>
        <v>0</v>
      </c>
    </row>
    <row r="46" customFormat="false" ht="15" hidden="false" customHeight="false" outlineLevel="0" collapsed="false">
      <c r="A46" s="13" t="s">
        <v>258</v>
      </c>
      <c r="B46" s="12" t="s">
        <v>425</v>
      </c>
      <c r="C46" s="15" t="n">
        <f aca="false">SUMIFS(BALANCES!$E:$E,BALANCES!$C:$C,"RS")-(SUMIFS(BALANCES!$D:$D,BALANCES!$C:$C,"RS"))</f>
        <v>-24232959</v>
      </c>
      <c r="D46" s="15" t="n">
        <f aca="false">SUMIFS(BALANCES!$G:$G,BALANCES!$C:$C,"RS")-(SUMIFS(BALANCES!$F:$F,BALANCES!$C:$C,"RS"))</f>
        <v>-23222852.9803833</v>
      </c>
      <c r="E46" s="15" t="n">
        <f aca="false">SUMIFS(BALANCES!$I:$I,BALANCES!$C:$C,"RS")-(SUMIFS(BALANCES!$H:$H,BALANCES!$C:$C,"RS"))</f>
        <v>-24483150.7845692</v>
      </c>
      <c r="F46" s="15" t="n">
        <f aca="false">SUMIFS(BALANCES!$K:$K,BALANCES!$C:$C,"RS")-(SUMIFS(BALANCES!$J:$J,BALANCES!$C:$C,"RS"))</f>
        <v>-26744185.4347976</v>
      </c>
      <c r="G46" s="15" t="n">
        <f aca="false">SUMIFS(BALANCES!$M:$M,BALANCES!$C:$C,"RS")-(SUMIFS(BALANCES!$L:$L,BALANCES!$C:$C,"RS"))</f>
        <v>-29361849.6690375</v>
      </c>
      <c r="H46" s="15" t="n">
        <f aca="false">SUMIFS(BALANCES!$O:$O,BALANCES!$C:$C,"RS")-(SUMIFS(BALANCES!$N:$N,BALANCES!$C:$C,"RS"))</f>
        <v>-34204596.8149894</v>
      </c>
    </row>
    <row r="47" customFormat="false" ht="15" hidden="false" customHeight="false" outlineLevel="0" collapsed="false">
      <c r="A47" s="34" t="s">
        <v>133</v>
      </c>
      <c r="B47" s="34" t="s">
        <v>426</v>
      </c>
      <c r="C47" s="35" t="n">
        <f aca="false">C39+C44+C45+C46</f>
        <v>72698877</v>
      </c>
      <c r="D47" s="35" t="n">
        <f aca="false">D39+D44+D45+D46</f>
        <v>69668558.94115</v>
      </c>
      <c r="E47" s="35" t="n">
        <f aca="false">E39+E44+E45+E46</f>
        <v>73449452.3537075</v>
      </c>
      <c r="F47" s="35" t="n">
        <f aca="false">F39+F44+F45+F46</f>
        <v>80232556.3043929</v>
      </c>
      <c r="G47" s="35" t="n">
        <f aca="false">G39+G44+G45+G46</f>
        <v>88085549.0071126</v>
      </c>
      <c r="H47" s="35" t="n">
        <f aca="false">H39+H44+H45+H46</f>
        <v>102613790.444968</v>
      </c>
      <c r="I47" s="39" t="n">
        <f aca="false">IF(OR(C47&lt;=0,H47&lt;=0),"",(H47/C47)^(1/5)-1)</f>
        <v>0.0713604390279148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427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428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265</v>
      </c>
      <c r="B5" s="36" t="s">
        <v>429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267</v>
      </c>
    </row>
    <row r="6" customFormat="false" ht="15" hidden="false" customHeight="false" outlineLevel="0" collapsed="false">
      <c r="A6" s="34" t="s">
        <v>430</v>
      </c>
      <c r="B6" s="34" t="s">
        <v>431</v>
      </c>
      <c r="C6" s="40" t="s">
        <v>432</v>
      </c>
      <c r="D6" s="35" t="n">
        <f aca="false">BILAN!C28-BILAN!C58</f>
        <v>128133958</v>
      </c>
      <c r="E6" s="35" t="n">
        <f aca="false">BILAN!D28-BILAN!D58</f>
        <v>46216154.2754206</v>
      </c>
      <c r="F6" s="35" t="n">
        <f aca="false">BILAN!E28-BILAN!E58</f>
        <v>161168943.701008</v>
      </c>
      <c r="G6" s="35" t="n">
        <f aca="false">BILAN!F28-BILAN!F58</f>
        <v>305964345.486709</v>
      </c>
      <c r="H6" s="35" t="n">
        <f aca="false">BILAN!G28-BILAN!G58</f>
        <v>418670210.550694</v>
      </c>
      <c r="I6" s="38"/>
    </row>
    <row r="7" customFormat="false" ht="15" hidden="false" customHeight="false" outlineLevel="0" collapsed="false">
      <c r="A7" s="13" t="s">
        <v>433</v>
      </c>
      <c r="B7" s="12" t="s">
        <v>434</v>
      </c>
      <c r="C7" s="41" t="s">
        <v>432</v>
      </c>
      <c r="D7" s="18" t="n">
        <f aca="false">'COMPTE DE RESULTAT'!D47-'COMPTE DE RESULTAT'!D31-'COMPTE DE RESULTAT'!D37-'COMPTE DE RESULTAT'!D30-'COMPTE DE RESULTAT'!D34-'COMPTE DE RESULTAT'!D42-'COMPTE DE RESULTAT'!D40</f>
        <v>173227820.607817</v>
      </c>
      <c r="E7" s="18" t="n">
        <f aca="false">'COMPTE DE RESULTAT'!E47-'COMPTE DE RESULTAT'!E31-'COMPTE DE RESULTAT'!E37-'COMPTE DE RESULTAT'!E30-'COMPTE DE RESULTAT'!E34-'COMPTE DE RESULTAT'!E42-'COMPTE DE RESULTAT'!E40</f>
        <v>184384669.687041</v>
      </c>
      <c r="F7" s="18" t="n">
        <f aca="false">'COMPTE DE RESULTAT'!F47-'COMPTE DE RESULTAT'!F31-'COMPTE DE RESULTAT'!F37-'COMPTE DE RESULTAT'!F30-'COMPTE DE RESULTAT'!F34-'COMPTE DE RESULTAT'!F42-'COMPTE DE RESULTAT'!F40</f>
        <v>194190267.304393</v>
      </c>
      <c r="G7" s="18" t="n">
        <f aca="false">'COMPTE DE RESULTAT'!G47-'COMPTE DE RESULTAT'!G31-'COMPTE DE RESULTAT'!G37-'COMPTE DE RESULTAT'!G30-'COMPTE DE RESULTAT'!G34-'COMPTE DE RESULTAT'!G42-'COMPTE DE RESULTAT'!G40</f>
        <v>202576896.007113</v>
      </c>
      <c r="H7" s="18" t="n">
        <f aca="false">'COMPTE DE RESULTAT'!H47-'COMPTE DE RESULTAT'!H31-'COMPTE DE RESULTAT'!H37-'COMPTE DE RESULTAT'!H30-'COMPTE DE RESULTAT'!H34-'COMPTE DE RESULTAT'!H42-'COMPTE DE RESULTAT'!H40</f>
        <v>209288656.444968</v>
      </c>
    </row>
    <row r="8" customFormat="false" ht="15" hidden="false" customHeight="false" outlineLevel="0" collapsed="false">
      <c r="A8" s="13" t="s">
        <v>435</v>
      </c>
      <c r="B8" s="12" t="s">
        <v>436</v>
      </c>
      <c r="C8" s="41" t="s">
        <v>432</v>
      </c>
      <c r="D8" s="18" t="n">
        <f aca="false">-(BILAN!D18-BILAN!C18)</f>
        <v>-0</v>
      </c>
      <c r="E8" s="18" t="n">
        <f aca="false">-(BILAN!E18-BILAN!D18)</f>
        <v>-0</v>
      </c>
      <c r="F8" s="18" t="n">
        <f aca="false">-(BILAN!F18-BILAN!E18)</f>
        <v>-0</v>
      </c>
      <c r="G8" s="18" t="n">
        <f aca="false">-(BILAN!G18-BILAN!F18)</f>
        <v>-0</v>
      </c>
      <c r="H8" s="18" t="n">
        <f aca="false">-(BILAN!H18-BILAN!G18)</f>
        <v>-0</v>
      </c>
    </row>
    <row r="9" customFormat="false" ht="15" hidden="false" customHeight="false" outlineLevel="0" collapsed="false">
      <c r="A9" s="13" t="s">
        <v>437</v>
      </c>
      <c r="B9" s="12" t="s">
        <v>438</v>
      </c>
      <c r="C9" s="41" t="s">
        <v>432</v>
      </c>
      <c r="D9" s="18" t="n">
        <f aca="false">-(BILAN!D19-BILAN!C19)</f>
        <v>-0</v>
      </c>
      <c r="E9" s="18" t="n">
        <f aca="false">-(BILAN!E19-BILAN!D19)</f>
        <v>-0</v>
      </c>
      <c r="F9" s="18" t="n">
        <f aca="false">-(BILAN!F19-BILAN!E19)</f>
        <v>-0</v>
      </c>
      <c r="G9" s="18" t="n">
        <f aca="false">-(BILAN!G19-BILAN!F19)</f>
        <v>-0</v>
      </c>
      <c r="H9" s="18" t="n">
        <f aca="false">-(BILAN!H19-BILAN!G19)</f>
        <v>-0</v>
      </c>
    </row>
    <row r="10" customFormat="false" ht="15" hidden="false" customHeight="false" outlineLevel="0" collapsed="false">
      <c r="A10" s="13" t="s">
        <v>439</v>
      </c>
      <c r="B10" s="12" t="s">
        <v>440</v>
      </c>
      <c r="C10" s="41" t="s">
        <v>432</v>
      </c>
      <c r="D10" s="18" t="n">
        <f aca="false">-(BILAN!D23-BILAN!C23)</f>
        <v>-23030545.0991249</v>
      </c>
      <c r="E10" s="18" t="n">
        <f aca="false">-(BILAN!E23-BILAN!D23)</f>
        <v>-23765097.0549563</v>
      </c>
      <c r="F10" s="18" t="n">
        <f aca="false">-(BILAN!F23-BILAN!E23)</f>
        <v>-24953351.9077041</v>
      </c>
      <c r="G10" s="18" t="n">
        <f aca="false">-(BILAN!G23-BILAN!F23)</f>
        <v>-26201019.5030894</v>
      </c>
      <c r="H10" s="18" t="n">
        <f aca="false">-(BILAN!H23-BILAN!G23)</f>
        <v>-27511070.4782436</v>
      </c>
    </row>
    <row r="11" customFormat="false" ht="15" hidden="false" customHeight="false" outlineLevel="0" collapsed="false">
      <c r="A11" s="13" t="s">
        <v>441</v>
      </c>
      <c r="B11" s="12" t="s">
        <v>442</v>
      </c>
      <c r="C11" s="41" t="s">
        <v>432</v>
      </c>
      <c r="D11" s="18" t="n">
        <f aca="false">(BILAN!D55-BILAN!D49)-(BILAN!C55-BILAN!C49)</f>
        <v>6230577.76672882</v>
      </c>
      <c r="E11" s="18" t="n">
        <f aca="false">(BILAN!E55-BILAN!E49)-(BILAN!D55-BILAN!D49)</f>
        <v>9162632.79350314</v>
      </c>
      <c r="F11" s="18" t="n">
        <f aca="false">(BILAN!F55-BILAN!F49)-(BILAN!E55-BILAN!E49)</f>
        <v>10558486.3890116</v>
      </c>
      <c r="G11" s="18" t="n">
        <f aca="false">(BILAN!G55-BILAN!G49)-(BILAN!F55-BILAN!F49)</f>
        <v>11329988.5599622</v>
      </c>
      <c r="H11" s="18" t="n">
        <f aca="false">(BILAN!H55-BILAN!H49)-(BILAN!G55-BILAN!G49)</f>
        <v>13990687.6879603</v>
      </c>
    </row>
    <row r="12" customFormat="false" ht="15" hidden="false" customHeight="false" outlineLevel="0" collapsed="false">
      <c r="A12" s="34" t="s">
        <v>443</v>
      </c>
      <c r="B12" s="34" t="s">
        <v>444</v>
      </c>
      <c r="C12" s="40" t="s">
        <v>432</v>
      </c>
      <c r="D12" s="35" t="n">
        <f aca="false">D7+D8+D9+D10+D11</f>
        <v>156427853.275421</v>
      </c>
      <c r="E12" s="35" t="n">
        <f aca="false">E7+E8+E9+E10+E11</f>
        <v>169782205.425588</v>
      </c>
      <c r="F12" s="35" t="n">
        <f aca="false">F7+F8+F9+F10+F11</f>
        <v>179795401.7857</v>
      </c>
      <c r="G12" s="35" t="n">
        <f aca="false">G7+G8+G9+G10+G11</f>
        <v>187705865.063985</v>
      </c>
      <c r="H12" s="35" t="n">
        <f aca="false">H7+H8+H9+H10+H11</f>
        <v>195768273.654685</v>
      </c>
      <c r="I12" s="38"/>
    </row>
    <row r="13" customFormat="false" ht="15" hidden="false" customHeight="false" outlineLevel="0" collapsed="false">
      <c r="A13" s="13" t="s">
        <v>445</v>
      </c>
      <c r="B13" s="12" t="s">
        <v>446</v>
      </c>
      <c r="C13" s="41" t="s">
        <v>432</v>
      </c>
      <c r="D13" s="15" t="n">
        <f aca="false">-((SUMIFS(BALANCES!$F:$F,BALANCES!$C:$C,"AD"))-(SUMIFS(BALANCES!$D:$D,BALANCES!$C:$C,"AD")))</f>
        <v>-0</v>
      </c>
      <c r="E13" s="15" t="n">
        <f aca="false">-((SUMIFS(BALANCES!$H:$H,BALANCES!$C:$C,"AD"))-(SUMIFS(BALANCES!$F:$F,BALANCES!$C:$C,"AD")))</f>
        <v>-0</v>
      </c>
      <c r="F13" s="15" t="n">
        <f aca="false">-((SUMIFS(BALANCES!$J:$J,BALANCES!$C:$C,"AD"))-(SUMIFS(BALANCES!$H:$H,BALANCES!$C:$C,"AD")))</f>
        <v>-0</v>
      </c>
      <c r="G13" s="15" t="n">
        <f aca="false">-((SUMIFS(BALANCES!$L:$L,BALANCES!$C:$C,"AD"))-(SUMIFS(BALANCES!$J:$J,BALANCES!$C:$C,"AD")))</f>
        <v>-0</v>
      </c>
      <c r="H13" s="15" t="n">
        <f aca="false">-((SUMIFS(BALANCES!$N:$N,BALANCES!$C:$C,"AD"))-(SUMIFS(BALANCES!$L:$L,BALANCES!$C:$C,"AD")))</f>
        <v>-0</v>
      </c>
    </row>
    <row r="14" customFormat="false" ht="15" hidden="false" customHeight="false" outlineLevel="0" collapsed="false">
      <c r="A14" s="13" t="s">
        <v>447</v>
      </c>
      <c r="B14" s="12" t="s">
        <v>448</v>
      </c>
      <c r="C14" s="41" t="s">
        <v>432</v>
      </c>
      <c r="D14" s="15" t="n">
        <f aca="false">-((SUMIFS(BALANCES!$F:$F,BALANCES!$C:$C,"AJ")+SUMIFS(BALANCES!$F:$F,BALANCES!$C:$C,"AK")+SUMIFS(BALANCES!$F:$F,BALANCES!$C:$C,"AL")+SUMIFS(BALANCES!$F:$F,BALANCES!$C:$C,"AM")+SUMIFS(BALANCES!$F:$F,BALANCES!$C:$C,"AN")+SUMIFS(BALANCES!$F:$F,BALANCES!$C:$C,"AP"))-(SUMIFS(BALANCES!$D:$D,BALANCES!$C:$C,"AJ")+SUMIFS(BALANCES!$D:$D,BALANCES!$C:$C,"AK")+SUMIFS(BALANCES!$D:$D,BALANCES!$C:$C,"AL")+SUMIFS(BALANCES!$D:$D,BALANCES!$C:$C,"AM")+SUMIFS(BALANCES!$D:$D,BALANCES!$C:$C,"AN")+SUMIFS(BALANCES!$D:$D,BALANCES!$C:$C,"AP")))+(BILAN!D49-BILAN!C49)</f>
        <v>-207896547</v>
      </c>
      <c r="E14" s="15" t="n">
        <f aca="false">-((SUMIFS(BALANCES!$H:$H,BALANCES!$C:$C,"AJ")+SUMIFS(BALANCES!$H:$H,BALANCES!$C:$C,"AK")+SUMIFS(BALANCES!$H:$H,BALANCES!$C:$C,"AL")+SUMIFS(BALANCES!$H:$H,BALANCES!$C:$C,"AM")+SUMIFS(BALANCES!$H:$H,BALANCES!$C:$C,"AN")+SUMIFS(BALANCES!$H:$H,BALANCES!$C:$C,"AP"))-(SUMIFS(BALANCES!$F:$F,BALANCES!$C:$C,"AJ")+SUMIFS(BALANCES!$F:$F,BALANCES!$C:$C,"AK")+SUMIFS(BALANCES!$F:$F,BALANCES!$C:$C,"AL")+SUMIFS(BALANCES!$F:$F,BALANCES!$C:$C,"AM")+SUMIFS(BALANCES!$F:$F,BALANCES!$C:$C,"AN")+SUMIFS(BALANCES!$F:$F,BALANCES!$C:$C,"AP")))+(BILAN!E49-BILAN!D49)</f>
        <v>-35000000</v>
      </c>
      <c r="F14" s="15" t="n">
        <f aca="false">-((SUMIFS(BALANCES!$J:$J,BALANCES!$C:$C,"AJ")+SUMIFS(BALANCES!$J:$J,BALANCES!$C:$C,"AK")+SUMIFS(BALANCES!$J:$J,BALANCES!$C:$C,"AL")+SUMIFS(BALANCES!$J:$J,BALANCES!$C:$C,"AM")+SUMIFS(BALANCES!$J:$J,BALANCES!$C:$C,"AN")+SUMIFS(BALANCES!$J:$J,BALANCES!$C:$C,"AP"))-(SUMIFS(BALANCES!$H:$H,BALANCES!$C:$C,"AJ")+SUMIFS(BALANCES!$H:$H,BALANCES!$C:$C,"AK")+SUMIFS(BALANCES!$H:$H,BALANCES!$C:$C,"AL")+SUMIFS(BALANCES!$H:$H,BALANCES!$C:$C,"AM")+SUMIFS(BALANCES!$H:$H,BALANCES!$C:$C,"AN")+SUMIFS(BALANCES!$H:$H,BALANCES!$C:$C,"AP")))+(BILAN!F49-BILAN!E49)</f>
        <v>-35000000</v>
      </c>
      <c r="G14" s="15" t="n">
        <f aca="false">-((SUMIFS(BALANCES!$L:$L,BALANCES!$C:$C,"AJ")+SUMIFS(BALANCES!$L:$L,BALANCES!$C:$C,"AK")+SUMIFS(BALANCES!$L:$L,BALANCES!$C:$C,"AL")+SUMIFS(BALANCES!$L:$L,BALANCES!$C:$C,"AM")+SUMIFS(BALANCES!$L:$L,BALANCES!$C:$C,"AN")+SUMIFS(BALANCES!$L:$L,BALANCES!$C:$C,"AP"))-(SUMIFS(BALANCES!$J:$J,BALANCES!$C:$C,"AJ")+SUMIFS(BALANCES!$J:$J,BALANCES!$C:$C,"AK")+SUMIFS(BALANCES!$J:$J,BALANCES!$C:$C,"AL")+SUMIFS(BALANCES!$J:$J,BALANCES!$C:$C,"AM")+SUMIFS(BALANCES!$J:$J,BALANCES!$C:$C,"AN")+SUMIFS(BALANCES!$J:$J,BALANCES!$C:$C,"AP")))+(BILAN!G49-BILAN!F49)</f>
        <v>-75000000</v>
      </c>
      <c r="H14" s="15" t="n">
        <f aca="false">-((SUMIFS(BALANCES!$N:$N,BALANCES!$C:$C,"AJ")+SUMIFS(BALANCES!$N:$N,BALANCES!$C:$C,"AK")+SUMIFS(BALANCES!$N:$N,BALANCES!$C:$C,"AL")+SUMIFS(BALANCES!$N:$N,BALANCES!$C:$C,"AM")+SUMIFS(BALANCES!$N:$N,BALANCES!$C:$C,"AN")+SUMIFS(BALANCES!$N:$N,BALANCES!$C:$C,"AP"))-(SUMIFS(BALANCES!$L:$L,BALANCES!$C:$C,"AJ")+SUMIFS(BALANCES!$L:$L,BALANCES!$C:$C,"AK")+SUMIFS(BALANCES!$L:$L,BALANCES!$C:$C,"AL")+SUMIFS(BALANCES!$L:$L,BALANCES!$C:$C,"AM")+SUMIFS(BALANCES!$L:$L,BALANCES!$C:$C,"AN")+SUMIFS(BALANCES!$L:$L,BALANCES!$C:$C,"AP")))+(BILAN!H49-BILAN!G49)</f>
        <v>-35000000</v>
      </c>
    </row>
    <row r="15" customFormat="false" ht="15" hidden="false" customHeight="false" outlineLevel="0" collapsed="false">
      <c r="A15" s="13" t="s">
        <v>449</v>
      </c>
      <c r="B15" s="12" t="s">
        <v>450</v>
      </c>
      <c r="C15" s="41" t="s">
        <v>432</v>
      </c>
      <c r="D15" s="18" t="n">
        <f aca="false">-(BILAN!D16-BILAN!C16)</f>
        <v>-0</v>
      </c>
      <c r="E15" s="18" t="n">
        <f aca="false">-(BILAN!E16-BILAN!D16)</f>
        <v>-0</v>
      </c>
      <c r="F15" s="18" t="n">
        <f aca="false">-(BILAN!F16-BILAN!E16)</f>
        <v>-0</v>
      </c>
      <c r="G15" s="18" t="n">
        <f aca="false">-(BILAN!G16-BILAN!F16)</f>
        <v>-0</v>
      </c>
      <c r="H15" s="18" t="n">
        <f aca="false">-(BILAN!H16-BILAN!G16)</f>
        <v>-0</v>
      </c>
    </row>
    <row r="16" customFormat="false" ht="15" hidden="false" customHeight="false" outlineLevel="0" collapsed="false">
      <c r="A16" s="13" t="s">
        <v>451</v>
      </c>
      <c r="B16" s="12" t="s">
        <v>452</v>
      </c>
      <c r="C16" s="41" t="s">
        <v>432</v>
      </c>
      <c r="D16" s="18" t="n">
        <f aca="false">'COMPTE DE RESULTAT'!D40</f>
        <v>0</v>
      </c>
      <c r="E16" s="18" t="n">
        <f aca="false">'COMPTE DE RESULTAT'!E40</f>
        <v>0</v>
      </c>
      <c r="F16" s="18" t="n">
        <f aca="false">'COMPTE DE RESULTAT'!F40</f>
        <v>0</v>
      </c>
      <c r="G16" s="18" t="n">
        <f aca="false">'COMPTE DE RESULTAT'!G40</f>
        <v>0</v>
      </c>
      <c r="H16" s="18" t="n">
        <f aca="false">'COMPTE DE RESULTAT'!H40</f>
        <v>0</v>
      </c>
    </row>
    <row r="17" customFormat="false" ht="15" hidden="false" customHeight="false" outlineLevel="0" collapsed="false">
      <c r="A17" s="13" t="s">
        <v>453</v>
      </c>
      <c r="B17" s="12" t="s">
        <v>454</v>
      </c>
      <c r="C17" s="41" t="s">
        <v>432</v>
      </c>
      <c r="D17" s="18" t="n">
        <f aca="false">0</f>
        <v>0</v>
      </c>
      <c r="E17" s="18" t="n">
        <f aca="false">0</f>
        <v>0</v>
      </c>
      <c r="F17" s="18" t="n">
        <f aca="false">0</f>
        <v>0</v>
      </c>
      <c r="G17" s="18" t="n">
        <f aca="false">0</f>
        <v>0</v>
      </c>
      <c r="H17" s="18" t="n">
        <f aca="false">0</f>
        <v>0</v>
      </c>
    </row>
    <row r="18" customFormat="false" ht="15" hidden="false" customHeight="false" outlineLevel="0" collapsed="false">
      <c r="A18" s="34" t="s">
        <v>455</v>
      </c>
      <c r="B18" s="34" t="s">
        <v>456</v>
      </c>
      <c r="C18" s="40" t="s">
        <v>432</v>
      </c>
      <c r="D18" s="35" t="n">
        <f aca="false">D13+D14+D15+D16+D17</f>
        <v>-207896547</v>
      </c>
      <c r="E18" s="35" t="n">
        <f aca="false">E13+E14+E15+E16+E17</f>
        <v>-35000000</v>
      </c>
      <c r="F18" s="35" t="n">
        <f aca="false">F13+F14+F15+F16+F17</f>
        <v>-35000000</v>
      </c>
      <c r="G18" s="35" t="n">
        <f aca="false">G13+G14+G15+G16+G17</f>
        <v>-75000000</v>
      </c>
      <c r="H18" s="35" t="n">
        <f aca="false">H13+H14+H15+H16+H17</f>
        <v>-35000000</v>
      </c>
      <c r="I18" s="38"/>
    </row>
    <row r="19" customFormat="false" ht="15" hidden="false" customHeight="false" outlineLevel="0" collapsed="false">
      <c r="A19" s="13" t="s">
        <v>457</v>
      </c>
      <c r="B19" s="12" t="s">
        <v>458</v>
      </c>
      <c r="C19" s="41" t="s">
        <v>432</v>
      </c>
      <c r="D19" s="18" t="n">
        <f aca="false">BILAN!D33-BILAN!C33</f>
        <v>0</v>
      </c>
      <c r="E19" s="18" t="n">
        <f aca="false">BILAN!E33-BILAN!D33</f>
        <v>0</v>
      </c>
      <c r="F19" s="18" t="n">
        <f aca="false">BILAN!F33-BILAN!E33</f>
        <v>0</v>
      </c>
      <c r="G19" s="18" t="n">
        <f aca="false">BILAN!G33-BILAN!F33</f>
        <v>0</v>
      </c>
      <c r="H19" s="18" t="n">
        <f aca="false">BILAN!H33-BILAN!G33</f>
        <v>0</v>
      </c>
    </row>
    <row r="20" customFormat="false" ht="15" hidden="false" customHeight="false" outlineLevel="0" collapsed="false">
      <c r="A20" s="13" t="s">
        <v>459</v>
      </c>
      <c r="B20" s="12" t="s">
        <v>460</v>
      </c>
      <c r="C20" s="41" t="s">
        <v>432</v>
      </c>
      <c r="D20" s="18" t="n">
        <f aca="false">BILAN!D41-BILAN!C41</f>
        <v>0</v>
      </c>
      <c r="E20" s="18" t="n">
        <f aca="false">BILAN!E41-BILAN!D41</f>
        <v>0</v>
      </c>
      <c r="F20" s="18" t="n">
        <f aca="false">BILAN!F41-BILAN!E41</f>
        <v>0</v>
      </c>
      <c r="G20" s="18" t="n">
        <f aca="false">BILAN!G41-BILAN!F41</f>
        <v>0</v>
      </c>
      <c r="H20" s="18" t="n">
        <f aca="false">BILAN!H41-BILAN!G41</f>
        <v>0</v>
      </c>
    </row>
    <row r="21" customFormat="false" ht="15" hidden="false" customHeight="false" outlineLevel="0" collapsed="false">
      <c r="A21" s="13" t="s">
        <v>461</v>
      </c>
      <c r="B21" s="12" t="s">
        <v>462</v>
      </c>
      <c r="C21" s="41" t="s">
        <v>432</v>
      </c>
      <c r="D21" s="18" t="n">
        <f aca="false">0</f>
        <v>0</v>
      </c>
      <c r="E21" s="18" t="n">
        <f aca="false">0</f>
        <v>0</v>
      </c>
      <c r="F21" s="18" t="n">
        <f aca="false">0</f>
        <v>0</v>
      </c>
      <c r="G21" s="18" t="n">
        <f aca="false">0</f>
        <v>0</v>
      </c>
      <c r="H21" s="18" t="n">
        <f aca="false">0</f>
        <v>0</v>
      </c>
    </row>
    <row r="22" customFormat="false" ht="15" hidden="false" customHeight="false" outlineLevel="0" collapsed="false">
      <c r="A22" s="13" t="s">
        <v>463</v>
      </c>
      <c r="B22" s="12" t="s">
        <v>464</v>
      </c>
      <c r="C22" s="41" t="s">
        <v>432</v>
      </c>
      <c r="D22" s="18" t="n">
        <f aca="false">-((BILAN!C37+BILAN!C38+BILAN!C39+BILAN!C40)-(BILAN!D37+BILAN!D38+BILAN!D39))</f>
        <v>-0</v>
      </c>
      <c r="E22" s="18" t="n">
        <f aca="false">-((BILAN!D37+BILAN!D38+BILAN!D39+BILAN!D40)-(BILAN!E37+BILAN!E38+BILAN!E39))</f>
        <v>-0</v>
      </c>
      <c r="F22" s="18" t="n">
        <f aca="false">-((BILAN!E37+BILAN!E38+BILAN!E39+BILAN!E40)-(BILAN!F37+BILAN!F38+BILAN!F39))</f>
        <v>-0</v>
      </c>
      <c r="G22" s="18" t="n">
        <f aca="false">-((BILAN!F37+BILAN!F38+BILAN!F39+BILAN!F40)-(BILAN!G37+BILAN!G38+BILAN!G39))</f>
        <v>-0</v>
      </c>
      <c r="H22" s="18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4" t="s">
        <v>465</v>
      </c>
      <c r="B23" s="34" t="s">
        <v>466</v>
      </c>
      <c r="C23" s="40" t="s">
        <v>432</v>
      </c>
      <c r="D23" s="35" t="n">
        <f aca="false">D19+D20+D21+D22</f>
        <v>0</v>
      </c>
      <c r="E23" s="35" t="n">
        <f aca="false">E19+E20+E21+E22</f>
        <v>0</v>
      </c>
      <c r="F23" s="35" t="n">
        <f aca="false">F19+F20+F21+F22</f>
        <v>0</v>
      </c>
      <c r="G23" s="35" t="n">
        <f aca="false">G19+G20+G21+G22</f>
        <v>0</v>
      </c>
      <c r="H23" s="35" t="n">
        <f aca="false">H19+H20+H21+H22</f>
        <v>0</v>
      </c>
      <c r="I23" s="38"/>
    </row>
    <row r="24" customFormat="false" ht="15" hidden="false" customHeight="false" outlineLevel="0" collapsed="false">
      <c r="A24" s="13" t="s">
        <v>467</v>
      </c>
      <c r="B24" s="12" t="s">
        <v>468</v>
      </c>
      <c r="C24" s="41" t="s">
        <v>432</v>
      </c>
      <c r="D24" s="15" t="n">
        <f aca="false">HYPOTHESES!D41</f>
        <v>0</v>
      </c>
      <c r="E24" s="15" t="n">
        <f aca="false">HYPOTHESES!E41</f>
        <v>0</v>
      </c>
      <c r="F24" s="15" t="n">
        <f aca="false">HYPOTHESES!F41</f>
        <v>0</v>
      </c>
      <c r="G24" s="15" t="n">
        <f aca="false">HYPOTHESES!G41</f>
        <v>0</v>
      </c>
      <c r="H24" s="15" t="n">
        <f aca="false">HYPOTHESES!H41</f>
        <v>0</v>
      </c>
    </row>
    <row r="25" customFormat="false" ht="15" hidden="false" customHeight="false" outlineLevel="0" collapsed="false">
      <c r="A25" s="13" t="s">
        <v>469</v>
      </c>
      <c r="B25" s="12" t="s">
        <v>470</v>
      </c>
      <c r="C25" s="41" t="s">
        <v>432</v>
      </c>
      <c r="D25" s="18" t="n">
        <f aca="false">0</f>
        <v>0</v>
      </c>
      <c r="E25" s="18" t="n">
        <f aca="false">0</f>
        <v>0</v>
      </c>
      <c r="F25" s="18" t="n">
        <f aca="false">0</f>
        <v>0</v>
      </c>
      <c r="G25" s="18" t="n">
        <f aca="false">0</f>
        <v>0</v>
      </c>
      <c r="H25" s="18" t="n">
        <f aca="false">0</f>
        <v>0</v>
      </c>
    </row>
    <row r="26" customFormat="false" ht="15" hidden="false" customHeight="false" outlineLevel="0" collapsed="false">
      <c r="A26" s="13" t="s">
        <v>471</v>
      </c>
      <c r="B26" s="12" t="s">
        <v>472</v>
      </c>
      <c r="C26" s="41" t="s">
        <v>432</v>
      </c>
      <c r="D26" s="15" t="n">
        <f aca="false">-(HYPOTHESES!D42+HYPOTHESES!D43)</f>
        <v>-30449110</v>
      </c>
      <c r="E26" s="15" t="n">
        <f aca="false">-(HYPOTHESES!E42+HYPOTHESES!E43)</f>
        <v>-19829416</v>
      </c>
      <c r="F26" s="15" t="n">
        <f aca="false">-(HYPOTHESES!F42+HYPOTHESES!F43)</f>
        <v>-0</v>
      </c>
      <c r="G26" s="15" t="n">
        <f aca="false">-(HYPOTHESES!G42+HYPOTHESES!G43)</f>
        <v>-0</v>
      </c>
      <c r="H26" s="15" t="n">
        <f aca="false">-(HYPOTHESES!H42+HYPOTHESES!H43)</f>
        <v>-0</v>
      </c>
    </row>
    <row r="27" customFormat="false" ht="15" hidden="false" customHeight="false" outlineLevel="0" collapsed="false">
      <c r="A27" s="34" t="s">
        <v>473</v>
      </c>
      <c r="B27" s="34" t="s">
        <v>474</v>
      </c>
      <c r="C27" s="40" t="s">
        <v>432</v>
      </c>
      <c r="D27" s="35" t="n">
        <f aca="false">D24+D25+D26</f>
        <v>-30449110</v>
      </c>
      <c r="E27" s="35" t="n">
        <f aca="false">E24+E25+E26</f>
        <v>-19829416</v>
      </c>
      <c r="F27" s="35" t="n">
        <f aca="false">F24+F25+F26</f>
        <v>0</v>
      </c>
      <c r="G27" s="35" t="n">
        <f aca="false">G24+G25+G26</f>
        <v>0</v>
      </c>
      <c r="H27" s="35" t="n">
        <f aca="false">H24+H25+H26</f>
        <v>0</v>
      </c>
      <c r="I27" s="38"/>
    </row>
    <row r="28" customFormat="false" ht="15" hidden="false" customHeight="false" outlineLevel="0" collapsed="false">
      <c r="A28" s="34" t="s">
        <v>475</v>
      </c>
      <c r="B28" s="34" t="s">
        <v>476</v>
      </c>
      <c r="C28" s="40" t="s">
        <v>432</v>
      </c>
      <c r="D28" s="35" t="n">
        <f aca="false">D23+D27</f>
        <v>-30449110</v>
      </c>
      <c r="E28" s="35" t="n">
        <f aca="false">E23+E27</f>
        <v>-19829416</v>
      </c>
      <c r="F28" s="35" t="n">
        <f aca="false">F23+F27</f>
        <v>0</v>
      </c>
      <c r="G28" s="35" t="n">
        <f aca="false">G23+G27</f>
        <v>0</v>
      </c>
      <c r="H28" s="35" t="n">
        <f aca="false">H23+H27</f>
        <v>0</v>
      </c>
      <c r="I28" s="38"/>
    </row>
    <row r="29" customFormat="false" ht="15" hidden="false" customHeight="false" outlineLevel="0" collapsed="false">
      <c r="A29" s="34" t="s">
        <v>477</v>
      </c>
      <c r="B29" s="34" t="s">
        <v>478</v>
      </c>
      <c r="C29" s="40" t="s">
        <v>432</v>
      </c>
      <c r="D29" s="35" t="n">
        <f aca="false">D12+D18+D28</f>
        <v>-81917803.7245795</v>
      </c>
      <c r="E29" s="35" t="n">
        <f aca="false">E12+E18+E28</f>
        <v>114952789.425588</v>
      </c>
      <c r="F29" s="35" t="n">
        <f aca="false">F12+F18+F28</f>
        <v>144795401.7857</v>
      </c>
      <c r="G29" s="35" t="n">
        <f aca="false">G12+G18+G28</f>
        <v>112705865.063985</v>
      </c>
      <c r="H29" s="35" t="n">
        <f aca="false">H12+H18+H28</f>
        <v>160768273.654685</v>
      </c>
      <c r="I29" s="38"/>
    </row>
    <row r="30" customFormat="false" ht="15" hidden="false" customHeight="false" outlineLevel="0" collapsed="false">
      <c r="A30" s="34" t="s">
        <v>479</v>
      </c>
      <c r="B30" s="34" t="s">
        <v>480</v>
      </c>
      <c r="C30" s="40" t="s">
        <v>432</v>
      </c>
      <c r="D30" s="35" t="n">
        <f aca="false">D29+D6</f>
        <v>46216154.2754206</v>
      </c>
      <c r="E30" s="35" t="n">
        <f aca="false">E29+E6</f>
        <v>161168943.701008</v>
      </c>
      <c r="F30" s="35" t="n">
        <f aca="false">F29+F6</f>
        <v>305964345.486709</v>
      </c>
      <c r="G30" s="35" t="n">
        <f aca="false">G29+G6</f>
        <v>418670210.550694</v>
      </c>
      <c r="H30" s="35" t="n">
        <f aca="false">H29+H6</f>
        <v>579438484.205379</v>
      </c>
      <c r="I30" s="38"/>
    </row>
    <row r="31" customFormat="false" ht="15" hidden="false" customHeight="false" outlineLevel="0" collapsed="false">
      <c r="B31" s="7" t="s">
        <v>481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482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483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265</v>
      </c>
      <c r="B5" s="36" t="s">
        <v>484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485</v>
      </c>
    </row>
    <row r="6" customFormat="false" ht="15" hidden="false" customHeight="false" outlineLevel="0" collapsed="false">
      <c r="A6" s="13"/>
      <c r="B6" s="12" t="s">
        <v>486</v>
      </c>
      <c r="C6" s="15" t="n">
        <f aca="false">BALANCES!D92</f>
        <v>0</v>
      </c>
      <c r="D6" s="15" t="n">
        <f aca="false">BALANCES!F92</f>
        <v>0</v>
      </c>
      <c r="E6" s="15" t="n">
        <f aca="false">BALANCES!H92</f>
        <v>0</v>
      </c>
      <c r="F6" s="15" t="n">
        <f aca="false">BALANCES!J92</f>
        <v>0</v>
      </c>
      <c r="G6" s="15" t="n">
        <f aca="false">BALANCES!L92</f>
        <v>0</v>
      </c>
      <c r="H6" s="15" t="n">
        <f aca="false">BALANCES!N92</f>
        <v>0</v>
      </c>
    </row>
    <row r="7" customFormat="false" ht="15" hidden="false" customHeight="false" outlineLevel="0" collapsed="false">
      <c r="A7" s="13"/>
      <c r="B7" s="12" t="s">
        <v>487</v>
      </c>
      <c r="C7" s="18" t="n">
        <f aca="false">BILAN!C30-BILAN!C60</f>
        <v>0</v>
      </c>
      <c r="D7" s="18" t="n">
        <f aca="false">BILAN!D30-BILAN!D60</f>
        <v>0</v>
      </c>
      <c r="E7" s="18" t="n">
        <f aca="false">BILAN!E30-BILAN!E60</f>
        <v>0</v>
      </c>
      <c r="F7" s="18" t="n">
        <f aca="false">BILAN!F30-BILAN!F60</f>
        <v>0</v>
      </c>
      <c r="G7" s="18" t="n">
        <f aca="false">BILAN!G30-BILAN!G60</f>
        <v>0</v>
      </c>
      <c r="H7" s="18" t="n">
        <f aca="false">BILAN!H30-BILAN!H60</f>
        <v>0</v>
      </c>
    </row>
    <row r="8" customFormat="false" ht="15" hidden="false" customHeight="false" outlineLevel="0" collapsed="false">
      <c r="A8" s="13"/>
      <c r="B8" s="12" t="s">
        <v>488</v>
      </c>
      <c r="C8" s="15" t="n">
        <f aca="false">'COMPTE DE RESULTAT'!C47-HYPOTHESES!C92</f>
        <v>0</v>
      </c>
      <c r="D8" s="15" t="n">
        <f aca="false">'COMPTE DE RESULTAT'!D47-HYPOTHESES!D92</f>
        <v>0</v>
      </c>
      <c r="E8" s="15" t="n">
        <f aca="false">'COMPTE DE RESULTAT'!E47-HYPOTHESES!E92</f>
        <v>0</v>
      </c>
      <c r="F8" s="15" t="n">
        <f aca="false">'COMPTE DE RESULTAT'!F47-HYPOTHESES!F92</f>
        <v>0</v>
      </c>
      <c r="G8" s="15" t="n">
        <f aca="false">'COMPTE DE RESULTAT'!G47-HYPOTHESES!G92</f>
        <v>0</v>
      </c>
      <c r="H8" s="15" t="n">
        <f aca="false">'COMPTE DE RESULTAT'!H47-HYPOTHESES!H92</f>
        <v>0</v>
      </c>
    </row>
    <row r="9" customFormat="false" ht="15" hidden="false" customHeight="false" outlineLevel="0" collapsed="false">
      <c r="A9" s="13"/>
      <c r="B9" s="12" t="s">
        <v>489</v>
      </c>
      <c r="C9" s="41" t="s">
        <v>432</v>
      </c>
      <c r="D9" s="18" t="n">
        <f aca="false">TFT!D30-(BILAN!D28-BILAN!D58)</f>
        <v>0</v>
      </c>
      <c r="E9" s="18" t="n">
        <f aca="false">TFT!E30-(BILAN!E28-BILAN!E58)</f>
        <v>0</v>
      </c>
      <c r="F9" s="18" t="n">
        <f aca="false">TFT!F30-(BILAN!F28-BILAN!F58)</f>
        <v>0</v>
      </c>
      <c r="G9" s="18" t="n">
        <f aca="false">TFT!G30-(BILAN!G28-BILAN!G58)</f>
        <v>0</v>
      </c>
      <c r="H9" s="18" t="n">
        <f aca="false">TFT!H30-(BILAN!H28-BILAN!H58)</f>
        <v>0</v>
      </c>
    </row>
    <row r="10" customFormat="false" ht="15" hidden="false" customHeight="false" outlineLevel="0" collapsed="false">
      <c r="A10" s="13"/>
      <c r="B10" s="12" t="s">
        <v>490</v>
      </c>
      <c r="C10" s="41" t="s">
        <v>432</v>
      </c>
      <c r="D10" s="18" t="n">
        <f aca="false">BILAN!D43-(BILAN!C43+'COMPTE DE RESULTAT'!D47+TFT!D22+TFT!D19+TFT!D20)</f>
        <v>0</v>
      </c>
      <c r="E10" s="18" t="n">
        <f aca="false">BILAN!E43-(BILAN!D43+'COMPTE DE RESULTAT'!E47+TFT!E22+TFT!E19+TFT!E20)</f>
        <v>0</v>
      </c>
      <c r="F10" s="18" t="n">
        <f aca="false">BILAN!F43-(BILAN!E43+'COMPTE DE RESULTAT'!F47+TFT!F22+TFT!F19+TFT!F20)</f>
        <v>0</v>
      </c>
      <c r="G10" s="18" t="n">
        <f aca="false">BILAN!G43-(BILAN!F43+'COMPTE DE RESULTAT'!G47+TFT!G22+TFT!G19+TFT!G20)</f>
        <v>0</v>
      </c>
      <c r="H10" s="18" t="n">
        <f aca="false">BILAN!H43-(BILAN!G43+'COMPTE DE RESULTAT'!H47+TFT!H22+TFT!H19+TFT!H20)</f>
        <v>0</v>
      </c>
    </row>
    <row r="11" customFormat="false" ht="15" hidden="false" customHeight="false" outlineLevel="0" collapsed="false">
      <c r="A11" s="13"/>
      <c r="B11" s="12" t="s">
        <v>491</v>
      </c>
      <c r="C11" s="41" t="s">
        <v>432</v>
      </c>
      <c r="D11" s="18" t="n">
        <f aca="false">TFT!D6-(BILAN!C28-BILAN!C58)</f>
        <v>0</v>
      </c>
      <c r="E11" s="18" t="n">
        <f aca="false">TFT!E6-(BILAN!D28-BILAN!D58)</f>
        <v>0</v>
      </c>
      <c r="F11" s="18" t="n">
        <f aca="false">TFT!F6-(BILAN!E28-BILAN!E58)</f>
        <v>0</v>
      </c>
      <c r="G11" s="18" t="n">
        <f aca="false">TFT!G6-(BILAN!F28-BILAN!F58)</f>
        <v>0</v>
      </c>
      <c r="H11" s="18" t="n">
        <f aca="false">TFT!H6-(BILAN!G28-BILAN!G58)</f>
        <v>0</v>
      </c>
    </row>
    <row r="12" customFormat="false" ht="15" hidden="false" customHeight="false" outlineLevel="0" collapsed="false">
      <c r="A12" s="13"/>
      <c r="B12" s="12" t="s">
        <v>492</v>
      </c>
      <c r="C12" s="32" t="n">
        <f aca="false">IF(BILAN!C28-BILAN!C58&lt;0,1,0)</f>
        <v>0</v>
      </c>
      <c r="D12" s="32" t="n">
        <f aca="false">IF(BILAN!D28-BILAN!D58&lt;0,1,0)</f>
        <v>0</v>
      </c>
      <c r="E12" s="32" t="n">
        <f aca="false">IF(BILAN!E28-BILAN!E58&lt;0,1,0)</f>
        <v>0</v>
      </c>
      <c r="F12" s="32" t="n">
        <f aca="false">IF(BILAN!F28-BILAN!F58&lt;0,1,0)</f>
        <v>0</v>
      </c>
      <c r="G12" s="32" t="n">
        <f aca="false">IF(BILAN!G28-BILAN!G58&lt;0,1,0)</f>
        <v>0</v>
      </c>
      <c r="H12" s="32" t="n">
        <f aca="false">IF(BILAN!H28-BILAN!H58&lt;0,1,0)</f>
        <v>0</v>
      </c>
    </row>
    <row r="13" customFormat="false" ht="15" hidden="false" customHeight="false" outlineLevel="0" collapsed="false">
      <c r="A13" s="13"/>
      <c r="B13" s="12" t="s">
        <v>493</v>
      </c>
      <c r="C13" s="32" t="n">
        <f aca="false">IF(BILAN!C43&lt;BILAN!C33/2,1,0)</f>
        <v>0</v>
      </c>
      <c r="D13" s="32" t="n">
        <f aca="false">IF(BILAN!D43&lt;BILAN!D33/2,1,0)</f>
        <v>0</v>
      </c>
      <c r="E13" s="32" t="n">
        <f aca="false">IF(BILAN!E43&lt;BILAN!E33/2,1,0)</f>
        <v>0</v>
      </c>
      <c r="F13" s="32" t="n">
        <f aca="false">IF(BILAN!F43&lt;BILAN!F33/2,1,0)</f>
        <v>0</v>
      </c>
      <c r="G13" s="32" t="n">
        <f aca="false">IF(BILAN!G43&lt;BILAN!G33/2,1,0)</f>
        <v>0</v>
      </c>
      <c r="H13" s="32" t="n">
        <f aca="false">IF(BILAN!H43&lt;BILAN!H33/2,1,0)</f>
        <v>0</v>
      </c>
    </row>
    <row r="14" customFormat="false" ht="15" hidden="false" customHeight="false" outlineLevel="0" collapsed="false">
      <c r="B14" s="42" t="s">
        <v>494</v>
      </c>
      <c r="C14" s="43" t="n">
        <f aca="false">COUNTIF(C6:C13,"&gt;0.5")+COUNTIF(C6:C13,"&lt;-0.5")</f>
        <v>0</v>
      </c>
      <c r="D14" s="43" t="n">
        <f aca="false">COUNTIF(D6:D13,"&gt;0.5")+COUNTIF(D6:D13,"&lt;-0.5")</f>
        <v>0</v>
      </c>
      <c r="E14" s="43" t="n">
        <f aca="false">COUNTIF(E6:E13,"&gt;0.5")+COUNTIF(E6:E13,"&lt;-0.5")</f>
        <v>0</v>
      </c>
      <c r="F14" s="43" t="n">
        <f aca="false">COUNTIF(F6:F13,"&gt;0.5")+COUNTIF(F6:F13,"&lt;-0.5")</f>
        <v>0</v>
      </c>
      <c r="G14" s="43" t="n">
        <f aca="false">COUNTIF(G6:G13,"&gt;0.5")+COUNTIF(G6:G13,"&lt;-0.5")</f>
        <v>0</v>
      </c>
      <c r="H14" s="43" t="n">
        <f aca="false">COUNTIF(H6:H13,"&gt;0.5")+COUNTIF(H6:H13,"&lt;-0.5")</f>
        <v>0</v>
      </c>
      <c r="I14" s="42" t="str">
        <f aca="false">IF(SUM(C14:H14)=0,"OK","À VÉRIFIER")</f>
        <v>OK</v>
      </c>
    </row>
    <row r="16" customFormat="false" ht="15" hidden="false" customHeight="false" outlineLevel="0" collapsed="false">
      <c r="A16" s="36" t="s">
        <v>265</v>
      </c>
      <c r="B16" s="36" t="s">
        <v>495</v>
      </c>
      <c r="C16" s="36" t="str">
        <f aca="false">"Réel "&amp;HYPOTHESES!$C$5</f>
        <v>Réel 2024</v>
      </c>
      <c r="D16" s="37" t="n">
        <f aca="false">HYPOTHESES!$C$5+1</f>
        <v>2025</v>
      </c>
      <c r="E16" s="37" t="n">
        <f aca="false">HYPOTHESES!$C$5+2</f>
        <v>2026</v>
      </c>
      <c r="F16" s="37" t="n">
        <f aca="false">HYPOTHESES!$C$5+3</f>
        <v>2027</v>
      </c>
      <c r="G16" s="37" t="n">
        <f aca="false">HYPOTHESES!$C$5+4</f>
        <v>2028</v>
      </c>
      <c r="H16" s="37" t="n">
        <f aca="false">HYPOTHESES!$C$5+5</f>
        <v>2029</v>
      </c>
      <c r="I16" s="36" t="s">
        <v>485</v>
      </c>
    </row>
    <row r="17" customFormat="false" ht="15" hidden="false" customHeight="false" outlineLevel="0" collapsed="false">
      <c r="A17" s="13"/>
      <c r="B17" s="12" t="s">
        <v>496</v>
      </c>
      <c r="C17" s="44" t="str">
        <f aca="false">""</f>
        <v/>
      </c>
      <c r="D17" s="44" t="n">
        <f aca="false">IF('COMPTE DE RESULTAT'!C13=0,0,'COMPTE DE RESULTAT'!D13/'COMPTE DE RESULTAT'!C13-1)</f>
        <v>0.05</v>
      </c>
      <c r="E17" s="44" t="n">
        <f aca="false">IF('COMPTE DE RESULTAT'!D13=0,0,'COMPTE DE RESULTAT'!E13/'COMPTE DE RESULTAT'!D13-1)</f>
        <v>0.05</v>
      </c>
      <c r="F17" s="44" t="n">
        <f aca="false">IF('COMPTE DE RESULTAT'!E13=0,0,'COMPTE DE RESULTAT'!F13/'COMPTE DE RESULTAT'!E13-1)</f>
        <v>0.05</v>
      </c>
      <c r="G17" s="44" t="n">
        <f aca="false">IF('COMPTE DE RESULTAT'!F13=0,0,'COMPTE DE RESULTAT'!G13/'COMPTE DE RESULTAT'!F13-1)</f>
        <v>0.05</v>
      </c>
      <c r="H17" s="44" t="n">
        <f aca="false">IF('COMPTE DE RESULTAT'!G13=0,0,'COMPTE DE RESULTAT'!H13/'COMPTE DE RESULTAT'!G13-1)</f>
        <v>0.05</v>
      </c>
    </row>
    <row r="18" customFormat="false" ht="15" hidden="false" customHeight="false" outlineLevel="0" collapsed="false">
      <c r="A18" s="13"/>
      <c r="B18" s="12" t="s">
        <v>497</v>
      </c>
      <c r="C18" s="44" t="n">
        <f aca="false">IF('COMPTE DE RESULTAT'!C13=0,0,'COMPTE DE RESULTAT'!C27/'COMPTE DE RESULTAT'!C13)</f>
        <v>0.422394255613904</v>
      </c>
      <c r="D18" s="44" t="n">
        <f aca="false">IF('COMPTE DE RESULTAT'!D13=0,0,'COMPTE DE RESULTAT'!D27/'COMPTE DE RESULTAT'!D13)</f>
        <v>0.4224</v>
      </c>
      <c r="E18" s="44" t="n">
        <f aca="false">IF('COMPTE DE RESULTAT'!E13=0,0,'COMPTE DE RESULTAT'!E27/'COMPTE DE RESULTAT'!E13)</f>
        <v>0.4224</v>
      </c>
      <c r="F18" s="44" t="n">
        <f aca="false">IF('COMPTE DE RESULTAT'!F13=0,0,'COMPTE DE RESULTAT'!F27/'COMPTE DE RESULTAT'!F13)</f>
        <v>0.4224</v>
      </c>
      <c r="G18" s="44" t="n">
        <f aca="false">IF('COMPTE DE RESULTAT'!G13=0,0,'COMPTE DE RESULTAT'!G27/'COMPTE DE RESULTAT'!G13)</f>
        <v>0.4224</v>
      </c>
      <c r="H18" s="44" t="n">
        <f aca="false">IF('COMPTE DE RESULTAT'!H13=0,0,'COMPTE DE RESULTAT'!H27/'COMPTE DE RESULTAT'!H13)</f>
        <v>0.4224</v>
      </c>
    </row>
    <row r="19" customFormat="false" ht="15" hidden="false" customHeight="false" outlineLevel="0" collapsed="false">
      <c r="A19" s="13"/>
      <c r="B19" s="12" t="s">
        <v>498</v>
      </c>
      <c r="C19" s="44" t="n">
        <f aca="false">IF('COMPTE DE RESULTAT'!C13=0,0,'COMPTE DE RESULTAT'!C29/'COMPTE DE RESULTAT'!C13)</f>
        <v>0.271151063655286</v>
      </c>
      <c r="D19" s="44" t="n">
        <f aca="false">IF('COMPTE DE RESULTAT'!D13=0,0,'COMPTE DE RESULTAT'!D29/'COMPTE DE RESULTAT'!D13)</f>
        <v>0.2712</v>
      </c>
      <c r="E19" s="44" t="n">
        <f aca="false">IF('COMPTE DE RESULTAT'!E13=0,0,'COMPTE DE RESULTAT'!E29/'COMPTE DE RESULTAT'!E13)</f>
        <v>0.2712</v>
      </c>
      <c r="F19" s="44" t="n">
        <f aca="false">IF('COMPTE DE RESULTAT'!F13=0,0,'COMPTE DE RESULTAT'!F29/'COMPTE DE RESULTAT'!F13)</f>
        <v>0.2712</v>
      </c>
      <c r="G19" s="44" t="n">
        <f aca="false">IF('COMPTE DE RESULTAT'!G13=0,0,'COMPTE DE RESULTAT'!G29/'COMPTE DE RESULTAT'!G13)</f>
        <v>0.2712</v>
      </c>
      <c r="H19" s="44" t="n">
        <f aca="false">IF('COMPTE DE RESULTAT'!H13=0,0,'COMPTE DE RESULTAT'!H29/'COMPTE DE RESULTAT'!H13)</f>
        <v>0.2712</v>
      </c>
    </row>
    <row r="20" customFormat="false" ht="15" hidden="false" customHeight="false" outlineLevel="0" collapsed="false">
      <c r="A20" s="13"/>
      <c r="B20" s="12" t="s">
        <v>499</v>
      </c>
      <c r="C20" s="44" t="n">
        <f aca="false">IF('COMPTE DE RESULTAT'!C13=0,0,'COMPTE DE RESULTAT'!C47/'COMPTE DE RESULTAT'!C13)</f>
        <v>0.103703436001107</v>
      </c>
      <c r="D20" s="44" t="n">
        <f aca="false">IF('COMPTE DE RESULTAT'!D13=0,0,'COMPTE DE RESULTAT'!D47/'COMPTE DE RESULTAT'!D13)</f>
        <v>0.0946483336349708</v>
      </c>
      <c r="E20" s="44" t="n">
        <f aca="false">IF('COMPTE DE RESULTAT'!E13=0,0,'COMPTE DE RESULTAT'!E47/'COMPTE DE RESULTAT'!E13)</f>
        <v>0.0950332119112992</v>
      </c>
      <c r="F20" s="44" t="n">
        <f aca="false">IF('COMPTE DE RESULTAT'!F13=0,0,'COMPTE DE RESULTAT'!F47/'COMPTE DE RESULTAT'!F13)</f>
        <v>0.0988662760724514</v>
      </c>
      <c r="G20" s="44" t="n">
        <f aca="false">IF('COMPTE DE RESULTAT'!G13=0,0,'COMPTE DE RESULTAT'!G47/'COMPTE DE RESULTAT'!G13)</f>
        <v>0.103374378862353</v>
      </c>
      <c r="H20" s="44" t="n">
        <f aca="false">IF('COMPTE DE RESULTAT'!H13=0,0,'COMPTE DE RESULTAT'!H47/'COMPTE DE RESULTAT'!H13)</f>
        <v>0.114689769202218</v>
      </c>
    </row>
    <row r="21" customFormat="false" ht="15" hidden="false" customHeight="false" outlineLevel="0" collapsed="false">
      <c r="A21" s="13"/>
      <c r="B21" s="12" t="s">
        <v>500</v>
      </c>
      <c r="C21" s="18" t="n">
        <f aca="false">BILAN!C48-BILAN!C17</f>
        <v>268769832</v>
      </c>
      <c r="D21" s="18" t="n">
        <f aca="false">BILAN!D48-BILAN!D17</f>
        <v>336548542.607817</v>
      </c>
      <c r="E21" s="18" t="n">
        <f aca="false">BILAN!E48-BILAN!E17</f>
        <v>466103796.294858</v>
      </c>
      <c r="F21" s="18" t="n">
        <f aca="false">BILAN!F48-BILAN!F17</f>
        <v>625294063.59925</v>
      </c>
      <c r="G21" s="18" t="n">
        <f aca="false">BILAN!G48-BILAN!G17</f>
        <v>752870959.606363</v>
      </c>
      <c r="H21" s="18" t="n">
        <f aca="false">BILAN!H48-BILAN!H17</f>
        <v>927159616.051331</v>
      </c>
    </row>
    <row r="22" customFormat="false" ht="15" hidden="false" customHeight="false" outlineLevel="0" collapsed="false">
      <c r="A22" s="13"/>
      <c r="B22" s="12" t="s">
        <v>501</v>
      </c>
      <c r="C22" s="18" t="n">
        <f aca="false">BILAN!C24-BILAN!C55</f>
        <v>140635874</v>
      </c>
      <c r="D22" s="18" t="n">
        <f aca="false">BILAN!D24-BILAN!D55</f>
        <v>290332388.332396</v>
      </c>
      <c r="E22" s="18" t="n">
        <f aca="false">BILAN!E24-BILAN!E55</f>
        <v>304934852.593849</v>
      </c>
      <c r="F22" s="18" t="n">
        <f aca="false">BILAN!F24-BILAN!F55</f>
        <v>319329718.112542</v>
      </c>
      <c r="G22" s="18" t="n">
        <f aca="false">BILAN!G24-BILAN!G55</f>
        <v>334200749.055669</v>
      </c>
      <c r="H22" s="18" t="n">
        <f aca="false">BILAN!H24-BILAN!H55</f>
        <v>347721131.845952</v>
      </c>
    </row>
    <row r="23" customFormat="false" ht="15" hidden="false" customHeight="false" outlineLevel="0" collapsed="false">
      <c r="A23" s="34"/>
      <c r="B23" s="34" t="s">
        <v>502</v>
      </c>
      <c r="C23" s="35" t="n">
        <f aca="false">BILAN!C28-BILAN!C58</f>
        <v>128133958</v>
      </c>
      <c r="D23" s="35" t="n">
        <f aca="false">BILAN!D28-BILAN!D58</f>
        <v>46216154.2754206</v>
      </c>
      <c r="E23" s="35" t="n">
        <f aca="false">BILAN!E28-BILAN!E58</f>
        <v>161168943.701008</v>
      </c>
      <c r="F23" s="35" t="n">
        <f aca="false">BILAN!F28-BILAN!F58</f>
        <v>305964345.486709</v>
      </c>
      <c r="G23" s="35" t="n">
        <f aca="false">BILAN!G28-BILAN!G58</f>
        <v>418670210.550694</v>
      </c>
      <c r="H23" s="35" t="n">
        <f aca="false">BILAN!H28-BILAN!H58</f>
        <v>579438484.205379</v>
      </c>
      <c r="I23" s="38"/>
    </row>
    <row r="24" customFormat="false" ht="15" hidden="false" customHeight="false" outlineLevel="0" collapsed="false">
      <c r="A24" s="13"/>
      <c r="B24" s="12" t="s">
        <v>503</v>
      </c>
      <c r="C24" s="45" t="n">
        <f aca="false">IF('COMPTE DE RESULTAT'!C13=0,0,C22/'COMPTE DE RESULTAT'!C13*360)</f>
        <v>72.2210937202613</v>
      </c>
      <c r="D24" s="45" t="n">
        <f aca="false">IF('COMPTE DE RESULTAT'!D13=0,0,D22/'COMPTE DE RESULTAT'!D13*360)</f>
        <v>141.995353176295</v>
      </c>
      <c r="E24" s="45" t="n">
        <f aca="false">IF('COMPTE DE RESULTAT'!E13=0,0,E22/'COMPTE DE RESULTAT'!E13*360)</f>
        <v>142.035338771625</v>
      </c>
      <c r="F24" s="45" t="n">
        <f aca="false">IF('COMPTE DE RESULTAT'!F13=0,0,F22/'COMPTE DE RESULTAT'!F13*360)</f>
        <v>141.657438680371</v>
      </c>
      <c r="G24" s="45" t="n">
        <f aca="false">IF('COMPTE DE RESULTAT'!G13=0,0,G22/'COMPTE DE RESULTAT'!G13*360)</f>
        <v>141.19462597233</v>
      </c>
      <c r="H24" s="45" t="n">
        <f aca="false">IF('COMPTE DE RESULTAT'!H13=0,0,H22/'COMPTE DE RESULTAT'!H13*360)</f>
        <v>139.911216871306</v>
      </c>
    </row>
    <row r="25" customFormat="false" ht="15" hidden="false" customHeight="false" outlineLevel="0" collapsed="false">
      <c r="A25" s="13"/>
      <c r="B25" s="12" t="s">
        <v>504</v>
      </c>
      <c r="C25" s="46" t="n">
        <f aca="false">IF(BILAN!C43=0,0,(BILAN!C44+BILAN!C45+BILAN!C58)/BILAN!C43)</f>
        <v>0.0587023942433689</v>
      </c>
      <c r="D25" s="46" t="n">
        <f aca="false">IF(BILAN!D43=0,0,(BILAN!D44+BILAN!D45+BILAN!D58)/BILAN!D43)</f>
        <v>0.0214101882884361</v>
      </c>
      <c r="E25" s="46" t="n">
        <f aca="false">IF(BILAN!E43=0,0,(BILAN!E44+BILAN!E45+BILAN!E58)/BILAN!E43)</f>
        <v>0</v>
      </c>
      <c r="F25" s="46" t="n">
        <f aca="false">IF(BILAN!F43=0,0,(BILAN!F44+BILAN!F45+BILAN!F58)/BILAN!F43)</f>
        <v>0</v>
      </c>
      <c r="G25" s="46" t="n">
        <f aca="false">IF(BILAN!G43=0,0,(BILAN!G44+BILAN!G45+BILAN!G58)/BILAN!G43)</f>
        <v>0</v>
      </c>
      <c r="H25" s="46" t="n">
        <f aca="false">IF(BILAN!H43=0,0,(BILAN!H44+BILAN!H45+BILAN!H58)/BILAN!H43)</f>
        <v>0</v>
      </c>
    </row>
    <row r="26" customFormat="false" ht="15" hidden="false" customHeight="false" outlineLevel="0" collapsed="false">
      <c r="A26" s="13"/>
      <c r="B26" s="12" t="s">
        <v>505</v>
      </c>
      <c r="C26" s="44" t="n">
        <f aca="false">IF(BILAN!C43=0,0,'COMPTE DE RESULTAT'!C47/BILAN!C43)</f>
        <v>0.0848791418170092</v>
      </c>
      <c r="D26" s="44" t="n">
        <f aca="false">IF(BILAN!D43=0,0,'COMPTE DE RESULTAT'!D47/BILAN!D43)</f>
        <v>0.0752224354319878</v>
      </c>
      <c r="E26" s="44" t="n">
        <f aca="false">IF(BILAN!E43=0,0,'COMPTE DE RESULTAT'!E47/BILAN!E43)</f>
        <v>0.0734776134356451</v>
      </c>
      <c r="F26" s="44" t="n">
        <f aca="false">IF(BILAN!F43=0,0,'COMPTE DE RESULTAT'!F47/BILAN!F43)</f>
        <v>0.074299771858321</v>
      </c>
      <c r="G26" s="44" t="n">
        <f aca="false">IF(BILAN!G43=0,0,'COMPTE DE RESULTAT'!G47/BILAN!G43)</f>
        <v>0.0754199169704545</v>
      </c>
      <c r="H26" s="44" t="n">
        <f aca="false">IF(BILAN!H43=0,0,'COMPTE DE RESULTAT'!H47/BILAN!H43)</f>
        <v>0.080763370731434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2026-10-08T11:38:41Z</dcterms:created>
  <dc:creator>openpyxl</dc:creator>
  <dc:description/>
  <dc:language>en-US</dc:language>
  <cp:lastModifiedBy/>
  <dcterms:modified xsi:type="dcterms:W3CDTF">2026-10-08T11:38:41Z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