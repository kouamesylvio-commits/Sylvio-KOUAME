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YPOTHESES" sheetId="1" state="visible" r:id="rId3"/>
    <sheet name="INVEST ET FINANCEMENT" sheetId="2" state="visible" r:id="rId4"/>
    <sheet name="BALANCE 2024" sheetId="3" state="visible" r:id="rId5"/>
    <sheet name="BALANCE 2025" sheetId="4" state="visible" r:id="rId6"/>
    <sheet name="BALANCE 2026" sheetId="5" state="visible" r:id="rId7"/>
    <sheet name="BALANCE 2027" sheetId="6" state="visible" r:id="rId8"/>
    <sheet name="BALANCE 2028" sheetId="7" state="visible" r:id="rId9"/>
    <sheet name="BALANCE 2029" sheetId="8" state="visible" r:id="rId10"/>
    <sheet name="BILAN" sheetId="9" state="visible" r:id="rId11"/>
    <sheet name="COMPTE DE RESULTAT" sheetId="10" state="visible" r:id="rId12"/>
    <sheet name="TFT" sheetId="11" state="visible" r:id="rId13"/>
    <sheet name="CONTROLE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<sst xmlns="http://schemas.openxmlformats.org/spreadsheetml/2006/main" count="1810" uniqueCount="591">
  <si>
    <t xml:space="preserve">PRÉVISIONS FINANCIÈRES SUR 5 ANS : HYPOTHÈSES</t>
  </si>
  <si>
    <t xml:space="preserve">Référentiel : SYSCOHADA révisé (AUDCIF 2017) et CGI de Côte d'Ivoire. Montants en FCFA.</t>
  </si>
  <si>
    <t xml:space="preserve">Mode d'emploi : saisir uniquement les cellules sur fond JAUNE (texte bleu) de cet onglet et de l'onglet INVEST ET FINANCEMENT. Tout le reste (balances, bilan, compte de résultat, TFT) se recalcule automatiquement.</t>
  </si>
  <si>
    <t xml:space="preserve">Nom de l'entité</t>
  </si>
  <si>
    <t xml:space="preserve">MON ENTREPRISE</t>
  </si>
  <si>
    <t xml:space="preserve">Dernier exercice réel (année de base)</t>
  </si>
  <si>
    <t xml:space="preserve">Balance réelle reprise de l'onglet « 2025 » du fichier BALANCES_ET_PREVISIONS_TEST (soldes de clôture 31/12/2024).</t>
  </si>
  <si>
    <t xml:space="preserve">Rubrique</t>
  </si>
  <si>
    <t xml:space="preserve">Réf. / compte</t>
  </si>
  <si>
    <t xml:space="preserve">Commentaire / source</t>
  </si>
  <si>
    <t xml:space="preserve">1. ACTIVITÉ</t>
  </si>
  <si>
    <t xml:space="preserve">Taux de croissance du chiffre d'affaires</t>
  </si>
  <si>
    <t xml:space="preserve">%</t>
  </si>
  <si>
    <t xml:space="preserve">Hypothèse à ajuster selon le carnet de commandes / marchés attendus.</t>
  </si>
  <si>
    <t xml:space="preserve">Taux de TVA</t>
  </si>
  <si>
    <t xml:space="preserve">CGI CI art. 359 : taux normal 18 %.</t>
  </si>
  <si>
    <t xml:space="preserve">Revenus financiers</t>
  </si>
  <si>
    <t xml:space="preserve">77</t>
  </si>
  <si>
    <t xml:space="preserve">Défaut : niveau réel de l'année de base.</t>
  </si>
  <si>
    <t xml:space="preserve">2. CHARGES D'EXPLOITATION EN % DU CHIFFRE D'AFFAIRES (clé de répartition)</t>
  </si>
  <si>
    <t xml:space="preserve">Achats et autres approvisionnements</t>
  </si>
  <si>
    <t xml:space="preserve">604-605-608</t>
  </si>
  <si>
    <t xml:space="preserve">Défaut : ratio réel de l'année de base. Chaque compte de détail est ensuite réparti selon sa part dans la balance de base.</t>
  </si>
  <si>
    <t xml:space="preserve">Transports</t>
  </si>
  <si>
    <t xml:space="preserve">61</t>
  </si>
  <si>
    <t xml:space="preserve">Services extérieurs</t>
  </si>
  <si>
    <t xml:space="preserve">62-63</t>
  </si>
  <si>
    <t xml:space="preserve">Impôts et taxes</t>
  </si>
  <si>
    <t xml:space="preserve">64</t>
  </si>
  <si>
    <t xml:space="preserve">Autres charges</t>
  </si>
  <si>
    <t xml:space="preserve">65</t>
  </si>
  <si>
    <t xml:space="preserve">Charges de personnel</t>
  </si>
  <si>
    <t xml:space="preserve">66</t>
  </si>
  <si>
    <t xml:space="preserve">3. PROVISIONS</t>
  </si>
  <si>
    <t xml:space="preserve">Dotation aux provisions pour retraite (IFC)</t>
  </si>
  <si>
    <t xml:space="preserve">691 / 196</t>
  </si>
  <si>
    <t xml:space="preserve">Défaut : dotation réelle de l'année de base.</t>
  </si>
  <si>
    <t xml:space="preserve">4. BESOIN EN FONDS DE ROULEMENT</t>
  </si>
  <si>
    <t xml:space="preserve">Délai de paiement clients (jours de CA TTC)</t>
  </si>
  <si>
    <t xml:space="preserve">411</t>
  </si>
  <si>
    <t xml:space="preserve">Défaut : délai réel de l'année de base. Attention : délai légal max 60 j (AUDCG / directive UEMOA).</t>
  </si>
  <si>
    <t xml:space="preserve">Délai de paiement fournisseurs (jours d'achats et services TTC)</t>
  </si>
  <si>
    <t xml:space="preserve">401</t>
  </si>
  <si>
    <t xml:space="preserve">Base : achats (60) + transports (61) + services extérieurs (62-63).</t>
  </si>
  <si>
    <t xml:space="preserve">Délai de paiement des fournisseurs d'investissement (jours d'acquisitions HT)</t>
  </si>
  <si>
    <t xml:space="preserve">4812</t>
  </si>
  <si>
    <t xml:space="preserve">Dette de l'année sur les acquisitions de l'année = acquisitions x délai / 360. Défaut : délai réel 2024 (132,9 M / 364,9 M d'acquisitions).</t>
  </si>
  <si>
    <t xml:space="preserve">Règlement de la dette fournisseurs d'investissement du 31/12 de base (% de l'encours)</t>
  </si>
  <si>
    <t xml:space="preserve">Échéancier de l'encours 2024 (132,9 M) : non soldé en 2025. Le cumul ne doit pas dépasser 100 %.</t>
  </si>
  <si>
    <t xml:space="preserve">   Encours de base restant dû au 31/12</t>
  </si>
  <si>
    <t xml:space="preserve">   Dette sur acquisitions de l'année</t>
  </si>
  <si>
    <t xml:space="preserve">   Dette fournisseurs d'investissement au 31/12 (poste DH du bilan)</t>
  </si>
  <si>
    <t xml:space="preserve">Part des sorties de banque affectée à l'approvisionnement de la caisse (virement de fonds 585)</t>
  </si>
  <si>
    <t xml:space="preserve">571 / 585</t>
  </si>
  <si>
    <t xml:space="preserve">Appro caisse = % x mouvements crédit du 521. Seule entrée en caisse (D 585 / C 521 puis D 571 / C 585). Créances clients encaissées par chèque ou virement. Soldes banque et caisse inchangés.</t>
  </si>
  <si>
    <t xml:space="preserve">Décaissements en espèces (% des approvisionnements de caisse de l'année)</t>
  </si>
  <si>
    <t xml:space="preserve">571</t>
  </si>
  <si>
    <t xml:space="preserve">Moins de 100 % : la caisse augmente ; plus de 100 % : elle diminue. Solde de caisse = ouverture + appro x (1 - %). La banque absorbe l'écart.</t>
  </si>
  <si>
    <t xml:space="preserve">Ajustement des autres dettes (+ augmentation / - diminution de l'année)</t>
  </si>
  <si>
    <t xml:space="preserve">4712</t>
  </si>
  <si>
    <t xml:space="preserve">Mouvement net saisi librement (créditeurs divers). Si le solde cumulé devient débiteur, il passe en autres créances (BJ).</t>
  </si>
  <si>
    <t xml:space="preserve">Les autres dettes fiscales et sociales évoluent comme leur charge de référence (66, 64) ; la TVA sur travaux en attente (4433, exigible à l'encaissement) suit les créances clients.</t>
  </si>
  <si>
    <t xml:space="preserve">5. FISCALITÉ (Côte d'Ivoire)</t>
  </si>
  <si>
    <t xml:space="preserve">Taux de l'impôt sur les bénéfices</t>
  </si>
  <si>
    <t xml:space="preserve">CGI art. 51 : 25 %.</t>
  </si>
  <si>
    <t xml:space="preserve">Taux de l'IMF (sur CA TTC)</t>
  </si>
  <si>
    <t xml:space="preserve">CGI art. 39 : 0,5 % du CA TTC.</t>
  </si>
  <si>
    <t xml:space="preserve">IMF minimum</t>
  </si>
  <si>
    <t xml:space="preserve">FCFA</t>
  </si>
  <si>
    <t xml:space="preserve">CGI art. 39.</t>
  </si>
  <si>
    <t xml:space="preserve">IMF maximum</t>
  </si>
  <si>
    <t xml:space="preserve">Réintégrations fiscales nettes (+) / déductions (-)</t>
  </si>
  <si>
    <t xml:space="preserve">Charges non déductibles (amendes, charges sans FNE, etc.) issues du tableau de passage.</t>
  </si>
  <si>
    <t xml:space="preserve">Dotation à la réserve légale (% du bénéfice)</t>
  </si>
  <si>
    <t xml:space="preserve">AUSCGIE art. 346 : 10 % jusqu'à 20 % du capital.</t>
  </si>
  <si>
    <t xml:space="preserve">Plafond de la réserve légale (% du capital)</t>
  </si>
  <si>
    <t xml:space="preserve">AUSCGIE art. 346.</t>
  </si>
  <si>
    <t xml:space="preserve">6. CALCULS DU RÉSULTAT ET DE L'IMPÔT (ne pas modifier)</t>
  </si>
  <si>
    <t xml:space="preserve">Chiffre d'affaires (travaux facturés)</t>
  </si>
  <si>
    <t xml:space="preserve">705</t>
  </si>
  <si>
    <t xml:space="preserve">Base achats TTC fournisseurs (60+61+62-63, HT)</t>
  </si>
  <si>
    <t xml:space="preserve">Dotations aux provisions (691)</t>
  </si>
  <si>
    <t xml:space="preserve">691</t>
  </si>
  <si>
    <t xml:space="preserve">Revenus financiers (77)</t>
  </si>
  <si>
    <t xml:space="preserve">Résultat avant impôt</t>
  </si>
  <si>
    <t xml:space="preserve">XG+XH</t>
  </si>
  <si>
    <t xml:space="preserve">Résultat fiscal (après réintégrations)</t>
  </si>
  <si>
    <t xml:space="preserve">IS théorique (25 %)</t>
  </si>
  <si>
    <t xml:space="preserve">IMF</t>
  </si>
  <si>
    <t xml:space="preserve">Impôt dû : le plus élevé de l'IS et de l'IMF</t>
  </si>
  <si>
    <t xml:space="preserve">891 / 895</t>
  </si>
  <si>
    <t xml:space="preserve">Résultat net de l'exercice</t>
  </si>
  <si>
    <t xml:space="preserve">XI</t>
  </si>
  <si>
    <t xml:space="preserve">Affectation N-1 : dotation à la réserve légale</t>
  </si>
  <si>
    <t xml:space="preserve">111</t>
  </si>
  <si>
    <t xml:space="preserve">Affectation N-1 : dividendes versés</t>
  </si>
  <si>
    <t xml:space="preserve">465 / 521</t>
  </si>
  <si>
    <t xml:space="preserve">Affectation N-1 : report à nouveau</t>
  </si>
  <si>
    <t xml:space="preserve">121</t>
  </si>
  <si>
    <t xml:space="preserve">HYPOTHÈSES D'INVESTISSEMENT ET DE FINANCEMENT</t>
  </si>
  <si>
    <t xml:space="preserve">Plan d'investissement, amortissements, endettement et plan de financement. Montants en FCFA.</t>
  </si>
  <si>
    <t xml:space="preserve">Mode d'emploi : saisir uniquement les cellules sur fond JAUNE (texte bleu). Les sections B, D et E se calculent automatiquement.</t>
  </si>
  <si>
    <t xml:space="preserve">A. PLAN D'INVESTISSEMENT (montants HT, acquisitions supposées au 1er janvier)</t>
  </si>
  <si>
    <t xml:space="preserve">Aménagements, agencements, installations</t>
  </si>
  <si>
    <t xml:space="preserve">2341 / 2834</t>
  </si>
  <si>
    <t xml:space="preserve">Colonne réel : acquisitions de l'année de base (mouvements débit 2024, hors location-acquisition 2456).</t>
  </si>
  <si>
    <t xml:space="preserve">Matériel et outillage industriel</t>
  </si>
  <si>
    <t xml:space="preserve">2411 / 2841</t>
  </si>
  <si>
    <t xml:space="preserve">Matériel de bureau et informatique</t>
  </si>
  <si>
    <t xml:space="preserve">2442 / 2844</t>
  </si>
  <si>
    <t xml:space="preserve">Matériel de transport</t>
  </si>
  <si>
    <t xml:space="preserve">2451 / 2845</t>
  </si>
  <si>
    <t xml:space="preserve">Nouveaux dépôts et cautionnements versés</t>
  </si>
  <si>
    <t xml:space="preserve">275</t>
  </si>
  <si>
    <t xml:space="preserve">Durée d'amortissement linéaire (années)</t>
  </si>
  <si>
    <t xml:space="preserve">   Aménagements, agencements, installations</t>
  </si>
  <si>
    <t xml:space="preserve">Durée d'utilité retenue (AUDCIF art. 45), fixée par l'entité.</t>
  </si>
  <si>
    <t xml:space="preserve">   Matériel et outillage industriel</t>
  </si>
  <si>
    <t xml:space="preserve">   Matériel de bureau et informatique</t>
  </si>
  <si>
    <t xml:space="preserve">   Matériel de transport</t>
  </si>
  <si>
    <t xml:space="preserve">Dotation annuelle sur les immobilisations existantes (plafonnée à la VNC restante)</t>
  </si>
  <si>
    <t xml:space="preserve">681</t>
  </si>
  <si>
    <t xml:space="preserve">   VNC au 31/12 de base des immo. existantes : aménagements, agencements, installations</t>
  </si>
  <si>
    <t xml:space="preserve">Brut moins amortissements de la balance de base.</t>
  </si>
  <si>
    <t xml:space="preserve">   VNC au 31/12 de base des immo. existantes : matériel et outillage industriel</t>
  </si>
  <si>
    <t xml:space="preserve">   VNC au 31/12 de base des immo. existantes : matériel de bureau et informatique</t>
  </si>
  <si>
    <t xml:space="preserve">   VNC au 31/12 de base des immo. existantes : matériel de transport</t>
  </si>
  <si>
    <t xml:space="preserve">B. AMORTISSEMENTS ET TABLEAU DES IMMOBILISATIONS CORPORELLES (calculé)</t>
  </si>
  <si>
    <t xml:space="preserve">Dotation sur existant : aménagements, agencements, installations</t>
  </si>
  <si>
    <t xml:space="preserve">Dotation sur acquisitions nouvelles : aménagements, agencements, installations</t>
  </si>
  <si>
    <t xml:space="preserve">Dotation totale : aménagements, agencements, installations</t>
  </si>
  <si>
    <t xml:space="preserve">Dotation sur existant : matériel et outillage industriel</t>
  </si>
  <si>
    <t xml:space="preserve">Dotation sur acquisitions nouvelles : matériel et outillage industriel</t>
  </si>
  <si>
    <t xml:space="preserve">Dotation totale : matériel et outillage industriel</t>
  </si>
  <si>
    <t xml:space="preserve">Dotation sur existant : matériel de bureau et informatique</t>
  </si>
  <si>
    <t xml:space="preserve">Dotation sur acquisitions nouvelles : matériel de bureau et informatique</t>
  </si>
  <si>
    <t xml:space="preserve">Dotation totale : matériel de bureau et informatique</t>
  </si>
  <si>
    <t xml:space="preserve">Dotation sur existant : matériel de transport</t>
  </si>
  <si>
    <t xml:space="preserve">Dotation sur acquisitions nouvelles : matériel de transport</t>
  </si>
  <si>
    <t xml:space="preserve">Dotation totale : matériel de transport</t>
  </si>
  <si>
    <t xml:space="preserve">Total investissements corporels</t>
  </si>
  <si>
    <t xml:space="preserve">Total dotations aux amortissements (681)</t>
  </si>
  <si>
    <t xml:space="preserve">Immobilisations corporelles brutes au 31/12</t>
  </si>
  <si>
    <t xml:space="preserve">22 à 24</t>
  </si>
  <si>
    <t xml:space="preserve">Amortissements cumulés au 31/12</t>
  </si>
  <si>
    <t xml:space="preserve">28</t>
  </si>
  <si>
    <t xml:space="preserve">Valeur nette comptable au 31/12 (= poste AI du bilan)</t>
  </si>
  <si>
    <t xml:space="preserve">AI</t>
  </si>
  <si>
    <t xml:space="preserve">C. HYPOTHÈSES DE FINANCEMENT ET DE CAPITAUX PROPRES</t>
  </si>
  <si>
    <t xml:space="preserve">Nouveaux emprunts</t>
  </si>
  <si>
    <t xml:space="preserve">162</t>
  </si>
  <si>
    <t xml:space="preserve">Remboursements d'emprunts</t>
  </si>
  <si>
    <t xml:space="preserve">2025 : encours BNI 39 658 832 + nouvel emprunt 54 395 682. Ne pas rembourser plus que l'encours (voir contrôle).</t>
  </si>
  <si>
    <t xml:space="preserve">Remboursements de dettes de location-acquisition</t>
  </si>
  <si>
    <t xml:space="preserve">173</t>
  </si>
  <si>
    <t xml:space="preserve">Défaut : solde 10,6 M remboursé en année 1.</t>
  </si>
  <si>
    <t xml:space="preserve">Taux d'intérêt moyen sur dettes financières</t>
  </si>
  <si>
    <t xml:space="preserve">Appliqué à l'encours d'ouverture (671 emprunts, 672 location-acquisition).</t>
  </si>
  <si>
    <t xml:space="preserve">Augmentation de capital en numéraire</t>
  </si>
  <si>
    <t xml:space="preserve">101</t>
  </si>
  <si>
    <t xml:space="preserve">Remboursement du compte courant d'associés de base (% de l'encours)</t>
  </si>
  <si>
    <t xml:space="preserve">4621</t>
  </si>
  <si>
    <t xml:space="preserve">Encours au 31/12/2024 : 3,7 M, soldé en 2025.</t>
  </si>
  <si>
    <t xml:space="preserve">Nouveaux apports en compte courant d'associés</t>
  </si>
  <si>
    <t xml:space="preserve">   Compte courant d'associés au 31/12</t>
  </si>
  <si>
    <t xml:space="preserve">Dividendes distribués (% du bénéfice N-1 après réserve légale)</t>
  </si>
  <si>
    <t xml:space="preserve">Le solde est porté en report à nouveau (affectation votée en AG de l'année N).</t>
  </si>
  <si>
    <t xml:space="preserve">D. TABLEAU D'ENDETTEMENT (calculé)</t>
  </si>
  <si>
    <t xml:space="preserve">Emprunts : encours au 1er janvier</t>
  </si>
  <si>
    <t xml:space="preserve">   + Nouveaux emprunts</t>
  </si>
  <si>
    <t xml:space="preserve">   - Remboursements</t>
  </si>
  <si>
    <t xml:space="preserve">Emprunts : encours au 31 décembre</t>
  </si>
  <si>
    <t xml:space="preserve">DA</t>
  </si>
  <si>
    <t xml:space="preserve">Location-acquisition : encours au 1er janvier</t>
  </si>
  <si>
    <t xml:space="preserve">Location-acquisition : encours au 31 décembre</t>
  </si>
  <si>
    <t xml:space="preserve">DB</t>
  </si>
  <si>
    <t xml:space="preserve">Intérêts des emprunts (671)</t>
  </si>
  <si>
    <t xml:space="preserve">671</t>
  </si>
  <si>
    <t xml:space="preserve">Intérêts de location-acquisition (672)</t>
  </si>
  <si>
    <t xml:space="preserve">672</t>
  </si>
  <si>
    <t xml:space="preserve">Service de la dette (remboursements + intérêts)</t>
  </si>
  <si>
    <t xml:space="preserve">E. PLAN DE FINANCEMENT (calculé)</t>
  </si>
  <si>
    <t xml:space="preserve">Emplois : investissements corporels</t>
  </si>
  <si>
    <t xml:space="preserve">Emplois : immobilisations financières</t>
  </si>
  <si>
    <t xml:space="preserve">Emplois : remboursements de dettes financières</t>
  </si>
  <si>
    <t xml:space="preserve">Emplois : dividendes versés</t>
  </si>
  <si>
    <t xml:space="preserve">TOTAL EMPLOIS</t>
  </si>
  <si>
    <t xml:space="preserve">Ressources : capacité d'autofinancement globale (CAFG)</t>
  </si>
  <si>
    <t xml:space="preserve">FA</t>
  </si>
  <si>
    <t xml:space="preserve">Ressources : augmentation de capital</t>
  </si>
  <si>
    <t xml:space="preserve">Ressources : nouveaux emprunts</t>
  </si>
  <si>
    <t xml:space="preserve">TOTAL RESSOURCES</t>
  </si>
  <si>
    <t xml:space="preserve">Variation du fonds de roulement (ressources - emplois)</t>
  </si>
  <si>
    <t xml:space="preserve">Un solde négatif signifie que les investissements et remboursements sont financés en puisant dans la trésorerie.</t>
  </si>
  <si>
    <t xml:space="preserve">BALANCE GÉNÉRALE À 6 COLONNES : EXERCICE 2024 (RÉEL)</t>
  </si>
  <si>
    <t xml:space="preserve">Balance réelle reprise de l'onglet « 2025 » du fichier BALANCES_ET_PREVISIONS_TEST (ouverture 2024, mouvements 2024, clôture 2024).</t>
  </si>
  <si>
    <t xml:space="preserve">Soldes d'ouverture</t>
  </si>
  <si>
    <t xml:space="preserve">Mouvements de l'exercice</t>
  </si>
  <si>
    <t xml:space="preserve">Soldes de clôture</t>
  </si>
  <si>
    <t xml:space="preserve">Contrôle</t>
  </si>
  <si>
    <t xml:space="preserve">Compte</t>
  </si>
  <si>
    <t xml:space="preserve">Intitulé</t>
  </si>
  <si>
    <t xml:space="preserve">Poste</t>
  </si>
  <si>
    <t xml:space="preserve">Débit</t>
  </si>
  <si>
    <t xml:space="preserve">Crédit</t>
  </si>
  <si>
    <t xml:space="preserve">Ouv.+Mvts-Clôt.</t>
  </si>
  <si>
    <t xml:space="preserve">Capital social</t>
  </si>
  <si>
    <t xml:space="preserve">CA</t>
  </si>
  <si>
    <t xml:space="preserve">Réserve légale</t>
  </si>
  <si>
    <t xml:space="preserve">CF</t>
  </si>
  <si>
    <t xml:space="preserve">Report à nouveau</t>
  </si>
  <si>
    <t xml:space="preserve">CH</t>
  </si>
  <si>
    <t xml:space="preserve">Résultat en instance d'affectation : bénéfice</t>
  </si>
  <si>
    <t xml:space="preserve">R13</t>
  </si>
  <si>
    <t xml:space="preserve">Emprunts auprès des établissements de crédit (BNI)</t>
  </si>
  <si>
    <t xml:space="preserve">Dettes de location-acquisition</t>
  </si>
  <si>
    <t xml:space="preserve">Provisions pour pensions et obligations similaires (IFC)</t>
  </si>
  <si>
    <t xml:space="preserve">DC</t>
  </si>
  <si>
    <t xml:space="preserve">Aménagements, agencements et installations techniques</t>
  </si>
  <si>
    <t xml:space="preserve">AL</t>
  </si>
  <si>
    <t xml:space="preserve">Matériel industriel</t>
  </si>
  <si>
    <t xml:space="preserve">AM</t>
  </si>
  <si>
    <t xml:space="preserve">Matériel de bureau</t>
  </si>
  <si>
    <t xml:space="preserve">Matériel informatique</t>
  </si>
  <si>
    <t xml:space="preserve">Matériel automobile</t>
  </si>
  <si>
    <t xml:space="preserve">AN</t>
  </si>
  <si>
    <t xml:space="preserve">Matériel de transport en location-acquisition</t>
  </si>
  <si>
    <t xml:space="preserve">Autres prêts et créances</t>
  </si>
  <si>
    <t xml:space="preserve">AS</t>
  </si>
  <si>
    <t xml:space="preserve">Dépôts et cautionnements versés</t>
  </si>
  <si>
    <t xml:space="preserve">Amortissements des aménagements, agencements</t>
  </si>
  <si>
    <t xml:space="preserve">Amortissements du matériel et outillage</t>
  </si>
  <si>
    <t xml:space="preserve">Amortissements du matériel de bureau et informatique</t>
  </si>
  <si>
    <t xml:space="preserve">Amortissements du matériel de transport</t>
  </si>
  <si>
    <t xml:space="preserve">Fournisseurs</t>
  </si>
  <si>
    <t xml:space="preserve">DJ</t>
  </si>
  <si>
    <t xml:space="preserve">Fournisseurs avances et accoptes ve</t>
  </si>
  <si>
    <t xml:space="preserve">BH</t>
  </si>
  <si>
    <t xml:space="preserve">Clients</t>
  </si>
  <si>
    <t xml:space="preserve">BI</t>
  </si>
  <si>
    <t xml:space="preserve">Personnel, rémunérations dues</t>
  </si>
  <si>
    <t xml:space="preserve">DK</t>
  </si>
  <si>
    <t xml:space="preserve">CNPS, retraite part employeur</t>
  </si>
  <si>
    <t xml:space="preserve">CNPS, retraite part salariale</t>
  </si>
  <si>
    <t xml:space="preserve">CMU, part salariale</t>
  </si>
  <si>
    <t xml:space="preserve">Assurance et organisme de sante</t>
  </si>
  <si>
    <t xml:space="preserve">État, impôt sur les bénéfices</t>
  </si>
  <si>
    <t xml:space="preserve">Autres impôts et taxes</t>
  </si>
  <si>
    <t xml:space="preserve">FDFP, taxe d'apprentissage</t>
  </si>
  <si>
    <t xml:space="preserve">FDFP, formation continue</t>
  </si>
  <si>
    <t xml:space="preserve">FDFP, FPC à régulariser</t>
  </si>
  <si>
    <t xml:space="preserve">Impôt sur salaires, part patronale</t>
  </si>
  <si>
    <t xml:space="preserve">Patente</t>
  </si>
  <si>
    <t xml:space="preserve">État, TVA facturée sur travaux (en attente)</t>
  </si>
  <si>
    <t xml:space="preserve">Taxe spéciale d'équipement</t>
  </si>
  <si>
    <t xml:space="preserve">ITS retenu à la source</t>
  </si>
  <si>
    <t xml:space="preserve">Associés, comptes courants</t>
  </si>
  <si>
    <t xml:space="preserve">DM</t>
  </si>
  <si>
    <t xml:space="preserve">Créditeurs divers (ajustements des autres dettes)</t>
  </si>
  <si>
    <t xml:space="preserve">DMBJ</t>
  </si>
  <si>
    <t xml:space="preserve">Fournisseurs d'investissements</t>
  </si>
  <si>
    <t xml:space="preserve">DH</t>
  </si>
  <si>
    <t xml:space="preserve">Banque SGCI</t>
  </si>
  <si>
    <t xml:space="preserve">TRESO</t>
  </si>
  <si>
    <t xml:space="preserve">Caisse</t>
  </si>
  <si>
    <t xml:space="preserve">BS</t>
  </si>
  <si>
    <t xml:space="preserve">Virements de fonds</t>
  </si>
  <si>
    <t xml:space="preserve">Produits d'entretien</t>
  </si>
  <si>
    <t xml:space="preserve">RE</t>
  </si>
  <si>
    <t xml:space="preserve">Eau</t>
  </si>
  <si>
    <t xml:space="preserve">Eléctricité</t>
  </si>
  <si>
    <t xml:space="preserve">Autres énergies</t>
  </si>
  <si>
    <t xml:space="preserve">Fournitures de bureau non stockable</t>
  </si>
  <si>
    <t xml:space="preserve">Achats de petit matériel et outilla</t>
  </si>
  <si>
    <t xml:space="preserve">Achats d'études et prestations de s</t>
  </si>
  <si>
    <t xml:space="preserve">Achats de materiels et equiepents</t>
  </si>
  <si>
    <t xml:space="preserve">Transports de plis</t>
  </si>
  <si>
    <t xml:space="preserve">RG</t>
  </si>
  <si>
    <t xml:space="preserve">Transports entre ‚tablissement ou c</t>
  </si>
  <si>
    <t xml:space="preserve">Transports administratifs</t>
  </si>
  <si>
    <t xml:space="preserve">Location de batiment</t>
  </si>
  <si>
    <t xml:space="preserve">RH</t>
  </si>
  <si>
    <t xml:space="preserve">Entretien et réparation des biens m</t>
  </si>
  <si>
    <t xml:space="preserve">Autres primes d'assurances</t>
  </si>
  <si>
    <t xml:space="preserve">Documentation techniques</t>
  </si>
  <si>
    <t xml:space="preserve">Frais de colloques, séminaires, con</t>
  </si>
  <si>
    <t xml:space="preserve">Autres frais de télécommunications</t>
  </si>
  <si>
    <t xml:space="preserve">Autres frais bancaires</t>
  </si>
  <si>
    <t xml:space="preserve">Divers frais</t>
  </si>
  <si>
    <t xml:space="preserve">Charges externes diverses</t>
  </si>
  <si>
    <t xml:space="preserve">Impot foncier</t>
  </si>
  <si>
    <t xml:space="preserve">RI</t>
  </si>
  <si>
    <t xml:space="preserve">Patente commerciale</t>
  </si>
  <si>
    <t xml:space="preserve">Patente transport</t>
  </si>
  <si>
    <t xml:space="preserve">Taxes sur appointements et salaires</t>
  </si>
  <si>
    <t xml:space="preserve">Taxes d'apprentissage</t>
  </si>
  <si>
    <t xml:space="preserve">Formation professionnelle continue</t>
  </si>
  <si>
    <t xml:space="preserve">Tse</t>
  </si>
  <si>
    <t xml:space="preserve">Droits de timbre</t>
  </si>
  <si>
    <t xml:space="preserve">Autres impots et taxes</t>
  </si>
  <si>
    <t xml:space="preserve">Autres charges diverses</t>
  </si>
  <si>
    <t xml:space="preserve">RJ</t>
  </si>
  <si>
    <t xml:space="preserve">Appointements salaires national</t>
  </si>
  <si>
    <t xml:space="preserve">RK</t>
  </si>
  <si>
    <t xml:space="preserve">Primes et gratifications</t>
  </si>
  <si>
    <t xml:space="preserve">Congés payés</t>
  </si>
  <si>
    <t xml:space="preserve">Indem.preavis&amp;licenc imposables</t>
  </si>
  <si>
    <t xml:space="preserve">Indemnités de transport</t>
  </si>
  <si>
    <t xml:space="preserve">Charges socialescr employeur</t>
  </si>
  <si>
    <t xml:space="preserve">Interet des emprunts ecobank</t>
  </si>
  <si>
    <t xml:space="preserve">RM</t>
  </si>
  <si>
    <t xml:space="preserve">Interet de credit bail bni -1</t>
  </si>
  <si>
    <t xml:space="preserve">Dotations aux amortissements : aménagements</t>
  </si>
  <si>
    <t xml:space="preserve">RL</t>
  </si>
  <si>
    <t xml:space="preserve">Dotations aux amortissements : matériel et outillage</t>
  </si>
  <si>
    <t xml:space="preserve">Dotations aux amortissements : bureau et informatique</t>
  </si>
  <si>
    <t xml:space="preserve">Dotations aux amortissements : transport</t>
  </si>
  <si>
    <t xml:space="preserve">Dotations aux provisions pour risques et charges</t>
  </si>
  <si>
    <t xml:space="preserve">Travaux facturés</t>
  </si>
  <si>
    <t xml:space="preserve">TC</t>
  </si>
  <si>
    <t xml:space="preserve">Intérêts des prêts</t>
  </si>
  <si>
    <t xml:space="preserve">TK</t>
  </si>
  <si>
    <t xml:space="preserve">Impôts sur les bénéfices</t>
  </si>
  <si>
    <t xml:space="preserve">RS</t>
  </si>
  <si>
    <t xml:space="preserve">Impôt minimum forfaitaire (IMF)</t>
  </si>
  <si>
    <t xml:space="preserve">TOTAL BALANCE</t>
  </si>
  <si>
    <t xml:space="preserve">Écart débit - crédit (doit être nul)</t>
  </si>
  <si>
    <t xml:space="preserve">BALANCE GÉNÉRALE À 6 COLONNES : EXERCICE 2025 (PRÉVISIONNEL)</t>
  </si>
  <si>
    <t xml:space="preserve">Ouverture = clôture de l'exercice précédent (classes 6 à 8 soldées, résultat N-1 en 13). Clôture calculée depuis les hypothèses ; mouvements = flux de l'exercice. Soldes après inventaire, avant écritures de clôture. Ne rien saisir.</t>
  </si>
  <si>
    <t xml:space="preserve">Calcul : trésorerie totale à répartir (banque + caisse)</t>
  </si>
  <si>
    <t xml:space="preserve">Calcul : sorties de banque de l'exercice (crédit 521)</t>
  </si>
  <si>
    <t xml:space="preserve">Calcul : approvisionnement de la caisse (% des sorties de banque)</t>
  </si>
  <si>
    <t xml:space="preserve">BALANCE GÉNÉRALE À 6 COLONNES : EXERCICE 2026 (PRÉVISIONNEL)</t>
  </si>
  <si>
    <t xml:space="preserve">BALANCE GÉNÉRALE À 6 COLONNES : EXERCICE 2027 (PRÉVISIONNEL)</t>
  </si>
  <si>
    <t xml:space="preserve">BALANCE GÉNÉRALE À 6 COLONNES : EXERCICE 2028 (PRÉVISIONNEL)</t>
  </si>
  <si>
    <t xml:space="preserve">BALANCE GÉNÉRALE À 6 COLONNES : EXERCICE 2029 (PRÉVISIONNEL)</t>
  </si>
  <si>
    <t xml:space="preserve">BILAN PRÉVISIONNEL SUR 5 ANS (modèle SYSCOHADA révisé, système normal)</t>
  </si>
  <si>
    <t xml:space="preserve">Alimenté par les soldes de clôture des onglets BALANCE de chaque exercice. Valeurs nettes d'amortissements et de dépréciations. Montants en FCFA.</t>
  </si>
  <si>
    <t xml:space="preserve">Réf.</t>
  </si>
  <si>
    <t xml:space="preserve">BILAN : ACTIF (valeurs nettes)</t>
  </si>
  <si>
    <t xml:space="preserve">Var. moy. / an</t>
  </si>
  <si>
    <t xml:space="preserve">AD</t>
  </si>
  <si>
    <t xml:space="preserve">Immobilisations incorporelles</t>
  </si>
  <si>
    <t xml:space="preserve">AJ</t>
  </si>
  <si>
    <t xml:space="preserve">   Terrains</t>
  </si>
  <si>
    <t xml:space="preserve">AK</t>
  </si>
  <si>
    <t xml:space="preserve">   Bâtiments</t>
  </si>
  <si>
    <t xml:space="preserve">   Aménagements, agencements et installations</t>
  </si>
  <si>
    <t xml:space="preserve">   Matériel, mobilier et actifs biologiques</t>
  </si>
  <si>
    <t xml:space="preserve">Immobilisations corporelles</t>
  </si>
  <si>
    <t xml:space="preserve">AP</t>
  </si>
  <si>
    <t xml:space="preserve">Avances et acomptes versés sur immobilisations</t>
  </si>
  <si>
    <t xml:space="preserve">AR</t>
  </si>
  <si>
    <t xml:space="preserve">   Titres de participation</t>
  </si>
  <si>
    <t xml:space="preserve">   Autres immobilisations financières</t>
  </si>
  <si>
    <t xml:space="preserve">AQ</t>
  </si>
  <si>
    <t xml:space="preserve">Immobilisations financières</t>
  </si>
  <si>
    <t xml:space="preserve">AZ</t>
  </si>
  <si>
    <t xml:space="preserve">TOTAL ACTIF IMMOBILISÉ</t>
  </si>
  <si>
    <t xml:space="preserve">BA</t>
  </si>
  <si>
    <t xml:space="preserve">Actif circulant HAO</t>
  </si>
  <si>
    <t xml:space="preserve">BB</t>
  </si>
  <si>
    <t xml:space="preserve">Stocks et encours</t>
  </si>
  <si>
    <t xml:space="preserve">   Fournisseurs, avances versées</t>
  </si>
  <si>
    <t xml:space="preserve">   Clients</t>
  </si>
  <si>
    <t xml:space="preserve">BJ</t>
  </si>
  <si>
    <t xml:space="preserve">   Autres créances</t>
  </si>
  <si>
    <t xml:space="preserve">BG</t>
  </si>
  <si>
    <t xml:space="preserve">Créances et emplois assimilés</t>
  </si>
  <si>
    <t xml:space="preserve">BK</t>
  </si>
  <si>
    <t xml:space="preserve">TOTAL ACTIF CIRCULANT</t>
  </si>
  <si>
    <t xml:space="preserve">BQ</t>
  </si>
  <si>
    <t xml:space="preserve">Titres de placement</t>
  </si>
  <si>
    <t xml:space="preserve">BR</t>
  </si>
  <si>
    <t xml:space="preserve">Valeurs à encaisser</t>
  </si>
  <si>
    <t xml:space="preserve">Banques, chèques postaux, caisse et assimilés</t>
  </si>
  <si>
    <t xml:space="preserve">BT</t>
  </si>
  <si>
    <t xml:space="preserve">TOTAL TRÉSORERIE-ACTIF</t>
  </si>
  <si>
    <t xml:space="preserve">BU</t>
  </si>
  <si>
    <t xml:space="preserve">Écart de conversion-Actif</t>
  </si>
  <si>
    <t xml:space="preserve">BZ</t>
  </si>
  <si>
    <t xml:space="preserve">TOTAL GÉNÉRAL ACTIF</t>
  </si>
  <si>
    <t xml:space="preserve">BILAN : PASSIF</t>
  </si>
  <si>
    <t xml:space="preserve">Capital</t>
  </si>
  <si>
    <t xml:space="preserve">CB</t>
  </si>
  <si>
    <t xml:space="preserve">Apporteurs, capital non appelé (-)</t>
  </si>
  <si>
    <t xml:space="preserve">CD</t>
  </si>
  <si>
    <t xml:space="preserve">Primes liées au capital social</t>
  </si>
  <si>
    <t xml:space="preserve">CE</t>
  </si>
  <si>
    <t xml:space="preserve">Écarts de réévaluation</t>
  </si>
  <si>
    <t xml:space="preserve">Réserves indisponibles (dont réserve légale)</t>
  </si>
  <si>
    <t xml:space="preserve">CG</t>
  </si>
  <si>
    <t xml:space="preserve">Réserves libres</t>
  </si>
  <si>
    <t xml:space="preserve">Report à nouveau (+ ou -)</t>
  </si>
  <si>
    <t xml:space="preserve">CJ</t>
  </si>
  <si>
    <t xml:space="preserve">Résultat net de l'exercice (bénéfice + ou perte -)</t>
  </si>
  <si>
    <t xml:space="preserve">CL</t>
  </si>
  <si>
    <t xml:space="preserve">Subventions d'investissement</t>
  </si>
  <si>
    <t xml:space="preserve">CM</t>
  </si>
  <si>
    <t xml:space="preserve">Provisions réglementées</t>
  </si>
  <si>
    <t xml:space="preserve">CP</t>
  </si>
  <si>
    <t xml:space="preserve">TOTAL CAPITAUX PROPRES ET RESSOURCES ASSIMILÉES</t>
  </si>
  <si>
    <t xml:space="preserve">Emprunts et dettes financières diverses</t>
  </si>
  <si>
    <t xml:space="preserve">Provisions pour risques et charges</t>
  </si>
  <si>
    <t xml:space="preserve">DD</t>
  </si>
  <si>
    <t xml:space="preserve">TOTAL DETTES FINANCIÈRES ET RESSOURCES ASSIMILÉES</t>
  </si>
  <si>
    <t xml:space="preserve">DF</t>
  </si>
  <si>
    <t xml:space="preserve">TOTAL RESSOURCES STABLES</t>
  </si>
  <si>
    <t xml:space="preserve">Dettes circulantes HAO (fournisseurs d'investissement)</t>
  </si>
  <si>
    <t xml:space="preserve">DI</t>
  </si>
  <si>
    <t xml:space="preserve">Clients, avances reçues</t>
  </si>
  <si>
    <t xml:space="preserve">Fournisseurs d'exploitation</t>
  </si>
  <si>
    <t xml:space="preserve">Dettes fiscales et sociales</t>
  </si>
  <si>
    <t xml:space="preserve">Autres dettes</t>
  </si>
  <si>
    <t xml:space="preserve">DN</t>
  </si>
  <si>
    <t xml:space="preserve">Provisions pour risques à court terme</t>
  </si>
  <si>
    <t xml:space="preserve">DP</t>
  </si>
  <si>
    <t xml:space="preserve">TOTAL PASSIF CIRCULANT</t>
  </si>
  <si>
    <t xml:space="preserve">DQ</t>
  </si>
  <si>
    <t xml:space="preserve">Banques, crédits d'escompte</t>
  </si>
  <si>
    <t xml:space="preserve">DR</t>
  </si>
  <si>
    <t xml:space="preserve">Banques, établissements financiers et crédits de trésorerie</t>
  </si>
  <si>
    <t xml:space="preserve">DT</t>
  </si>
  <si>
    <t xml:space="preserve">TOTAL TRÉSORERIE-PASSIF</t>
  </si>
  <si>
    <t xml:space="preserve">DV</t>
  </si>
  <si>
    <t xml:space="preserve">Écart de conversion-Passif</t>
  </si>
  <si>
    <t xml:space="preserve">DZ</t>
  </si>
  <si>
    <t xml:space="preserve">TOTAL GÉNÉRAL PASSIF</t>
  </si>
  <si>
    <t xml:space="preserve">COMPTE DE RÉSULTAT PRÉVISIONNEL SUR 5 ANS (modèle SYSCOHADA révisé)</t>
  </si>
  <si>
    <t xml:space="preserve">Alimenté par les soldes de clôture des onglets BALANCE de chaque exercice. Charges présentées en négatif, soldes intermédiaires XA à XI. Montants en FCFA.</t>
  </si>
  <si>
    <t xml:space="preserve">COMPTE DE RÉSULTAT (charges en négatif)</t>
  </si>
  <si>
    <t xml:space="preserve">TA</t>
  </si>
  <si>
    <t xml:space="preserve">Ventes de marchandises</t>
  </si>
  <si>
    <t xml:space="preserve">RA</t>
  </si>
  <si>
    <t xml:space="preserve">Achats de marchandises</t>
  </si>
  <si>
    <t xml:space="preserve">RB</t>
  </si>
  <si>
    <t xml:space="preserve">Variation de stocks de marchandises</t>
  </si>
  <si>
    <t xml:space="preserve">XA</t>
  </si>
  <si>
    <t xml:space="preserve">MARGE COMMERCIALE</t>
  </si>
  <si>
    <t xml:space="preserve">TB</t>
  </si>
  <si>
    <t xml:space="preserve">Ventes de produits fabriqués</t>
  </si>
  <si>
    <t xml:space="preserve">Travaux, services vendus</t>
  </si>
  <si>
    <t xml:space="preserve">TD</t>
  </si>
  <si>
    <t xml:space="preserve">Produits accessoires</t>
  </si>
  <si>
    <t xml:space="preserve">XB</t>
  </si>
  <si>
    <t xml:space="preserve">CHIFFRE D'AFFAIRES</t>
  </si>
  <si>
    <t xml:space="preserve">TE</t>
  </si>
  <si>
    <t xml:space="preserve">Production stockée (ou déstockage)</t>
  </si>
  <si>
    <t xml:space="preserve">TF</t>
  </si>
  <si>
    <t xml:space="preserve">Production immobilisée</t>
  </si>
  <si>
    <t xml:space="preserve">TG</t>
  </si>
  <si>
    <t xml:space="preserve">Subventions d'exploitation</t>
  </si>
  <si>
    <t xml:space="preserve">TH</t>
  </si>
  <si>
    <t xml:space="preserve">Autres produits</t>
  </si>
  <si>
    <t xml:space="preserve">TI</t>
  </si>
  <si>
    <t xml:space="preserve">Transferts de charges d'exploitation</t>
  </si>
  <si>
    <t xml:space="preserve">RC</t>
  </si>
  <si>
    <t xml:space="preserve">Achats de matières premières et fournitures liées</t>
  </si>
  <si>
    <t xml:space="preserve">RD</t>
  </si>
  <si>
    <t xml:space="preserve">Variation de stocks de matières premières</t>
  </si>
  <si>
    <t xml:space="preserve">Autres achats</t>
  </si>
  <si>
    <t xml:space="preserve">RF</t>
  </si>
  <si>
    <t xml:space="preserve">Variation de stocks d'autres approvisionnements</t>
  </si>
  <si>
    <t xml:space="preserve">XC</t>
  </si>
  <si>
    <t xml:space="preserve">VALEUR AJOUTÉE</t>
  </si>
  <si>
    <t xml:space="preserve">XD</t>
  </si>
  <si>
    <t xml:space="preserve">EXCÉDENT BRUT D'EXPLOITATION</t>
  </si>
  <si>
    <t xml:space="preserve">TJ</t>
  </si>
  <si>
    <t xml:space="preserve">Reprises d'amortissements, provisions et dépréciations</t>
  </si>
  <si>
    <t xml:space="preserve">Dotations aux amortissements, provisions et dépréciations</t>
  </si>
  <si>
    <t xml:space="preserve">XE</t>
  </si>
  <si>
    <t xml:space="preserve">RÉSULTAT D'EXPLOITATION</t>
  </si>
  <si>
    <t xml:space="preserve">Revenus financiers et assimilés</t>
  </si>
  <si>
    <t xml:space="preserve">TL</t>
  </si>
  <si>
    <t xml:space="preserve">Reprises de provisions et dépréciations financières</t>
  </si>
  <si>
    <t xml:space="preserve">TM</t>
  </si>
  <si>
    <t xml:space="preserve">Transferts de charges financières</t>
  </si>
  <si>
    <t xml:space="preserve">Frais financiers et charges assimilées</t>
  </si>
  <si>
    <t xml:space="preserve">RN</t>
  </si>
  <si>
    <t xml:space="preserve">Dotations aux provisions et dépréciations financières</t>
  </si>
  <si>
    <t xml:space="preserve">XF</t>
  </si>
  <si>
    <t xml:space="preserve">RÉSULTAT FINANCIER</t>
  </si>
  <si>
    <t xml:space="preserve">XG</t>
  </si>
  <si>
    <t xml:space="preserve">RÉSULTAT DES ACTIVITÉS ORDINAIRES</t>
  </si>
  <si>
    <t xml:space="preserve">TN</t>
  </si>
  <si>
    <t xml:space="preserve">Produits des cessions d'immobilisations</t>
  </si>
  <si>
    <t xml:space="preserve">TO</t>
  </si>
  <si>
    <t xml:space="preserve">Autres produits HAO</t>
  </si>
  <si>
    <t xml:space="preserve">RO</t>
  </si>
  <si>
    <t xml:space="preserve">Valeurs comptables des cessions d'immobilisations</t>
  </si>
  <si>
    <t xml:space="preserve">RP</t>
  </si>
  <si>
    <t xml:space="preserve">Autres charges HAO</t>
  </si>
  <si>
    <t xml:space="preserve">XH</t>
  </si>
  <si>
    <t xml:space="preserve">RÉSULTAT HORS ACTIVITÉS ORDINAIRES</t>
  </si>
  <si>
    <t xml:space="preserve">RQ</t>
  </si>
  <si>
    <t xml:space="preserve">Participation des travailleurs</t>
  </si>
  <si>
    <t xml:space="preserve">Impôts sur le résultat</t>
  </si>
  <si>
    <t xml:space="preserve">RÉSULTAT NET</t>
  </si>
  <si>
    <t xml:space="preserve">TABLEAU DES FLUX DE TRÉSORERIE PRÉVISIONNEL SUR 5 ANS (modèle SYSCOHADA révisé)</t>
  </si>
  <si>
    <t xml:space="preserve">Méthode indirecte à partir de la CAFG, calculé par différence entre bilans successifs. Montants en FCFA.</t>
  </si>
  <si>
    <t xml:space="preserve">TABLEAU DES FLUX DE TRÉSORERIE</t>
  </si>
  <si>
    <t xml:space="preserve">ZA</t>
  </si>
  <si>
    <t xml:space="preserve">Trésorerie nette au 1er janvier (trésorerie actif N-1 - trésorerie passif N-1)</t>
  </si>
  <si>
    <t xml:space="preserve">n.d.</t>
  </si>
  <si>
    <t xml:space="preserve">Capacité d'autofinancement globale (CAFG)</t>
  </si>
  <si>
    <t xml:space="preserve">FB</t>
  </si>
  <si>
    <t xml:space="preserve">- Actif circulant HAO (variation)</t>
  </si>
  <si>
    <t xml:space="preserve">FC</t>
  </si>
  <si>
    <t xml:space="preserve">- Variation des stocks</t>
  </si>
  <si>
    <t xml:space="preserve">FD</t>
  </si>
  <si>
    <t xml:space="preserve">- Variation des créances</t>
  </si>
  <si>
    <t xml:space="preserve">FE</t>
  </si>
  <si>
    <t xml:space="preserve">+ Variation du passif circulant (hors dettes HAO)</t>
  </si>
  <si>
    <t xml:space="preserve">ZB</t>
  </si>
  <si>
    <t xml:space="preserve">FLUX DE TRÉSORERIE DES ACTIVITÉS OPÉRATIONNELLES</t>
  </si>
  <si>
    <t xml:space="preserve">FF</t>
  </si>
  <si>
    <t xml:space="preserve">Décaissements liés aux acquisitions d'immobilisations incorporelles</t>
  </si>
  <si>
    <t xml:space="preserve">FG</t>
  </si>
  <si>
    <t xml:space="preserve">Décaissements liés aux acquisitions d'immobilisations corporelles (nets des dettes 481)</t>
  </si>
  <si>
    <t xml:space="preserve">FH</t>
  </si>
  <si>
    <t xml:space="preserve">Décaissements liés aux acquisitions d'immobilisations financières</t>
  </si>
  <si>
    <t xml:space="preserve">FI</t>
  </si>
  <si>
    <t xml:space="preserve">Encaissements liés aux cessions d'immobilisations incorporelles et corporelles</t>
  </si>
  <si>
    <t xml:space="preserve">FJ</t>
  </si>
  <si>
    <t xml:space="preserve">Encaissements liés aux cessions d'immobilisations financières</t>
  </si>
  <si>
    <t xml:space="preserve">ZC</t>
  </si>
  <si>
    <t xml:space="preserve">FLUX DE TRÉSORERIE DES ACTIVITÉS D'INVESTISSEMENT</t>
  </si>
  <si>
    <t xml:space="preserve">FK</t>
  </si>
  <si>
    <t xml:space="preserve">+ Augmentations de capital par apports nouveaux</t>
  </si>
  <si>
    <t xml:space="preserve">FL</t>
  </si>
  <si>
    <t xml:space="preserve">+ Subventions d'investissement reçues</t>
  </si>
  <si>
    <t xml:space="preserve">FM</t>
  </si>
  <si>
    <t xml:space="preserve">- Prélèvements sur le capital</t>
  </si>
  <si>
    <t xml:space="preserve">FN</t>
  </si>
  <si>
    <t xml:space="preserve">- Dividendes versés</t>
  </si>
  <si>
    <t xml:space="preserve">ZD</t>
  </si>
  <si>
    <t xml:space="preserve">Flux de trésorerie provenant des capitaux propres</t>
  </si>
  <si>
    <t xml:space="preserve">FO</t>
  </si>
  <si>
    <t xml:space="preserve">+ Emprunts</t>
  </si>
  <si>
    <t xml:space="preserve">FP</t>
  </si>
  <si>
    <t xml:space="preserve">+ Autres dettes financières</t>
  </si>
  <si>
    <t xml:space="preserve">FQ</t>
  </si>
  <si>
    <t xml:space="preserve">- Remboursements des emprunts et autres dettes financières</t>
  </si>
  <si>
    <t xml:space="preserve">ZE</t>
  </si>
  <si>
    <t xml:space="preserve">Flux de trésorerie provenant des capitaux étrangers</t>
  </si>
  <si>
    <t xml:space="preserve">ZF</t>
  </si>
  <si>
    <t xml:space="preserve">FLUX DE TRÉSORERIE DES ACTIVITÉS DE FINANCEMENT (ZD + ZE)</t>
  </si>
  <si>
    <t xml:space="preserve">ZG</t>
  </si>
  <si>
    <t xml:space="preserve">VARIATION DE LA TRÉSORERIE NETTE DE LA PÉRIODE (ZB + ZC + ZF)</t>
  </si>
  <si>
    <t xml:space="preserve">ZH</t>
  </si>
  <si>
    <t xml:space="preserve">TRÉSORERIE NETTE AU 31 DÉCEMBRE (ZG + ZA)</t>
  </si>
  <si>
    <t xml:space="preserve">TFT de l'année de base non calculé : il nécessite le bilan de l'exercice précédent.</t>
  </si>
  <si>
    <t xml:space="preserve">CONTRÔLES DE COHÉRENCE ET INDICATEURS</t>
  </si>
  <si>
    <t xml:space="preserve">Vérifications croisées balances / bilan / compte de résultat / TFT. Toute valeur différente de 0 signale une anomalie.</t>
  </si>
  <si>
    <t xml:space="preserve">CONTRÔLES DE COHÉRENCE (tous doivent afficher 0)</t>
  </si>
  <si>
    <t xml:space="preserve">Statut</t>
  </si>
  <si>
    <t xml:space="preserve">Balance : équilibre ouverture, mouvements et clôture (somme des écarts débit - crédit)</t>
  </si>
  <si>
    <t xml:space="preserve">Balance : ouverture + mouvements - clôture, compte par compte (somme des écarts)</t>
  </si>
  <si>
    <t xml:space="preserve">Balance N : ouverture = clôture N-1 (classes 1 à 5, hors compte 13)</t>
  </si>
  <si>
    <t xml:space="preserve">Balance N : résultat d'ouverture (13) - résultat net N-1 (XI)</t>
  </si>
  <si>
    <t xml:space="preserve">Concordance : classe 2 (solde net) - actif immobilisé net (AZ)</t>
  </si>
  <si>
    <t xml:space="preserve">Concordance : classes 3 et 4 (solde net) - (actif circulant BK - passif circulant DP)</t>
  </si>
  <si>
    <t xml:space="preserve">Concordance : classe 5 (solde net) - trésorerie nette (BT - DT)</t>
  </si>
  <si>
    <t xml:space="preserve">Concordance : classe 1 (créditeur net) + résultat - (capitaux propres CP + dettes financières DD)</t>
  </si>
  <si>
    <t xml:space="preserve">Concordance : classes 7 - 6 - 8 de la balance - résultat net XI</t>
  </si>
  <si>
    <t xml:space="preserve">Concordance : comptes 70 de la balance - chiffre d'affaires XB</t>
  </si>
  <si>
    <t xml:space="preserve">Bilan équilibré : BZ - DZ</t>
  </si>
  <si>
    <t xml:space="preserve">Résultat : XI du compte de résultat - résultat calculé (HYPOTHESES)</t>
  </si>
  <si>
    <t xml:space="preserve">TFT : ZH - (BT - DT) du bilan de clôture</t>
  </si>
  <si>
    <t xml:space="preserve">Capitaux propres : CP - (CP N-1 + XI - dividendes + apports + subventions)</t>
  </si>
  <si>
    <t xml:space="preserve">Trésorerie d'ouverture : ZA - trésorerie nette de clôture N-1</t>
  </si>
  <si>
    <t xml:space="preserve">Immobilisations : VNC (INVEST ET FINANCEMENT) - poste AI du bilan</t>
  </si>
  <si>
    <t xml:space="preserve">Plan de financement : variation du FR - (FR N - FR N-1) du bilan</t>
  </si>
  <si>
    <t xml:space="preserve">Alerte : mouvements négatifs dans la balance (nombre)</t>
  </si>
  <si>
    <t xml:space="preserve">Alerte : dette financière négative (remboursement &gt; encours) (1 = oui)</t>
  </si>
  <si>
    <t xml:space="preserve">Alerte : caisse créditrice (1 = oui)</t>
  </si>
  <si>
    <t xml:space="preserve">Contrôle : sorties de banque de la balance - sorties calculées pour l'appro de caisse (tolérance d'arrondi 2 FCFA)</t>
  </si>
  <si>
    <t xml:space="preserve">Alerte : trésorerie nette négative (1 = oui)</t>
  </si>
  <si>
    <t xml:space="preserve">Alerte : capitaux propres &lt; moitié du capital (AUSCGIE art. 664)</t>
  </si>
  <si>
    <t xml:space="preserve">Synthèse : nombre d'anomalies et d'alertes</t>
  </si>
  <si>
    <t xml:space="preserve">INDICATEURS DE GESTION</t>
  </si>
  <si>
    <t xml:space="preserve">Croissance du chiffre d'affaires</t>
  </si>
  <si>
    <t xml:space="preserve">Valeur ajoutée / CA</t>
  </si>
  <si>
    <t xml:space="preserve">EBE / CA</t>
  </si>
  <si>
    <t xml:space="preserve">Résultat net / CA</t>
  </si>
  <si>
    <t xml:space="preserve">Fonds de roulement (DF - AZ)</t>
  </si>
  <si>
    <t xml:space="preserve">Besoin en fonds de roulement (BK - DP)</t>
  </si>
  <si>
    <t xml:space="preserve">Trésorerie nette (FR - BFR = BT - DT)</t>
  </si>
  <si>
    <t xml:space="preserve">BFR en jours de CA</t>
  </si>
  <si>
    <t xml:space="preserve">Endettement financier / capitaux propres</t>
  </si>
  <si>
    <t xml:space="preserve">Rentabilité des capitaux propres (XI / CP)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</si>
</sst>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%;\(0.0%\);\-"/>
    <numFmt numFmtId="167" formatCode="#,##0;\(#,##0\);\-"/>
    <numFmt numFmtId="168" formatCode="0&quot; j&quot;;\(0&quot; j)&quot;;\-"/>
    <numFmt numFmtId="169" formatCode="0.00%"/>
    <numFmt numFmtId="170" formatCode="0.00\x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sz val="9"/>
      <color rgb="FF595959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2F5597"/>
        <bgColor rgb="FF1F3864"/>
      </patternFill>
    </fill>
    <fill>
      <patternFill patternType="solid">
        <fgColor rgb="FFD9E1F2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I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3"/>
    <col collapsed="false" customWidth="true" hidden="false" outlineLevel="0" max="8" min="3" style="0" width="15"/>
    <col collapsed="false" customWidth="true" hidden="false" outlineLevel="0" max="9" min="9" style="0" width="90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4" t="s">
        <v>3</v>
      </c>
      <c r="C4" s="5" t="s">
        <v>4</v>
      </c>
    </row>
    <row r="5" customFormat="false" ht="15" hidden="false" customHeight="false" outlineLevel="0" collapsed="false">
      <c r="A5" s="4" t="s">
        <v>5</v>
      </c>
      <c r="C5" s="6" t="n">
        <v>2024</v>
      </c>
      <c r="I5" s="7" t="s">
        <v>6</v>
      </c>
    </row>
    <row r="7" customFormat="false" ht="15" hidden="false" customHeight="false" outlineLevel="0" collapsed="false">
      <c r="A7" s="8" t="s">
        <v>7</v>
      </c>
      <c r="B7" s="8" t="s">
        <v>8</v>
      </c>
      <c r="C7" s="8" t="str">
        <f aca="false">"Réel "&amp;$C$5</f>
        <v>Réel 2024</v>
      </c>
      <c r="D7" s="9" t="n">
        <f aca="false">$C$5+1</f>
        <v>2025</v>
      </c>
      <c r="E7" s="9" t="n">
        <f aca="false">$C$5+2</f>
        <v>2026</v>
      </c>
      <c r="F7" s="9" t="n">
        <f aca="false">$C$5+3</f>
        <v>2027</v>
      </c>
      <c r="G7" s="9" t="n">
        <f aca="false">$C$5+4</f>
        <v>2028</v>
      </c>
      <c r="H7" s="9" t="n">
        <f aca="false">$C$5+5</f>
        <v>2029</v>
      </c>
      <c r="I7" s="8" t="s">
        <v>9</v>
      </c>
    </row>
    <row r="8" customFormat="false" ht="15" hidden="false" customHeight="false" outlineLevel="0" collapsed="false">
      <c r="A8" s="10" t="s">
        <v>10</v>
      </c>
      <c r="B8" s="11"/>
      <c r="C8" s="11"/>
      <c r="D8" s="11"/>
      <c r="E8" s="11"/>
      <c r="F8" s="11"/>
      <c r="G8" s="11"/>
      <c r="H8" s="11"/>
      <c r="I8" s="11"/>
    </row>
    <row r="9" customFormat="false" ht="15" hidden="false" customHeight="false" outlineLevel="0" collapsed="false">
      <c r="A9" s="12" t="s">
        <v>11</v>
      </c>
      <c r="B9" s="13" t="s">
        <v>12</v>
      </c>
      <c r="D9" s="14" t="n">
        <v>0.07</v>
      </c>
      <c r="E9" s="14" t="n">
        <v>0.05</v>
      </c>
      <c r="F9" s="14" t="n">
        <v>0.05</v>
      </c>
      <c r="G9" s="14" t="n">
        <v>0.05</v>
      </c>
      <c r="H9" s="14" t="n">
        <v>0.05</v>
      </c>
      <c r="I9" s="7" t="s">
        <v>13</v>
      </c>
    </row>
    <row r="10" customFormat="false" ht="15" hidden="false" customHeight="false" outlineLevel="0" collapsed="false">
      <c r="A10" s="12" t="s">
        <v>14</v>
      </c>
      <c r="B10" s="13" t="s">
        <v>12</v>
      </c>
      <c r="D10" s="14" t="n">
        <v>0.18</v>
      </c>
      <c r="E10" s="14" t="n">
        <v>0.18</v>
      </c>
      <c r="F10" s="14" t="n">
        <v>0.18</v>
      </c>
      <c r="G10" s="14" t="n">
        <v>0.18</v>
      </c>
      <c r="H10" s="14" t="n">
        <v>0.18</v>
      </c>
      <c r="I10" s="7" t="s">
        <v>15</v>
      </c>
    </row>
    <row r="11" customFormat="false" ht="15" hidden="false" customHeight="false" outlineLevel="0" collapsed="false">
      <c r="A11" s="12" t="s">
        <v>16</v>
      </c>
      <c r="B11" s="13" t="s">
        <v>17</v>
      </c>
      <c r="C11" s="15" t="n">
        <f aca="false">SUMIFS('BALANCE 2024'!$I:$I,'BALANCE 2024'!$C:$C,"TK")</f>
        <v>848594</v>
      </c>
      <c r="D11" s="16" t="n">
        <v>848594</v>
      </c>
      <c r="E11" s="16" t="n">
        <v>848594</v>
      </c>
      <c r="F11" s="16" t="n">
        <v>848594</v>
      </c>
      <c r="G11" s="16" t="n">
        <v>848594</v>
      </c>
      <c r="H11" s="16" t="n">
        <v>848594</v>
      </c>
      <c r="I11" s="7" t="s">
        <v>18</v>
      </c>
    </row>
    <row r="12" customFormat="false" ht="15" hidden="false" customHeight="false" outlineLevel="0" collapsed="false">
      <c r="A12" s="10" t="s">
        <v>19</v>
      </c>
      <c r="B12" s="11"/>
      <c r="C12" s="11"/>
      <c r="D12" s="11"/>
      <c r="E12" s="11"/>
      <c r="F12" s="11"/>
      <c r="G12" s="11"/>
      <c r="H12" s="11"/>
      <c r="I12" s="11"/>
    </row>
    <row r="13" customFormat="false" ht="15" hidden="false" customHeight="false" outlineLevel="0" collapsed="false">
      <c r="A13" s="12" t="s">
        <v>20</v>
      </c>
      <c r="B13" s="13" t="s">
        <v>21</v>
      </c>
      <c r="C13" s="17" t="n">
        <f aca="false">IF(SUMIFS('BALANCE 2024'!$I:$I,'BALANCE 2024'!$C:$C,"TC")=0,0,SUMIFS('BALANCE 2024'!$H:$H,'BALANCE 2024'!$C:$C,"RE")/SUMIFS('BALANCE 2024'!$I:$I,'BALANCE 2024'!$C:$C,"TC"))</f>
        <v>0.396763013425616</v>
      </c>
      <c r="D13" s="14" t="n">
        <v>0.3968</v>
      </c>
      <c r="E13" s="14" t="n">
        <v>0.3968</v>
      </c>
      <c r="F13" s="14" t="n">
        <v>0.3968</v>
      </c>
      <c r="G13" s="14" t="n">
        <v>0.3968</v>
      </c>
      <c r="H13" s="14" t="n">
        <v>0.3968</v>
      </c>
      <c r="I13" s="7" t="s">
        <v>22</v>
      </c>
    </row>
    <row r="14" customFormat="false" ht="15" hidden="false" customHeight="false" outlineLevel="0" collapsed="false">
      <c r="A14" s="12" t="s">
        <v>23</v>
      </c>
      <c r="B14" s="13" t="s">
        <v>24</v>
      </c>
      <c r="C14" s="17" t="n">
        <f aca="false">IF(SUMIFS('BALANCE 2024'!$I:$I,'BALANCE 2024'!$C:$C,"TC")=0,0,SUMIFS('BALANCE 2024'!$H:$H,'BALANCE 2024'!$C:$C,"RG")/SUMIFS('BALANCE 2024'!$I:$I,'BALANCE 2024'!$C:$C,"TC"))</f>
        <v>0.00544929034407171</v>
      </c>
      <c r="D14" s="14" t="n">
        <v>0.0054</v>
      </c>
      <c r="E14" s="14" t="n">
        <v>0.0054</v>
      </c>
      <c r="F14" s="14" t="n">
        <v>0.0054</v>
      </c>
      <c r="G14" s="14" t="n">
        <v>0.0054</v>
      </c>
      <c r="H14" s="14" t="n">
        <v>0.0054</v>
      </c>
      <c r="I14" s="7" t="s">
        <v>22</v>
      </c>
    </row>
    <row r="15" customFormat="false" ht="15" hidden="false" customHeight="false" outlineLevel="0" collapsed="false">
      <c r="A15" s="12" t="s">
        <v>25</v>
      </c>
      <c r="B15" s="13" t="s">
        <v>26</v>
      </c>
      <c r="C15" s="17" t="n">
        <f aca="false">IF(SUMIFS('BALANCE 2024'!$I:$I,'BALANCE 2024'!$C:$C,"TC")=0,0,SUMIFS('BALANCE 2024'!$H:$H,'BALANCE 2024'!$C:$C,"RH")/SUMIFS('BALANCE 2024'!$I:$I,'BALANCE 2024'!$C:$C,"TC"))</f>
        <v>0.152303876245397</v>
      </c>
      <c r="D15" s="14" t="n">
        <v>0.1523</v>
      </c>
      <c r="E15" s="14" t="n">
        <v>0.1523</v>
      </c>
      <c r="F15" s="14" t="n">
        <v>0.1523</v>
      </c>
      <c r="G15" s="14" t="n">
        <v>0.1523</v>
      </c>
      <c r="H15" s="14" t="n">
        <v>0.1523</v>
      </c>
      <c r="I15" s="7" t="s">
        <v>22</v>
      </c>
    </row>
    <row r="16" customFormat="false" ht="15" hidden="false" customHeight="false" outlineLevel="0" collapsed="false">
      <c r="A16" s="12" t="s">
        <v>27</v>
      </c>
      <c r="B16" s="13" t="s">
        <v>28</v>
      </c>
      <c r="C16" s="17" t="n">
        <f aca="false">IF(SUMIFS('BALANCE 2024'!$I:$I,'BALANCE 2024'!$C:$C,"TC")=0,0,SUMIFS('BALANCE 2024'!$H:$H,'BALANCE 2024'!$C:$C,"RI")/SUMIFS('BALANCE 2024'!$I:$I,'BALANCE 2024'!$C:$C,"TC"))</f>
        <v>0.021211274985755</v>
      </c>
      <c r="D16" s="14" t="n">
        <v>0.0212</v>
      </c>
      <c r="E16" s="14" t="n">
        <v>0.0212</v>
      </c>
      <c r="F16" s="14" t="n">
        <v>0.0212</v>
      </c>
      <c r="G16" s="14" t="n">
        <v>0.0212</v>
      </c>
      <c r="H16" s="14" t="n">
        <v>0.0212</v>
      </c>
      <c r="I16" s="7" t="s">
        <v>22</v>
      </c>
    </row>
    <row r="17" customFormat="false" ht="15" hidden="false" customHeight="false" outlineLevel="0" collapsed="false">
      <c r="A17" s="12" t="s">
        <v>29</v>
      </c>
      <c r="B17" s="13" t="s">
        <v>30</v>
      </c>
      <c r="C17" s="17" t="n">
        <f aca="false">IF(SUMIFS('BALANCE 2024'!$I:$I,'BALANCE 2024'!$C:$C,"TC")=0,0,SUMIFS('BALANCE 2024'!$H:$H,'BALANCE 2024'!$C:$C,"RJ")/SUMIFS('BALANCE 2024'!$I:$I,'BALANCE 2024'!$C:$C,"TC"))</f>
        <v>0.00187828938525658</v>
      </c>
      <c r="D17" s="14" t="n">
        <v>0.0019</v>
      </c>
      <c r="E17" s="14" t="n">
        <v>0.0019</v>
      </c>
      <c r="F17" s="14" t="n">
        <v>0.0019</v>
      </c>
      <c r="G17" s="14" t="n">
        <v>0.0019</v>
      </c>
      <c r="H17" s="14" t="n">
        <v>0.0019</v>
      </c>
      <c r="I17" s="7" t="s">
        <v>22</v>
      </c>
    </row>
    <row r="18" customFormat="false" ht="15" hidden="false" customHeight="false" outlineLevel="0" collapsed="false">
      <c r="A18" s="12" t="s">
        <v>31</v>
      </c>
      <c r="B18" s="13" t="s">
        <v>32</v>
      </c>
      <c r="C18" s="17" t="n">
        <f aca="false">IF(SUMIFS('BALANCE 2024'!$I:$I,'BALANCE 2024'!$C:$C,"TC")=0,0,SUMIFS('BALANCE 2024'!$H:$H,'BALANCE 2024'!$C:$C,"RK")/SUMIFS('BALANCE 2024'!$I:$I,'BALANCE 2024'!$C:$C,"TC"))</f>
        <v>0.151243191958617</v>
      </c>
      <c r="D18" s="14" t="n">
        <v>0.1512</v>
      </c>
      <c r="E18" s="14" t="n">
        <v>0.1512</v>
      </c>
      <c r="F18" s="14" t="n">
        <v>0.1512</v>
      </c>
      <c r="G18" s="14" t="n">
        <v>0.1512</v>
      </c>
      <c r="H18" s="14" t="n">
        <v>0.1512</v>
      </c>
      <c r="I18" s="7" t="s">
        <v>22</v>
      </c>
    </row>
    <row r="19" customFormat="false" ht="15" hidden="false" customHeight="false" outlineLevel="0" collapsed="false">
      <c r="A19" s="10" t="s">
        <v>33</v>
      </c>
      <c r="B19" s="11"/>
      <c r="C19" s="11"/>
      <c r="D19" s="11"/>
      <c r="E19" s="11"/>
      <c r="F19" s="11"/>
      <c r="G19" s="11"/>
      <c r="H19" s="11"/>
      <c r="I19" s="11"/>
    </row>
    <row r="20" customFormat="false" ht="15" hidden="false" customHeight="false" outlineLevel="0" collapsed="false">
      <c r="A20" s="12" t="s">
        <v>34</v>
      </c>
      <c r="B20" s="13" t="s">
        <v>35</v>
      </c>
      <c r="D20" s="16" t="n">
        <v>6059296</v>
      </c>
      <c r="E20" s="16" t="n">
        <v>6059296</v>
      </c>
      <c r="F20" s="16" t="n">
        <v>6059296</v>
      </c>
      <c r="G20" s="16" t="n">
        <v>6059296</v>
      </c>
      <c r="H20" s="16" t="n">
        <v>6059296</v>
      </c>
      <c r="I20" s="7" t="s">
        <v>36</v>
      </c>
    </row>
    <row r="21" customFormat="false" ht="15" hidden="false" customHeight="false" outlineLevel="0" collapsed="false">
      <c r="A21" s="10" t="s">
        <v>37</v>
      </c>
      <c r="B21" s="11"/>
      <c r="C21" s="11"/>
      <c r="D21" s="11"/>
      <c r="E21" s="11"/>
      <c r="F21" s="11"/>
      <c r="G21" s="11"/>
      <c r="H21" s="11"/>
      <c r="I21" s="11"/>
    </row>
    <row r="22" customFormat="false" ht="15" hidden="false" customHeight="false" outlineLevel="0" collapsed="false">
      <c r="A22" s="12" t="s">
        <v>38</v>
      </c>
      <c r="B22" s="13" t="s">
        <v>39</v>
      </c>
      <c r="C22" s="18" t="n">
        <f aca="false">IF(C42=0,0,SUMIFS('BALANCE 2024'!$H:$H,'BALANCE 2024'!$C:$C,"BI")/(C42*(1+D10))*360)</f>
        <v>196.827174840192</v>
      </c>
      <c r="D22" s="19" t="n">
        <v>190</v>
      </c>
      <c r="E22" s="19" t="n">
        <v>197</v>
      </c>
      <c r="F22" s="19" t="n">
        <v>197</v>
      </c>
      <c r="G22" s="19" t="n">
        <v>197</v>
      </c>
      <c r="H22" s="19" t="n">
        <v>197</v>
      </c>
      <c r="I22" s="7" t="s">
        <v>40</v>
      </c>
    </row>
    <row r="23" customFormat="false" ht="15" hidden="false" customHeight="false" outlineLevel="0" collapsed="false">
      <c r="A23" s="12" t="s">
        <v>41</v>
      </c>
      <c r="B23" s="13" t="s">
        <v>42</v>
      </c>
      <c r="C23" s="18" t="n">
        <f aca="false">IF(C49=0,0,SUMIFS('BALANCE 2024'!$I:$I,'BALANCE 2024'!$C:$C,"DJ")/(C49*(1+D10))*360)</f>
        <v>57.2511620547497</v>
      </c>
      <c r="D23" s="19" t="n">
        <v>57</v>
      </c>
      <c r="E23" s="19" t="n">
        <v>57</v>
      </c>
      <c r="F23" s="19" t="n">
        <v>57</v>
      </c>
      <c r="G23" s="19" t="n">
        <v>57</v>
      </c>
      <c r="H23" s="19" t="n">
        <v>57</v>
      </c>
      <c r="I23" s="7" t="s">
        <v>43</v>
      </c>
    </row>
    <row r="24" customFormat="false" ht="15" hidden="false" customHeight="false" outlineLevel="0" collapsed="false">
      <c r="A24" s="12" t="s">
        <v>44</v>
      </c>
      <c r="B24" s="13" t="s">
        <v>45</v>
      </c>
      <c r="C24" s="18" t="n">
        <f aca="false">IF('INVEST ET FINANCEMENT'!C41=0,0,SUMIFS('BALANCE 2024'!$I:$I,'BALANCE 2024'!$C:$C,"DH")/'INVEST ET FINANCEMENT'!C41*360)</f>
        <v>131.098002937034</v>
      </c>
      <c r="D24" s="19" t="n">
        <v>131</v>
      </c>
      <c r="E24" s="19" t="n">
        <v>131</v>
      </c>
      <c r="F24" s="19" t="n">
        <v>131</v>
      </c>
      <c r="G24" s="19" t="n">
        <v>131</v>
      </c>
      <c r="H24" s="19" t="n">
        <v>131</v>
      </c>
      <c r="I24" s="7" t="s">
        <v>46</v>
      </c>
    </row>
    <row r="25" customFormat="false" ht="15" hidden="false" customHeight="false" outlineLevel="0" collapsed="false">
      <c r="A25" s="12" t="s">
        <v>47</v>
      </c>
      <c r="B25" s="13" t="s">
        <v>45</v>
      </c>
      <c r="D25" s="14" t="n">
        <v>0.6</v>
      </c>
      <c r="E25" s="14" t="n">
        <v>0.4</v>
      </c>
      <c r="F25" s="14" t="n">
        <v>0</v>
      </c>
      <c r="G25" s="14" t="n">
        <v>0</v>
      </c>
      <c r="H25" s="14" t="n">
        <v>0</v>
      </c>
      <c r="I25" s="7" t="s">
        <v>48</v>
      </c>
    </row>
    <row r="26" customFormat="false" ht="15" hidden="false" customHeight="false" outlineLevel="0" collapsed="false">
      <c r="A26" s="12" t="s">
        <v>49</v>
      </c>
      <c r="B26" s="13" t="s">
        <v>45</v>
      </c>
      <c r="C26" s="15" t="n">
        <f aca="false">ROUND(SUMIFS('BALANCE 2024'!$I:$I,'BALANCE 2024'!$C:$C,"DH"),0)</f>
        <v>132896547</v>
      </c>
      <c r="D26" s="20" t="n">
        <f aca="false">ROUND($C26*MAX(0,1-SUM($D25:D25)),0)</f>
        <v>53158619</v>
      </c>
      <c r="E26" s="20" t="n">
        <f aca="false">ROUND($C26*MAX(0,1-SUM($D25:E25)),0)</f>
        <v>0</v>
      </c>
      <c r="F26" s="20" t="n">
        <f aca="false">ROUND($C26*MAX(0,1-SUM($D25:F25)),0)</f>
        <v>0</v>
      </c>
      <c r="G26" s="20" t="n">
        <f aca="false">ROUND($C26*MAX(0,1-SUM($D25:G25)),0)</f>
        <v>0</v>
      </c>
      <c r="H26" s="20" t="n">
        <f aca="false">ROUND($C26*MAX(0,1-SUM($D25:H25)),0)</f>
        <v>0</v>
      </c>
    </row>
    <row r="27" customFormat="false" ht="15" hidden="false" customHeight="false" outlineLevel="0" collapsed="false">
      <c r="A27" s="12" t="s">
        <v>50</v>
      </c>
      <c r="B27" s="13" t="s">
        <v>45</v>
      </c>
      <c r="D27" s="20" t="n">
        <f aca="false">ROUND('INVEST ET FINANCEMENT'!D41*D24/360,0)</f>
        <v>6012616</v>
      </c>
      <c r="E27" s="20" t="n">
        <f aca="false">ROUND('INVEST ET FINANCEMENT'!E41*E24/360,0)</f>
        <v>12736111</v>
      </c>
      <c r="F27" s="20" t="n">
        <f aca="false">ROUND('INVEST ET FINANCEMENT'!F41*F24/360,0)</f>
        <v>12736111</v>
      </c>
      <c r="G27" s="20" t="n">
        <f aca="false">ROUND('INVEST ET FINANCEMENT'!G41*G24/360,0)</f>
        <v>27291667</v>
      </c>
      <c r="H27" s="20" t="n">
        <f aca="false">ROUND('INVEST ET FINANCEMENT'!H41*H24/360,0)</f>
        <v>12736111</v>
      </c>
    </row>
    <row r="28" customFormat="false" ht="15" hidden="false" customHeight="false" outlineLevel="0" collapsed="false">
      <c r="A28" s="4" t="s">
        <v>51</v>
      </c>
      <c r="B28" s="13" t="s">
        <v>45</v>
      </c>
      <c r="C28" s="21" t="n">
        <f aca="false">ROUND(C26,0)</f>
        <v>132896547</v>
      </c>
      <c r="D28" s="21" t="n">
        <f aca="false">ROUND(D26+D27,0)</f>
        <v>59171235</v>
      </c>
      <c r="E28" s="21" t="n">
        <f aca="false">ROUND(E26+E27,0)</f>
        <v>12736111</v>
      </c>
      <c r="F28" s="21" t="n">
        <f aca="false">ROUND(F26+F27,0)</f>
        <v>12736111</v>
      </c>
      <c r="G28" s="21" t="n">
        <f aca="false">ROUND(G26+G27,0)</f>
        <v>27291667</v>
      </c>
      <c r="H28" s="21" t="n">
        <f aca="false">ROUND(H26+H27,0)</f>
        <v>12736111</v>
      </c>
    </row>
    <row r="29" customFormat="false" ht="15" hidden="false" customHeight="false" outlineLevel="0" collapsed="false">
      <c r="A29" s="12" t="s">
        <v>52</v>
      </c>
      <c r="B29" s="13" t="s">
        <v>53</v>
      </c>
      <c r="D29" s="14" t="n">
        <v>0.2</v>
      </c>
      <c r="E29" s="14" t="n">
        <v>0.2</v>
      </c>
      <c r="F29" s="14" t="n">
        <v>0.2</v>
      </c>
      <c r="G29" s="14" t="n">
        <v>0.2</v>
      </c>
      <c r="H29" s="14" t="n">
        <v>0.2</v>
      </c>
      <c r="I29" s="7" t="s">
        <v>54</v>
      </c>
    </row>
    <row r="30" customFormat="false" ht="15" hidden="false" customHeight="false" outlineLevel="0" collapsed="false">
      <c r="A30" s="12" t="s">
        <v>55</v>
      </c>
      <c r="B30" s="13" t="s">
        <v>56</v>
      </c>
      <c r="D30" s="14" t="n">
        <v>0.99</v>
      </c>
      <c r="E30" s="14" t="n">
        <v>0.99</v>
      </c>
      <c r="F30" s="14" t="n">
        <v>0.99</v>
      </c>
      <c r="G30" s="14" t="n">
        <v>0.99</v>
      </c>
      <c r="H30" s="14" t="n">
        <v>0.99</v>
      </c>
      <c r="I30" s="7" t="s">
        <v>57</v>
      </c>
    </row>
    <row r="31" customFormat="false" ht="15" hidden="false" customHeight="false" outlineLevel="0" collapsed="false">
      <c r="A31" s="12" t="s">
        <v>58</v>
      </c>
      <c r="B31" s="13" t="s">
        <v>59</v>
      </c>
      <c r="D31" s="16" t="n">
        <v>0</v>
      </c>
      <c r="E31" s="16" t="n">
        <v>0</v>
      </c>
      <c r="F31" s="16" t="n">
        <v>0</v>
      </c>
      <c r="G31" s="16" t="n">
        <v>0</v>
      </c>
      <c r="H31" s="16" t="n">
        <v>0</v>
      </c>
      <c r="I31" s="7" t="s">
        <v>60</v>
      </c>
    </row>
    <row r="32" customFormat="false" ht="15" hidden="false" customHeight="false" outlineLevel="0" collapsed="false">
      <c r="I32" s="7" t="s">
        <v>61</v>
      </c>
    </row>
    <row r="33" customFormat="false" ht="15" hidden="false" customHeight="false" outlineLevel="0" collapsed="false">
      <c r="A33" s="10" t="s">
        <v>62</v>
      </c>
      <c r="B33" s="11"/>
      <c r="C33" s="11"/>
      <c r="D33" s="11"/>
      <c r="E33" s="11"/>
      <c r="F33" s="11"/>
      <c r="G33" s="11"/>
      <c r="H33" s="11"/>
      <c r="I33" s="11"/>
    </row>
    <row r="34" customFormat="false" ht="15" hidden="false" customHeight="false" outlineLevel="0" collapsed="false">
      <c r="A34" s="12" t="s">
        <v>63</v>
      </c>
      <c r="B34" s="13" t="s">
        <v>12</v>
      </c>
      <c r="D34" s="14" t="n">
        <v>0.25</v>
      </c>
      <c r="E34" s="14" t="n">
        <v>0.25</v>
      </c>
      <c r="F34" s="14" t="n">
        <v>0.25</v>
      </c>
      <c r="G34" s="14" t="n">
        <v>0.25</v>
      </c>
      <c r="H34" s="14" t="n">
        <v>0.25</v>
      </c>
      <c r="I34" s="7" t="s">
        <v>64</v>
      </c>
    </row>
    <row r="35" customFormat="false" ht="15" hidden="false" customHeight="false" outlineLevel="0" collapsed="false">
      <c r="A35" s="12" t="s">
        <v>65</v>
      </c>
      <c r="B35" s="13" t="s">
        <v>12</v>
      </c>
      <c r="D35" s="22" t="n">
        <v>0.005</v>
      </c>
      <c r="E35" s="22" t="n">
        <v>0.005</v>
      </c>
      <c r="F35" s="22" t="n">
        <v>0.005</v>
      </c>
      <c r="G35" s="22" t="n">
        <v>0.005</v>
      </c>
      <c r="H35" s="22" t="n">
        <v>0.005</v>
      </c>
      <c r="I35" s="7" t="s">
        <v>66</v>
      </c>
    </row>
    <row r="36" customFormat="false" ht="15" hidden="false" customHeight="false" outlineLevel="0" collapsed="false">
      <c r="A36" s="12" t="s">
        <v>67</v>
      </c>
      <c r="B36" s="13" t="s">
        <v>68</v>
      </c>
      <c r="D36" s="16" t="n">
        <v>3000000</v>
      </c>
      <c r="E36" s="16" t="n">
        <v>3000000</v>
      </c>
      <c r="F36" s="16" t="n">
        <v>3000000</v>
      </c>
      <c r="G36" s="16" t="n">
        <v>3000000</v>
      </c>
      <c r="H36" s="16" t="n">
        <v>3000000</v>
      </c>
      <c r="I36" s="7" t="s">
        <v>69</v>
      </c>
    </row>
    <row r="37" customFormat="false" ht="15" hidden="false" customHeight="false" outlineLevel="0" collapsed="false">
      <c r="A37" s="12" t="s">
        <v>70</v>
      </c>
      <c r="B37" s="13" t="s">
        <v>68</v>
      </c>
      <c r="D37" s="16" t="n">
        <v>35000000</v>
      </c>
      <c r="E37" s="16" t="n">
        <v>35000000</v>
      </c>
      <c r="F37" s="16" t="n">
        <v>35000000</v>
      </c>
      <c r="G37" s="16" t="n">
        <v>35000000</v>
      </c>
      <c r="H37" s="16" t="n">
        <v>35000000</v>
      </c>
      <c r="I37" s="7" t="s">
        <v>69</v>
      </c>
    </row>
    <row r="38" customFormat="false" ht="15" hidden="false" customHeight="false" outlineLevel="0" collapsed="false">
      <c r="A38" s="12" t="s">
        <v>71</v>
      </c>
      <c r="B38" s="13" t="s">
        <v>68</v>
      </c>
      <c r="D38" s="16" t="n">
        <v>0</v>
      </c>
      <c r="E38" s="16" t="n">
        <v>0</v>
      </c>
      <c r="F38" s="16" t="n">
        <v>0</v>
      </c>
      <c r="G38" s="16" t="n">
        <v>0</v>
      </c>
      <c r="H38" s="16" t="n">
        <v>0</v>
      </c>
      <c r="I38" s="7" t="s">
        <v>72</v>
      </c>
    </row>
    <row r="39" customFormat="false" ht="15" hidden="false" customHeight="false" outlineLevel="0" collapsed="false">
      <c r="A39" s="12" t="s">
        <v>73</v>
      </c>
      <c r="B39" s="13" t="s">
        <v>12</v>
      </c>
      <c r="D39" s="14" t="n">
        <v>0.1</v>
      </c>
      <c r="E39" s="14" t="n">
        <v>0.1</v>
      </c>
      <c r="F39" s="14" t="n">
        <v>0.1</v>
      </c>
      <c r="G39" s="14" t="n">
        <v>0.1</v>
      </c>
      <c r="H39" s="14" t="n">
        <v>0.1</v>
      </c>
      <c r="I39" s="7" t="s">
        <v>74</v>
      </c>
    </row>
    <row r="40" customFormat="false" ht="15" hidden="false" customHeight="false" outlineLevel="0" collapsed="false">
      <c r="A40" s="12" t="s">
        <v>75</v>
      </c>
      <c r="B40" s="13" t="s">
        <v>12</v>
      </c>
      <c r="D40" s="14" t="n">
        <v>0.2</v>
      </c>
      <c r="E40" s="14" t="n">
        <v>0.2</v>
      </c>
      <c r="F40" s="14" t="n">
        <v>0.2</v>
      </c>
      <c r="G40" s="14" t="n">
        <v>0.2</v>
      </c>
      <c r="H40" s="14" t="n">
        <v>0.2</v>
      </c>
      <c r="I40" s="7" t="s">
        <v>76</v>
      </c>
    </row>
    <row r="41" customFormat="false" ht="15" hidden="false" customHeight="false" outlineLevel="0" collapsed="false">
      <c r="A41" s="10" t="s">
        <v>77</v>
      </c>
      <c r="B41" s="11"/>
      <c r="C41" s="11"/>
      <c r="D41" s="11"/>
      <c r="E41" s="11"/>
      <c r="F41" s="11"/>
      <c r="G41" s="11"/>
      <c r="H41" s="11"/>
      <c r="I41" s="11"/>
    </row>
    <row r="42" customFormat="false" ht="15" hidden="false" customHeight="false" outlineLevel="0" collapsed="false">
      <c r="A42" s="4" t="s">
        <v>78</v>
      </c>
      <c r="B42" s="13" t="s">
        <v>79</v>
      </c>
      <c r="C42" s="23" t="n">
        <f aca="false">ROUND(SUMIFS('BALANCE 2024'!$I:$I,'BALANCE 2024'!$C:$C,"TC"),0)</f>
        <v>701026695</v>
      </c>
      <c r="D42" s="21" t="n">
        <f aca="false">ROUND(C42*(1+D9),0)</f>
        <v>750098564</v>
      </c>
      <c r="E42" s="21" t="n">
        <f aca="false">ROUND(D42*(1+E9),0)</f>
        <v>787603492</v>
      </c>
      <c r="F42" s="21" t="n">
        <f aca="false">ROUND(E42*(1+F9),0)</f>
        <v>826983667</v>
      </c>
      <c r="G42" s="21" t="n">
        <f aca="false">ROUND(F42*(1+G9),0)</f>
        <v>868332850</v>
      </c>
      <c r="H42" s="21" t="n">
        <f aca="false">ROUND(G42*(1+H9),0)</f>
        <v>911749493</v>
      </c>
    </row>
    <row r="43" customFormat="false" ht="15" hidden="false" customHeight="false" outlineLevel="0" collapsed="false">
      <c r="A43" s="12" t="s">
        <v>20</v>
      </c>
      <c r="B43" s="13" t="s">
        <v>21</v>
      </c>
      <c r="C43" s="15" t="n">
        <f aca="false">ROUND(SUMIFS('BALANCE 2024'!$H:$H,'BALANCE 2024'!$C:$C,"RE"),0)</f>
        <v>278141464</v>
      </c>
      <c r="D43" s="20" t="n">
        <f aca="false">ROUND(D42*D13,0)</f>
        <v>297639110</v>
      </c>
      <c r="E43" s="20" t="n">
        <f aca="false">ROUND(E42*E13,0)</f>
        <v>312521066</v>
      </c>
      <c r="F43" s="20" t="n">
        <f aca="false">ROUND(F42*F13,0)</f>
        <v>328147119</v>
      </c>
      <c r="G43" s="20" t="n">
        <f aca="false">ROUND(G42*G13,0)</f>
        <v>344554475</v>
      </c>
      <c r="H43" s="20" t="n">
        <f aca="false">ROUND(H42*H13,0)</f>
        <v>361782199</v>
      </c>
    </row>
    <row r="44" customFormat="false" ht="15" hidden="false" customHeight="false" outlineLevel="0" collapsed="false">
      <c r="A44" s="12" t="s">
        <v>23</v>
      </c>
      <c r="B44" s="13" t="s">
        <v>24</v>
      </c>
      <c r="C44" s="15" t="n">
        <f aca="false">ROUND(SUMIFS('BALANCE 2024'!$H:$H,'BALANCE 2024'!$C:$C,"RG"),0)</f>
        <v>3820098</v>
      </c>
      <c r="D44" s="20" t="n">
        <f aca="false">ROUND(D42*D14,0)</f>
        <v>4050532</v>
      </c>
      <c r="E44" s="20" t="n">
        <f aca="false">ROUND(E42*E14,0)</f>
        <v>4253059</v>
      </c>
      <c r="F44" s="20" t="n">
        <f aca="false">ROUND(F42*F14,0)</f>
        <v>4465712</v>
      </c>
      <c r="G44" s="20" t="n">
        <f aca="false">ROUND(G42*G14,0)</f>
        <v>4688997</v>
      </c>
      <c r="H44" s="20" t="n">
        <f aca="false">ROUND(H42*H14,0)</f>
        <v>4923447</v>
      </c>
    </row>
    <row r="45" customFormat="false" ht="15" hidden="false" customHeight="false" outlineLevel="0" collapsed="false">
      <c r="A45" s="12" t="s">
        <v>25</v>
      </c>
      <c r="B45" s="13" t="s">
        <v>26</v>
      </c>
      <c r="C45" s="15" t="n">
        <f aca="false">ROUND(SUMIFS('BALANCE 2024'!$H:$H,'BALANCE 2024'!$C:$C,"RH"),0)</f>
        <v>106769083</v>
      </c>
      <c r="D45" s="20" t="n">
        <f aca="false">ROUND(D42*D15,0)</f>
        <v>114240011</v>
      </c>
      <c r="E45" s="20" t="n">
        <f aca="false">ROUND(E42*E15,0)</f>
        <v>119952012</v>
      </c>
      <c r="F45" s="20" t="n">
        <f aca="false">ROUND(F42*F15,0)</f>
        <v>125949612</v>
      </c>
      <c r="G45" s="20" t="n">
        <f aca="false">ROUND(G42*G15,0)</f>
        <v>132247093</v>
      </c>
      <c r="H45" s="20" t="n">
        <f aca="false">ROUND(H42*H15,0)</f>
        <v>138859448</v>
      </c>
    </row>
    <row r="46" customFormat="false" ht="15" hidden="false" customHeight="false" outlineLevel="0" collapsed="false">
      <c r="A46" s="12" t="s">
        <v>27</v>
      </c>
      <c r="B46" s="13" t="s">
        <v>28</v>
      </c>
      <c r="C46" s="15" t="n">
        <f aca="false">ROUND(SUMIFS('BALANCE 2024'!$H:$H,'BALANCE 2024'!$C:$C,"RI"),0)</f>
        <v>14869670</v>
      </c>
      <c r="D46" s="20" t="n">
        <f aca="false">ROUND(D42*D16,0)</f>
        <v>15902090</v>
      </c>
      <c r="E46" s="20" t="n">
        <f aca="false">ROUND(E42*E16,0)</f>
        <v>16697194</v>
      </c>
      <c r="F46" s="20" t="n">
        <f aca="false">ROUND(F42*F16,0)</f>
        <v>17532054</v>
      </c>
      <c r="G46" s="20" t="n">
        <f aca="false">ROUND(G42*G16,0)</f>
        <v>18408656</v>
      </c>
      <c r="H46" s="20" t="n">
        <f aca="false">ROUND(H42*H16,0)</f>
        <v>19329089</v>
      </c>
    </row>
    <row r="47" customFormat="false" ht="15" hidden="false" customHeight="false" outlineLevel="0" collapsed="false">
      <c r="A47" s="12" t="s">
        <v>29</v>
      </c>
      <c r="B47" s="13" t="s">
        <v>30</v>
      </c>
      <c r="C47" s="15" t="n">
        <f aca="false">ROUND(SUMIFS('BALANCE 2024'!$H:$H,'BALANCE 2024'!$C:$C,"RJ"),0)</f>
        <v>1316731</v>
      </c>
      <c r="D47" s="20" t="n">
        <f aca="false">ROUND(D42*D17,0)</f>
        <v>1425187</v>
      </c>
      <c r="E47" s="20" t="n">
        <f aca="false">ROUND(E42*E17,0)</f>
        <v>1496447</v>
      </c>
      <c r="F47" s="20" t="n">
        <f aca="false">ROUND(F42*F17,0)</f>
        <v>1571269</v>
      </c>
      <c r="G47" s="20" t="n">
        <f aca="false">ROUND(G42*G17,0)</f>
        <v>1649832</v>
      </c>
      <c r="H47" s="20" t="n">
        <f aca="false">ROUND(H42*H17,0)</f>
        <v>1732324</v>
      </c>
    </row>
    <row r="48" customFormat="false" ht="15" hidden="false" customHeight="false" outlineLevel="0" collapsed="false">
      <c r="A48" s="12" t="s">
        <v>31</v>
      </c>
      <c r="B48" s="13" t="s">
        <v>32</v>
      </c>
      <c r="C48" s="15" t="n">
        <f aca="false">ROUND(SUMIFS('BALANCE 2024'!$H:$H,'BALANCE 2024'!$C:$C,"RK"),0)</f>
        <v>106025515</v>
      </c>
      <c r="D48" s="20" t="n">
        <f aca="false">ROUND(D42*D18,0)</f>
        <v>113414903</v>
      </c>
      <c r="E48" s="20" t="n">
        <f aca="false">ROUND(E42*E18,0)</f>
        <v>119085648</v>
      </c>
      <c r="F48" s="20" t="n">
        <f aca="false">ROUND(F42*F18,0)</f>
        <v>125039930</v>
      </c>
      <c r="G48" s="20" t="n">
        <f aca="false">ROUND(G42*G18,0)</f>
        <v>131291927</v>
      </c>
      <c r="H48" s="20" t="n">
        <f aca="false">ROUND(H42*H18,0)</f>
        <v>137856523</v>
      </c>
    </row>
    <row r="49" customFormat="false" ht="15" hidden="false" customHeight="false" outlineLevel="0" collapsed="false">
      <c r="A49" s="12" t="s">
        <v>80</v>
      </c>
      <c r="B49" s="13"/>
      <c r="C49" s="20" t="n">
        <f aca="false">ROUND(C43+C44+C45,0)</f>
        <v>388730645</v>
      </c>
      <c r="D49" s="20" t="n">
        <f aca="false">ROUND(D43+D44+D45,0)</f>
        <v>415929653</v>
      </c>
      <c r="E49" s="20" t="n">
        <f aca="false">ROUND(E43+E44+E45,0)</f>
        <v>436726137</v>
      </c>
      <c r="F49" s="20" t="n">
        <f aca="false">ROUND(F43+F44+F45,0)</f>
        <v>458562443</v>
      </c>
      <c r="G49" s="20" t="n">
        <f aca="false">ROUND(G43+G44+G45,0)</f>
        <v>481490565</v>
      </c>
      <c r="H49" s="20" t="n">
        <f aca="false">ROUND(H43+H44+H45,0)</f>
        <v>505565094</v>
      </c>
    </row>
    <row r="50" customFormat="false" ht="15" hidden="false" customHeight="false" outlineLevel="0" collapsed="false">
      <c r="A50" s="12" t="s">
        <v>81</v>
      </c>
      <c r="B50" s="13" t="s">
        <v>82</v>
      </c>
      <c r="C50" s="15" t="n">
        <f aca="false">ROUND(SUMIFS('BALANCE 2024'!$H:$H,'BALANCE 2024'!$A:$A,"&gt;=691000",'BALANCE 2024'!$A:$A,"&lt;692000"),0)</f>
        <v>6059296</v>
      </c>
      <c r="D50" s="20" t="n">
        <f aca="false">ROUND(D20,0)</f>
        <v>6059296</v>
      </c>
      <c r="E50" s="20" t="n">
        <f aca="false">ROUND(E20,0)</f>
        <v>6059296</v>
      </c>
      <c r="F50" s="20" t="n">
        <f aca="false">ROUND(F20,0)</f>
        <v>6059296</v>
      </c>
      <c r="G50" s="20" t="n">
        <f aca="false">ROUND(G20,0)</f>
        <v>6059296</v>
      </c>
      <c r="H50" s="20" t="n">
        <f aca="false">ROUND(H20,0)</f>
        <v>6059296</v>
      </c>
    </row>
    <row r="51" customFormat="false" ht="15" hidden="false" customHeight="false" outlineLevel="0" collapsed="false">
      <c r="A51" s="12" t="s">
        <v>83</v>
      </c>
      <c r="B51" s="13" t="s">
        <v>17</v>
      </c>
      <c r="C51" s="20" t="n">
        <f aca="false">ROUND(C11,0)</f>
        <v>848594</v>
      </c>
      <c r="D51" s="20" t="n">
        <f aca="false">ROUND(D11,0)</f>
        <v>848594</v>
      </c>
      <c r="E51" s="20" t="n">
        <f aca="false">ROUND(E11,0)</f>
        <v>848594</v>
      </c>
      <c r="F51" s="20" t="n">
        <f aca="false">ROUND(F11,0)</f>
        <v>848594</v>
      </c>
      <c r="G51" s="20" t="n">
        <f aca="false">ROUND(G11,0)</f>
        <v>848594</v>
      </c>
      <c r="H51" s="20" t="n">
        <f aca="false">ROUND(H11,0)</f>
        <v>848594</v>
      </c>
    </row>
    <row r="52" customFormat="false" ht="15" hidden="false" customHeight="false" outlineLevel="0" collapsed="false">
      <c r="A52" s="4" t="s">
        <v>84</v>
      </c>
      <c r="B52" s="13" t="s">
        <v>85</v>
      </c>
      <c r="C52" s="21" t="n">
        <f aca="false">ROUND(C42+C51-C43-C44-C45-C46-C47-C48-'INVEST ET FINANCEMENT'!C42-C50-'INVEST ET FINANCEMENT'!C64-'INVEST ET FINANCEMENT'!C65,0)</f>
        <v>96931836</v>
      </c>
      <c r="D52" s="21" t="n">
        <f aca="false">ROUND(D42+D51-D43-D44-D45-D46-D47-D48-'INVEST ET FINANCEMENT'!D42-D50-'INVEST ET FINANCEMENT'!D64-'INVEST ET FINANCEMENT'!D65,0)</f>
        <v>123353157</v>
      </c>
      <c r="E52" s="21" t="n">
        <f aca="false">ROUND(E42+E51-E43-E44-E45-E46-E47-E48-'INVEST ET FINANCEMENT'!E42-E50-'INVEST ET FINANCEMENT'!E64-'INVEST ET FINANCEMENT'!E65,0)</f>
        <v>114682036</v>
      </c>
      <c r="F52" s="21" t="n">
        <f aca="false">ROUND(F42+F51-F43-F44-F45-F46-F47-F48-'INVEST ET FINANCEMENT'!F42-F50-'INVEST ET FINANCEMENT'!F64-'INVEST ET FINANCEMENT'!F65,0)</f>
        <v>121971114</v>
      </c>
      <c r="G52" s="21" t="n">
        <f aca="false">ROUND(G42+G51-G43-G44-G45-G46-G47-G48-'INVEST ET FINANCEMENT'!G42-G50-'INVEST ET FINANCEMENT'!G64-'INVEST ET FINANCEMENT'!G65,0)</f>
        <v>134515784</v>
      </c>
      <c r="H52" s="21" t="n">
        <f aca="false">ROUND(H42+H51-H43-H44-H45-H46-H47-H48-'INVEST ET FINANCEMENT'!H42-H50-'INVEST ET FINANCEMENT'!H64-'INVEST ET FINANCEMENT'!H65,0)</f>
        <v>144106858</v>
      </c>
    </row>
    <row r="53" customFormat="false" ht="15" hidden="false" customHeight="false" outlineLevel="0" collapsed="false">
      <c r="A53" s="12" t="s">
        <v>86</v>
      </c>
      <c r="B53" s="13"/>
      <c r="D53" s="20" t="n">
        <f aca="false">ROUND(D52+D38,0)</f>
        <v>123353157</v>
      </c>
      <c r="E53" s="20" t="n">
        <f aca="false">ROUND(E52+E38,0)</f>
        <v>114682036</v>
      </c>
      <c r="F53" s="20" t="n">
        <f aca="false">ROUND(F52+F38,0)</f>
        <v>121971114</v>
      </c>
      <c r="G53" s="20" t="n">
        <f aca="false">ROUND(G52+G38,0)</f>
        <v>134515784</v>
      </c>
      <c r="H53" s="20" t="n">
        <f aca="false">ROUND(H52+H38,0)</f>
        <v>144106858</v>
      </c>
    </row>
    <row r="54" customFormat="false" ht="15" hidden="false" customHeight="false" outlineLevel="0" collapsed="false">
      <c r="A54" s="12" t="s">
        <v>87</v>
      </c>
      <c r="B54" s="13"/>
      <c r="D54" s="20" t="n">
        <f aca="false">ROUND(MAX(0,D53)*D34,0)</f>
        <v>30838289</v>
      </c>
      <c r="E54" s="20" t="n">
        <f aca="false">ROUND(MAX(0,E53)*E34,0)</f>
        <v>28670509</v>
      </c>
      <c r="F54" s="20" t="n">
        <f aca="false">ROUND(MAX(0,F53)*F34,0)</f>
        <v>30492779</v>
      </c>
      <c r="G54" s="20" t="n">
        <f aca="false">ROUND(MAX(0,G53)*G34,0)</f>
        <v>33628946</v>
      </c>
      <c r="H54" s="20" t="n">
        <f aca="false">ROUND(MAX(0,H53)*H34,0)</f>
        <v>36026715</v>
      </c>
    </row>
    <row r="55" customFormat="false" ht="15" hidden="false" customHeight="false" outlineLevel="0" collapsed="false">
      <c r="A55" s="12" t="s">
        <v>88</v>
      </c>
      <c r="B55" s="13"/>
      <c r="D55" s="20" t="n">
        <f aca="false">ROUND(MIN(D37,MAX(D36,D35*(D42*(1+D10)+D51))),0)</f>
        <v>4429824</v>
      </c>
      <c r="E55" s="20" t="n">
        <f aca="false">ROUND(MIN(E37,MAX(E36,E35*(E42*(1+E10)+E51))),0)</f>
        <v>4651104</v>
      </c>
      <c r="F55" s="20" t="n">
        <f aca="false">ROUND(MIN(F37,MAX(F36,F35*(F42*(1+F10)+F51))),0)</f>
        <v>4883447</v>
      </c>
      <c r="G55" s="20" t="n">
        <f aca="false">ROUND(MIN(G37,MAX(G36,G35*(G42*(1+G10)+G51))),0)</f>
        <v>5127407</v>
      </c>
      <c r="H55" s="20" t="n">
        <f aca="false">ROUND(MIN(H37,MAX(H36,H35*(H42*(1+H10)+H51))),0)</f>
        <v>5383565</v>
      </c>
    </row>
    <row r="56" customFormat="false" ht="15" hidden="false" customHeight="false" outlineLevel="0" collapsed="false">
      <c r="A56" s="4" t="s">
        <v>89</v>
      </c>
      <c r="B56" s="13" t="s">
        <v>90</v>
      </c>
      <c r="C56" s="23" t="n">
        <f aca="false">ROUND(SUMIFS('BALANCE 2024'!$H:$H,'BALANCE 2024'!$C:$C,"RS"),0)</f>
        <v>24232959</v>
      </c>
      <c r="D56" s="21" t="n">
        <f aca="false">ROUND(MAX(D54,D55),0)</f>
        <v>30838289</v>
      </c>
      <c r="E56" s="21" t="n">
        <f aca="false">ROUND(MAX(E54,E55),0)</f>
        <v>28670509</v>
      </c>
      <c r="F56" s="21" t="n">
        <f aca="false">ROUND(MAX(F54,F55),0)</f>
        <v>30492779</v>
      </c>
      <c r="G56" s="21" t="n">
        <f aca="false">ROUND(MAX(G54,G55),0)</f>
        <v>33628946</v>
      </c>
      <c r="H56" s="21" t="n">
        <f aca="false">ROUND(MAX(H54,H55),0)</f>
        <v>36026715</v>
      </c>
    </row>
    <row r="57" customFormat="false" ht="15" hidden="false" customHeight="false" outlineLevel="0" collapsed="false">
      <c r="A57" s="4" t="s">
        <v>91</v>
      </c>
      <c r="B57" s="13" t="s">
        <v>92</v>
      </c>
      <c r="C57" s="21" t="n">
        <f aca="false">ROUND(C52-C56,0)</f>
        <v>72698877</v>
      </c>
      <c r="D57" s="21" t="n">
        <f aca="false">ROUND(D52-D56,0)</f>
        <v>92514868</v>
      </c>
      <c r="E57" s="21" t="n">
        <f aca="false">ROUND(E52-E56,0)</f>
        <v>86011527</v>
      </c>
      <c r="F57" s="21" t="n">
        <f aca="false">ROUND(F52-F56,0)</f>
        <v>91478335</v>
      </c>
      <c r="G57" s="21" t="n">
        <f aca="false">ROUND(G52-G56,0)</f>
        <v>100886838</v>
      </c>
      <c r="H57" s="21" t="n">
        <f aca="false">ROUND(H52-H56,0)</f>
        <v>108080143</v>
      </c>
    </row>
    <row r="58" customFormat="false" ht="15" hidden="false" customHeight="false" outlineLevel="0" collapsed="false">
      <c r="A58" s="12" t="s">
        <v>93</v>
      </c>
      <c r="B58" s="13" t="s">
        <v>94</v>
      </c>
      <c r="D58" s="20" t="n">
        <f aca="false">ROUND(MIN(D39*MAX(0,C57),MAX(0,D40*'BALANCE 2024'!I5-'BALANCE 2024'!I6)),0)</f>
        <v>2000000</v>
      </c>
      <c r="E58" s="20" t="n">
        <f aca="false">ROUND(MIN(E39*MAX(0,D57),MAX(0,E40*'BALANCE 2025'!I5-'BALANCE 2025'!I6)),0)</f>
        <v>0</v>
      </c>
      <c r="F58" s="20" t="n">
        <f aca="false">ROUND(MIN(F39*MAX(0,E57),MAX(0,F40*'BALANCE 2026'!I5-'BALANCE 2026'!I6)),0)</f>
        <v>0</v>
      </c>
      <c r="G58" s="20" t="n">
        <f aca="false">ROUND(MIN(G39*MAX(0,F57),MAX(0,G40*'BALANCE 2027'!I5-'BALANCE 2027'!I6)),0)</f>
        <v>0</v>
      </c>
      <c r="H58" s="20" t="n">
        <f aca="false">ROUND(MIN(H39*MAX(0,G57),MAX(0,H40*'BALANCE 2028'!I5-'BALANCE 2028'!I6)),0)</f>
        <v>0</v>
      </c>
    </row>
    <row r="59" customFormat="false" ht="15" hidden="false" customHeight="false" outlineLevel="0" collapsed="false">
      <c r="A59" s="12" t="s">
        <v>95</v>
      </c>
      <c r="B59" s="13" t="s">
        <v>96</v>
      </c>
      <c r="D59" s="20" t="n">
        <f aca="false">ROUND(MAX(0,C57-D58)*'INVEST ET FINANCEMENT'!D55,0)</f>
        <v>0</v>
      </c>
      <c r="E59" s="20" t="n">
        <f aca="false">ROUND(MAX(0,D57-E58)*'INVEST ET FINANCEMENT'!E55,0)</f>
        <v>0</v>
      </c>
      <c r="F59" s="20" t="n">
        <f aca="false">ROUND(MAX(0,E57-F58)*'INVEST ET FINANCEMENT'!F55,0)</f>
        <v>0</v>
      </c>
      <c r="G59" s="20" t="n">
        <f aca="false">ROUND(MAX(0,F57-G58)*'INVEST ET FINANCEMENT'!G55,0)</f>
        <v>0</v>
      </c>
      <c r="H59" s="20" t="n">
        <f aca="false">ROUND(MAX(0,G57-H58)*'INVEST ET FINANCEMENT'!H55,0)</f>
        <v>0</v>
      </c>
    </row>
    <row r="60" customFormat="false" ht="15" hidden="false" customHeight="false" outlineLevel="0" collapsed="false">
      <c r="A60" s="12" t="s">
        <v>97</v>
      </c>
      <c r="B60" s="13" t="s">
        <v>98</v>
      </c>
      <c r="D60" s="20" t="n">
        <f aca="false">ROUND(C57-D58-D59,0)</f>
        <v>70698877</v>
      </c>
      <c r="E60" s="20" t="n">
        <f aca="false">ROUND(D57-E58-E59,0)</f>
        <v>92514868</v>
      </c>
      <c r="F60" s="20" t="n">
        <f aca="false">ROUND(E57-F58-F59,0)</f>
        <v>86011527</v>
      </c>
      <c r="G60" s="20" t="n">
        <f aca="false">ROUND(F57-G58-G59,0)</f>
        <v>91478335</v>
      </c>
      <c r="H60" s="20" t="n">
        <f aca="false">ROUND(G57-H58-H59,0)</f>
        <v>100886838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ignoredErrors>
    <ignoredError sqref="A1:Z400" formula="1" formulaRange="1" unlockedFormula="1" numberStoredAsText="1" emptyCellReferenc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I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3"/>
    <col collapsed="false" customWidth="true" hidden="false" outlineLevel="0" max="8" min="3" style="0" width="15"/>
    <col collapsed="false" customWidth="true" hidden="false" outlineLevel="0" max="9" min="9" style="0" width="90"/>
  </cols>
  <sheetData>
    <row r="1" customFormat="false" ht="24" hidden="false" customHeight="true" outlineLevel="0" collapsed="false">
      <c r="A1" s="1" t="s">
        <v>99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100</v>
      </c>
    </row>
    <row r="3" customFormat="false" ht="15" hidden="false" customHeight="false" outlineLevel="0" collapsed="false">
      <c r="A3" s="3" t="s">
        <v>101</v>
      </c>
    </row>
    <row r="4" customFormat="false" ht="15" hidden="false" customHeight="false" outlineLevel="0" collapsed="false">
      <c r="A4" s="4" t="str">
        <f aca="false">"Entité : "&amp;HYPOTHESES!$C$4</f>
        <v>Entité : MON ENTREPRISE</v>
      </c>
    </row>
    <row r="7" customFormat="false" ht="15" hidden="false" customHeight="false" outlineLevel="0" collapsed="false">
      <c r="A7" s="8" t="s">
        <v>7</v>
      </c>
      <c r="B7" s="8" t="s">
        <v>8</v>
      </c>
      <c r="C7" s="8" t="str">
        <f aca="false">"Réel "&amp;HYPOTHESES!$C$5</f>
        <v>Réel 2024</v>
      </c>
      <c r="D7" s="9" t="n">
        <f aca="false">HYPOTHESES!$C$5+1</f>
        <v>2025</v>
      </c>
      <c r="E7" s="9" t="n">
        <f aca="false">HYPOTHESES!$C$5+2</f>
        <v>2026</v>
      </c>
      <c r="F7" s="9" t="n">
        <f aca="false">HYPOTHESES!$C$5+3</f>
        <v>2027</v>
      </c>
      <c r="G7" s="9" t="n">
        <f aca="false">HYPOTHESES!$C$5+4</f>
        <v>2028</v>
      </c>
      <c r="H7" s="9" t="n">
        <f aca="false">HYPOTHESES!$C$5+5</f>
        <v>2029</v>
      </c>
      <c r="I7" s="8" t="s">
        <v>9</v>
      </c>
    </row>
    <row r="8" customFormat="false" ht="15" hidden="false" customHeight="false" outlineLevel="0" collapsed="false">
      <c r="A8" s="10" t="s">
        <v>102</v>
      </c>
      <c r="B8" s="11"/>
      <c r="C8" s="11"/>
      <c r="D8" s="11"/>
      <c r="E8" s="11"/>
      <c r="F8" s="11"/>
      <c r="G8" s="11"/>
      <c r="H8" s="11"/>
      <c r="I8" s="11"/>
    </row>
    <row r="9" customFormat="false" ht="15" hidden="false" customHeight="false" outlineLevel="0" collapsed="false">
      <c r="A9" s="12" t="s">
        <v>103</v>
      </c>
      <c r="B9" s="13" t="s">
        <v>104</v>
      </c>
      <c r="C9" s="24" t="n">
        <v>0</v>
      </c>
      <c r="D9" s="16" t="n">
        <v>0</v>
      </c>
      <c r="E9" s="16" t="n">
        <v>0</v>
      </c>
      <c r="F9" s="16" t="n">
        <v>0</v>
      </c>
      <c r="G9" s="16" t="n">
        <v>0</v>
      </c>
      <c r="H9" s="16" t="n">
        <v>0</v>
      </c>
      <c r="I9" s="7" t="s">
        <v>105</v>
      </c>
    </row>
    <row r="10" customFormat="false" ht="15" hidden="false" customHeight="false" outlineLevel="0" collapsed="false">
      <c r="A10" s="12" t="s">
        <v>106</v>
      </c>
      <c r="B10" s="13" t="s">
        <v>107</v>
      </c>
      <c r="C10" s="24" t="n">
        <v>294528381</v>
      </c>
      <c r="D10" s="16" t="n">
        <v>0</v>
      </c>
      <c r="E10" s="16" t="n">
        <v>30000000</v>
      </c>
      <c r="F10" s="16" t="n">
        <v>30000000</v>
      </c>
      <c r="G10" s="16" t="n">
        <v>30000000</v>
      </c>
      <c r="H10" s="16" t="n">
        <v>30000000</v>
      </c>
      <c r="I10" s="7" t="s">
        <v>105</v>
      </c>
    </row>
    <row r="11" customFormat="false" ht="15" hidden="false" customHeight="false" outlineLevel="0" collapsed="false">
      <c r="A11" s="12" t="s">
        <v>108</v>
      </c>
      <c r="B11" s="13" t="s">
        <v>109</v>
      </c>
      <c r="C11" s="24" t="n">
        <v>14513941</v>
      </c>
      <c r="D11" s="16" t="n">
        <v>930000</v>
      </c>
      <c r="E11" s="16" t="n">
        <v>5000000</v>
      </c>
      <c r="F11" s="16" t="n">
        <v>5000000</v>
      </c>
      <c r="G11" s="16" t="n">
        <v>5000000</v>
      </c>
      <c r="H11" s="16" t="n">
        <v>5000000</v>
      </c>
      <c r="I11" s="7" t="s">
        <v>105</v>
      </c>
    </row>
    <row r="12" customFormat="false" ht="15" hidden="false" customHeight="false" outlineLevel="0" collapsed="false">
      <c r="A12" s="12" t="s">
        <v>110</v>
      </c>
      <c r="B12" s="13" t="s">
        <v>111</v>
      </c>
      <c r="C12" s="24" t="n">
        <v>55896547</v>
      </c>
      <c r="D12" s="16" t="n">
        <v>15593220</v>
      </c>
      <c r="E12" s="16" t="n">
        <v>0</v>
      </c>
      <c r="F12" s="16" t="n">
        <v>0</v>
      </c>
      <c r="G12" s="16" t="n">
        <v>40000000</v>
      </c>
      <c r="H12" s="16" t="n">
        <v>0</v>
      </c>
      <c r="I12" s="7" t="s">
        <v>105</v>
      </c>
    </row>
    <row r="13" customFormat="false" ht="15" hidden="false" customHeight="false" outlineLevel="0" collapsed="false">
      <c r="A13" s="12" t="s">
        <v>112</v>
      </c>
      <c r="B13" s="13" t="s">
        <v>113</v>
      </c>
      <c r="D13" s="16" t="n">
        <v>0</v>
      </c>
      <c r="E13" s="16" t="n">
        <v>0</v>
      </c>
      <c r="F13" s="16" t="n">
        <v>0</v>
      </c>
      <c r="G13" s="16" t="n">
        <v>0</v>
      </c>
      <c r="H13" s="16" t="n">
        <v>0</v>
      </c>
    </row>
    <row r="14" customFormat="false" ht="15" hidden="false" customHeight="false" outlineLevel="0" collapsed="false">
      <c r="A14" s="4" t="s">
        <v>114</v>
      </c>
    </row>
    <row r="15" customFormat="false" ht="15" hidden="false" customHeight="false" outlineLevel="0" collapsed="false">
      <c r="A15" s="12" t="s">
        <v>115</v>
      </c>
      <c r="C15" s="6" t="n">
        <v>10</v>
      </c>
      <c r="I15" s="7" t="s">
        <v>116</v>
      </c>
    </row>
    <row r="16" customFormat="false" ht="15" hidden="false" customHeight="false" outlineLevel="0" collapsed="false">
      <c r="A16" s="12" t="s">
        <v>117</v>
      </c>
      <c r="C16" s="6" t="n">
        <v>5</v>
      </c>
      <c r="I16" s="7" t="s">
        <v>116</v>
      </c>
    </row>
    <row r="17" customFormat="false" ht="15" hidden="false" customHeight="false" outlineLevel="0" collapsed="false">
      <c r="A17" s="12" t="s">
        <v>118</v>
      </c>
      <c r="C17" s="6" t="n">
        <v>2</v>
      </c>
      <c r="I17" s="7" t="s">
        <v>116</v>
      </c>
    </row>
    <row r="18" customFormat="false" ht="15" hidden="false" customHeight="false" outlineLevel="0" collapsed="false">
      <c r="A18" s="12" t="s">
        <v>119</v>
      </c>
      <c r="C18" s="6" t="n">
        <v>3</v>
      </c>
      <c r="I18" s="7" t="s">
        <v>116</v>
      </c>
    </row>
    <row r="19" customFormat="false" ht="15" hidden="false" customHeight="false" outlineLevel="0" collapsed="false">
      <c r="A19" s="4" t="s">
        <v>120</v>
      </c>
    </row>
    <row r="20" customFormat="false" ht="15" hidden="false" customHeight="false" outlineLevel="0" collapsed="false">
      <c r="A20" s="12" t="s">
        <v>115</v>
      </c>
      <c r="B20" s="13" t="s">
        <v>121</v>
      </c>
      <c r="D20" s="16" t="n">
        <v>19282845</v>
      </c>
      <c r="E20" s="16" t="n">
        <v>19282845</v>
      </c>
      <c r="F20" s="16" t="n">
        <v>19282845</v>
      </c>
      <c r="G20" s="16" t="n">
        <v>19282845</v>
      </c>
      <c r="H20" s="16" t="n">
        <v>19282845</v>
      </c>
      <c r="I20" s="7" t="s">
        <v>36</v>
      </c>
    </row>
    <row r="21" customFormat="false" ht="15" hidden="false" customHeight="false" outlineLevel="0" collapsed="false">
      <c r="A21" s="12" t="s">
        <v>117</v>
      </c>
      <c r="B21" s="13" t="s">
        <v>121</v>
      </c>
      <c r="D21" s="16" t="n">
        <v>28205053</v>
      </c>
      <c r="E21" s="16" t="n">
        <v>44854932</v>
      </c>
      <c r="F21" s="16" t="n">
        <v>44854932</v>
      </c>
      <c r="G21" s="16" t="n">
        <v>44854932</v>
      </c>
      <c r="H21" s="16" t="n">
        <v>44854932</v>
      </c>
      <c r="I21" s="7" t="s">
        <v>36</v>
      </c>
    </row>
    <row r="22" customFormat="false" ht="15" hidden="false" customHeight="false" outlineLevel="0" collapsed="false">
      <c r="A22" s="12" t="s">
        <v>118</v>
      </c>
      <c r="B22" s="13" t="s">
        <v>121</v>
      </c>
      <c r="D22" s="16" t="n">
        <v>4934884</v>
      </c>
      <c r="E22" s="16" t="n">
        <v>4934884</v>
      </c>
      <c r="F22" s="16" t="n">
        <v>4934884</v>
      </c>
      <c r="G22" s="16" t="n">
        <v>4934884</v>
      </c>
      <c r="H22" s="16" t="n">
        <v>4934884</v>
      </c>
      <c r="I22" s="7" t="s">
        <v>36</v>
      </c>
    </row>
    <row r="23" customFormat="false" ht="15" hidden="false" customHeight="false" outlineLevel="0" collapsed="false">
      <c r="A23" s="12" t="s">
        <v>119</v>
      </c>
      <c r="B23" s="13" t="s">
        <v>121</v>
      </c>
      <c r="D23" s="16" t="n">
        <v>13760638</v>
      </c>
      <c r="E23" s="16" t="n">
        <v>10760638</v>
      </c>
      <c r="F23" s="16" t="n">
        <v>10760638</v>
      </c>
      <c r="G23" s="16" t="n">
        <v>10760638</v>
      </c>
      <c r="H23" s="16" t="n">
        <v>10760638</v>
      </c>
      <c r="I23" s="7" t="s">
        <v>36</v>
      </c>
    </row>
    <row r="24" customFormat="false" ht="15" hidden="false" customHeight="false" outlineLevel="0" collapsed="false">
      <c r="A24" s="12" t="s">
        <v>122</v>
      </c>
      <c r="B24" s="13" t="s">
        <v>104</v>
      </c>
      <c r="C24" s="20" t="n">
        <v>61665016</v>
      </c>
      <c r="I24" s="7" t="s">
        <v>123</v>
      </c>
    </row>
    <row r="25" customFormat="false" ht="15" hidden="false" customHeight="false" outlineLevel="0" collapsed="false">
      <c r="A25" s="12" t="s">
        <v>124</v>
      </c>
      <c r="B25" s="13" t="s">
        <v>107</v>
      </c>
      <c r="C25" s="20" t="n">
        <v>257861504</v>
      </c>
      <c r="I25" s="7" t="s">
        <v>123</v>
      </c>
    </row>
    <row r="26" customFormat="false" ht="15" hidden="false" customHeight="false" outlineLevel="0" collapsed="false">
      <c r="A26" s="12" t="s">
        <v>125</v>
      </c>
      <c r="B26" s="13" t="s">
        <v>109</v>
      </c>
      <c r="C26" s="20" t="n">
        <v>9579057</v>
      </c>
      <c r="I26" s="7" t="s">
        <v>123</v>
      </c>
    </row>
    <row r="27" customFormat="false" ht="15" hidden="false" customHeight="false" outlineLevel="0" collapsed="false">
      <c r="A27" s="12" t="s">
        <v>126</v>
      </c>
      <c r="B27" s="13" t="s">
        <v>111</v>
      </c>
      <c r="C27" s="20" t="n">
        <v>73755603</v>
      </c>
      <c r="I27" s="7" t="s">
        <v>123</v>
      </c>
    </row>
    <row r="28" customFormat="false" ht="15" hidden="false" customHeight="false" outlineLevel="0" collapsed="false">
      <c r="A28" s="10" t="s">
        <v>127</v>
      </c>
      <c r="B28" s="11"/>
      <c r="C28" s="11"/>
      <c r="D28" s="11"/>
      <c r="E28" s="11"/>
      <c r="F28" s="11"/>
      <c r="G28" s="11"/>
      <c r="H28" s="11"/>
      <c r="I28" s="11"/>
    </row>
    <row r="29" customFormat="false" ht="15" hidden="false" customHeight="false" outlineLevel="0" collapsed="false">
      <c r="A29" s="12" t="s">
        <v>128</v>
      </c>
      <c r="B29" s="13" t="s">
        <v>121</v>
      </c>
      <c r="D29" s="20" t="n">
        <f aca="false">ROUND(MIN(D20,$C24),0)</f>
        <v>19282845</v>
      </c>
      <c r="E29" s="20" t="n">
        <f aca="false">ROUND(MIN(E20,$C24-SUM($D29:D29)),0)</f>
        <v>19282845</v>
      </c>
      <c r="F29" s="20" t="n">
        <f aca="false">ROUND(MIN(F20,$C24-SUM($D29:E29)),0)</f>
        <v>19282845</v>
      </c>
      <c r="G29" s="20" t="n">
        <f aca="false">ROUND(MIN(G20,$C24-SUM($D29:F29)),0)</f>
        <v>3816481</v>
      </c>
      <c r="H29" s="20" t="n">
        <f aca="false">ROUND(MIN(H20,$C24-SUM($D29:G29)),0)</f>
        <v>0</v>
      </c>
    </row>
    <row r="30" customFormat="false" ht="15" hidden="false" customHeight="false" outlineLevel="0" collapsed="false">
      <c r="A30" s="12" t="s">
        <v>129</v>
      </c>
      <c r="B30" s="13" t="s">
        <v>121</v>
      </c>
      <c r="D30" s="20" t="n">
        <f aca="false">ROUND(SUMPRODUCT($D9:D9/$C15*((D$7-$D$7:D$7)&lt;$C15)),0)</f>
        <v>0</v>
      </c>
      <c r="E30" s="20" t="n">
        <f aca="false">ROUND(SUMPRODUCT($D9:E9/$C15*((E$7-$D$7:E$7)&lt;$C15)),0)</f>
        <v>0</v>
      </c>
      <c r="F30" s="20" t="n">
        <f aca="false">ROUND(SUMPRODUCT($D9:F9/$C15*((F$7-$D$7:F$7)&lt;$C15)),0)</f>
        <v>0</v>
      </c>
      <c r="G30" s="20" t="n">
        <f aca="false">ROUND(SUMPRODUCT($D9:G9/$C15*((G$7-$D$7:G$7)&lt;$C15)),0)</f>
        <v>0</v>
      </c>
      <c r="H30" s="20" t="n">
        <f aca="false">ROUND(SUMPRODUCT($D9:H9/$C15*((H$7-$D$7:H$7)&lt;$C15)),0)</f>
        <v>0</v>
      </c>
    </row>
    <row r="31" customFormat="false" ht="15" hidden="false" customHeight="false" outlineLevel="0" collapsed="false">
      <c r="A31" s="12" t="s">
        <v>130</v>
      </c>
      <c r="B31" s="13" t="s">
        <v>121</v>
      </c>
      <c r="D31" s="20" t="n">
        <f aca="false">ROUND(D29+D30,0)</f>
        <v>19282845</v>
      </c>
      <c r="E31" s="20" t="n">
        <f aca="false">ROUND(E29+E30,0)</f>
        <v>19282845</v>
      </c>
      <c r="F31" s="20" t="n">
        <f aca="false">ROUND(F29+F30,0)</f>
        <v>19282845</v>
      </c>
      <c r="G31" s="20" t="n">
        <f aca="false">ROUND(G29+G30,0)</f>
        <v>3816481</v>
      </c>
      <c r="H31" s="20" t="n">
        <f aca="false">ROUND(H29+H30,0)</f>
        <v>0</v>
      </c>
    </row>
    <row r="32" customFormat="false" ht="15" hidden="false" customHeight="false" outlineLevel="0" collapsed="false">
      <c r="A32" s="12" t="s">
        <v>131</v>
      </c>
      <c r="B32" s="13" t="s">
        <v>121</v>
      </c>
      <c r="D32" s="20" t="n">
        <f aca="false">ROUND(MIN(D21,$C25),0)</f>
        <v>28205053</v>
      </c>
      <c r="E32" s="20" t="n">
        <f aca="false">ROUND(MIN(E21,$C25-SUM($D32:D32)),0)</f>
        <v>44854932</v>
      </c>
      <c r="F32" s="20" t="n">
        <f aca="false">ROUND(MIN(F21,$C25-SUM($D32:E32)),0)</f>
        <v>44854932</v>
      </c>
      <c r="G32" s="20" t="n">
        <f aca="false">ROUND(MIN(G21,$C25-SUM($D32:F32)),0)</f>
        <v>44854932</v>
      </c>
      <c r="H32" s="20" t="n">
        <f aca="false">ROUND(MIN(H21,$C25-SUM($D32:G32)),0)</f>
        <v>44854932</v>
      </c>
    </row>
    <row r="33" customFormat="false" ht="15" hidden="false" customHeight="false" outlineLevel="0" collapsed="false">
      <c r="A33" s="12" t="s">
        <v>132</v>
      </c>
      <c r="B33" s="13" t="s">
        <v>121</v>
      </c>
      <c r="D33" s="20" t="n">
        <f aca="false">ROUND(SUMPRODUCT($D10:D10/$C16*((D$7-$D$7:D$7)&lt;$C16)),0)</f>
        <v>0</v>
      </c>
      <c r="E33" s="20" t="n">
        <f aca="false">ROUND(SUMPRODUCT($D10:E10/$C16*((E$7-$D$7:E$7)&lt;$C16)),0)</f>
        <v>6000000</v>
      </c>
      <c r="F33" s="20" t="n">
        <f aca="false">ROUND(SUMPRODUCT($D10:F10/$C16*((F$7-$D$7:F$7)&lt;$C16)),0)</f>
        <v>12000000</v>
      </c>
      <c r="G33" s="20" t="n">
        <f aca="false">ROUND(SUMPRODUCT($D10:G10/$C16*((G$7-$D$7:G$7)&lt;$C16)),0)</f>
        <v>18000000</v>
      </c>
      <c r="H33" s="20" t="n">
        <f aca="false">ROUND(SUMPRODUCT($D10:H10/$C16*((H$7-$D$7:H$7)&lt;$C16)),0)</f>
        <v>24000000</v>
      </c>
    </row>
    <row r="34" customFormat="false" ht="15" hidden="false" customHeight="false" outlineLevel="0" collapsed="false">
      <c r="A34" s="12" t="s">
        <v>133</v>
      </c>
      <c r="B34" s="13" t="s">
        <v>121</v>
      </c>
      <c r="D34" s="20" t="n">
        <f aca="false">ROUND(D32+D33,0)</f>
        <v>28205053</v>
      </c>
      <c r="E34" s="20" t="n">
        <f aca="false">ROUND(E32+E33,0)</f>
        <v>50854932</v>
      </c>
      <c r="F34" s="20" t="n">
        <f aca="false">ROUND(F32+F33,0)</f>
        <v>56854932</v>
      </c>
      <c r="G34" s="20" t="n">
        <f aca="false">ROUND(G32+G33,0)</f>
        <v>62854932</v>
      </c>
      <c r="H34" s="20" t="n">
        <f aca="false">ROUND(H32+H33,0)</f>
        <v>68854932</v>
      </c>
    </row>
    <row r="35" customFormat="false" ht="15" hidden="false" customHeight="false" outlineLevel="0" collapsed="false">
      <c r="A35" s="12" t="s">
        <v>134</v>
      </c>
      <c r="B35" s="13" t="s">
        <v>121</v>
      </c>
      <c r="D35" s="20" t="n">
        <f aca="false">ROUND(MIN(D22,$C26),0)</f>
        <v>4934884</v>
      </c>
      <c r="E35" s="20" t="n">
        <f aca="false">ROUND(MIN(E22,$C26-SUM($D35:D35)),0)</f>
        <v>4644173</v>
      </c>
      <c r="F35" s="20" t="n">
        <f aca="false">ROUND(MIN(F22,$C26-SUM($D35:E35)),0)</f>
        <v>0</v>
      </c>
      <c r="G35" s="20" t="n">
        <f aca="false">ROUND(MIN(G22,$C26-SUM($D35:F35)),0)</f>
        <v>0</v>
      </c>
      <c r="H35" s="20" t="n">
        <f aca="false">ROUND(MIN(H22,$C26-SUM($D35:G35)),0)</f>
        <v>0</v>
      </c>
    </row>
    <row r="36" customFormat="false" ht="15" hidden="false" customHeight="false" outlineLevel="0" collapsed="false">
      <c r="A36" s="12" t="s">
        <v>135</v>
      </c>
      <c r="B36" s="13" t="s">
        <v>121</v>
      </c>
      <c r="D36" s="20" t="n">
        <f aca="false">ROUND(SUMPRODUCT($D11:D11/$C17*((D$7-$D$7:D$7)&lt;$C17)),0)</f>
        <v>465000</v>
      </c>
      <c r="E36" s="20" t="n">
        <f aca="false">ROUND(SUMPRODUCT($D11:E11/$C17*((E$7-$D$7:E$7)&lt;$C17)),0)</f>
        <v>2965000</v>
      </c>
      <c r="F36" s="20" t="n">
        <f aca="false">ROUND(SUMPRODUCT($D11:F11/$C17*((F$7-$D$7:F$7)&lt;$C17)),0)</f>
        <v>5000000</v>
      </c>
      <c r="G36" s="20" t="n">
        <f aca="false">ROUND(SUMPRODUCT($D11:G11/$C17*((G$7-$D$7:G$7)&lt;$C17)),0)</f>
        <v>5000000</v>
      </c>
      <c r="H36" s="20" t="n">
        <f aca="false">ROUND(SUMPRODUCT($D11:H11/$C17*((H$7-$D$7:H$7)&lt;$C17)),0)</f>
        <v>5000000</v>
      </c>
    </row>
    <row r="37" customFormat="false" ht="15" hidden="false" customHeight="false" outlineLevel="0" collapsed="false">
      <c r="A37" s="12" t="s">
        <v>136</v>
      </c>
      <c r="B37" s="13" t="s">
        <v>121</v>
      </c>
      <c r="D37" s="20" t="n">
        <f aca="false">ROUND(D35+D36,0)</f>
        <v>5399884</v>
      </c>
      <c r="E37" s="20" t="n">
        <f aca="false">ROUND(E35+E36,0)</f>
        <v>7609173</v>
      </c>
      <c r="F37" s="20" t="n">
        <f aca="false">ROUND(F35+F36,0)</f>
        <v>5000000</v>
      </c>
      <c r="G37" s="20" t="n">
        <f aca="false">ROUND(G35+G36,0)</f>
        <v>5000000</v>
      </c>
      <c r="H37" s="20" t="n">
        <f aca="false">ROUND(H35+H36,0)</f>
        <v>5000000</v>
      </c>
    </row>
    <row r="38" customFormat="false" ht="15" hidden="false" customHeight="false" outlineLevel="0" collapsed="false">
      <c r="A38" s="12" t="s">
        <v>137</v>
      </c>
      <c r="B38" s="13" t="s">
        <v>121</v>
      </c>
      <c r="D38" s="20" t="n">
        <f aca="false">ROUND(MIN(D23,$C27),0)</f>
        <v>13760638</v>
      </c>
      <c r="E38" s="20" t="n">
        <f aca="false">ROUND(MIN(E23,$C27-SUM($D38:D38)),0)</f>
        <v>10760638</v>
      </c>
      <c r="F38" s="20" t="n">
        <f aca="false">ROUND(MIN(F23,$C27-SUM($D38:E38)),0)</f>
        <v>10760638</v>
      </c>
      <c r="G38" s="20" t="n">
        <f aca="false">ROUND(MIN(G23,$C27-SUM($D38:F38)),0)</f>
        <v>10760638</v>
      </c>
      <c r="H38" s="20" t="n">
        <f aca="false">ROUND(MIN(H23,$C27-SUM($D38:G38)),0)</f>
        <v>10760638</v>
      </c>
    </row>
    <row r="39" customFormat="false" ht="15" hidden="false" customHeight="false" outlineLevel="0" collapsed="false">
      <c r="A39" s="12" t="s">
        <v>138</v>
      </c>
      <c r="B39" s="13" t="s">
        <v>121</v>
      </c>
      <c r="D39" s="20" t="n">
        <f aca="false">ROUND(SUMPRODUCT($D12:D12/$C18*((D$7-$D$7:D$7)&lt;$C18)),0)</f>
        <v>5197740</v>
      </c>
      <c r="E39" s="20" t="n">
        <f aca="false">ROUND(SUMPRODUCT($D12:E12/$C18*((E$7-$D$7:E$7)&lt;$C18)),0)</f>
        <v>5197740</v>
      </c>
      <c r="F39" s="20" t="n">
        <f aca="false">ROUND(SUMPRODUCT($D12:F12/$C18*((F$7-$D$7:F$7)&lt;$C18)),0)</f>
        <v>5197740</v>
      </c>
      <c r="G39" s="20" t="n">
        <f aca="false">ROUND(SUMPRODUCT($D12:G12/$C18*((G$7-$D$7:G$7)&lt;$C18)),0)</f>
        <v>13333333</v>
      </c>
      <c r="H39" s="20" t="n">
        <f aca="false">ROUND(SUMPRODUCT($D12:H12/$C18*((H$7-$D$7:H$7)&lt;$C18)),0)</f>
        <v>13333333</v>
      </c>
    </row>
    <row r="40" customFormat="false" ht="15" hidden="false" customHeight="false" outlineLevel="0" collapsed="false">
      <c r="A40" s="12" t="s">
        <v>139</v>
      </c>
      <c r="B40" s="13" t="s">
        <v>121</v>
      </c>
      <c r="D40" s="20" t="n">
        <f aca="false">ROUND(D38+D39,0)</f>
        <v>18958378</v>
      </c>
      <c r="E40" s="20" t="n">
        <f aca="false">ROUND(E38+E39,0)</f>
        <v>15958378</v>
      </c>
      <c r="F40" s="20" t="n">
        <f aca="false">ROUND(F38+F39,0)</f>
        <v>15958378</v>
      </c>
      <c r="G40" s="20" t="n">
        <f aca="false">ROUND(G38+G39,0)</f>
        <v>24093971</v>
      </c>
      <c r="H40" s="20" t="n">
        <f aca="false">ROUND(H38+H39,0)</f>
        <v>24093971</v>
      </c>
    </row>
    <row r="41" customFormat="false" ht="15" hidden="false" customHeight="false" outlineLevel="0" collapsed="false">
      <c r="A41" s="4" t="s">
        <v>140</v>
      </c>
      <c r="B41" s="13"/>
      <c r="C41" s="21" t="n">
        <f aca="false">ROUND(C9+C10+C11+C12,0)</f>
        <v>364938869</v>
      </c>
      <c r="D41" s="21" t="n">
        <f aca="false">ROUND(D9+D10+D11+D12,0)</f>
        <v>16523220</v>
      </c>
      <c r="E41" s="21" t="n">
        <f aca="false">ROUND(E9+E10+E11+E12,0)</f>
        <v>35000000</v>
      </c>
      <c r="F41" s="21" t="n">
        <f aca="false">ROUND(F9+F10+F11+F12,0)</f>
        <v>35000000</v>
      </c>
      <c r="G41" s="21" t="n">
        <f aca="false">ROUND(G9+G10+G11+G12,0)</f>
        <v>75000000</v>
      </c>
      <c r="H41" s="21" t="n">
        <f aca="false">ROUND(H9+H10+H11+H12,0)</f>
        <v>35000000</v>
      </c>
    </row>
    <row r="42" customFormat="false" ht="15" hidden="false" customHeight="false" outlineLevel="0" collapsed="false">
      <c r="A42" s="4" t="s">
        <v>141</v>
      </c>
      <c r="B42" s="13" t="s">
        <v>121</v>
      </c>
      <c r="C42" s="23" t="n">
        <f aca="false">ROUND(SUMIFS('BALANCE 2024'!$H:$H,'BALANCE 2024'!$A:$A,"&gt;=681000",'BALANCE 2024'!$A:$A,"&lt;682000"),0)</f>
        <v>79833299</v>
      </c>
      <c r="D42" s="21" t="n">
        <f aca="false">ROUND(D31+D34+D37+D40,0)</f>
        <v>71846160</v>
      </c>
      <c r="E42" s="21" t="n">
        <f aca="false">ROUND(E31+E34+E37+E40,0)</f>
        <v>93705328</v>
      </c>
      <c r="F42" s="21" t="n">
        <f aca="false">ROUND(F31+F34+F37+F40,0)</f>
        <v>97096155</v>
      </c>
      <c r="G42" s="21" t="n">
        <f aca="false">ROUND(G31+G34+G37+G40,0)</f>
        <v>95765384</v>
      </c>
      <c r="H42" s="21" t="n">
        <f aca="false">ROUND(H31+H34+H37+H40,0)</f>
        <v>97948903</v>
      </c>
    </row>
    <row r="43" customFormat="false" ht="15" hidden="false" customHeight="false" outlineLevel="0" collapsed="false">
      <c r="A43" s="12" t="s">
        <v>142</v>
      </c>
      <c r="B43" s="13" t="s">
        <v>143</v>
      </c>
      <c r="C43" s="15" t="n">
        <f aca="false">ROUND(SUMIFS('BALANCE 2024'!$H:$H,'BALANCE 2024'!$C:$C,"AJ")+SUMIFS('BALANCE 2024'!$H:$H,'BALANCE 2024'!$C:$C,"AK")+SUMIFS('BALANCE 2024'!$H:$H,'BALANCE 2024'!$C:$C,"AL")+SUMIFS('BALANCE 2024'!$H:$H,'BALANCE 2024'!$C:$C,"AM")+SUMIFS('BALANCE 2024'!$H:$H,'BALANCE 2024'!$C:$C,"AN"),0)</f>
        <v>876398854</v>
      </c>
      <c r="D43" s="20" t="n">
        <f aca="false">ROUND(C43+D41,0)</f>
        <v>892922074</v>
      </c>
      <c r="E43" s="20" t="n">
        <f aca="false">ROUND(D43+E41,0)</f>
        <v>927922074</v>
      </c>
      <c r="F43" s="20" t="n">
        <f aca="false">ROUND(E43+F41,0)</f>
        <v>962922074</v>
      </c>
      <c r="G43" s="20" t="n">
        <f aca="false">ROUND(F43+G41,0)</f>
        <v>1037922074</v>
      </c>
      <c r="H43" s="20" t="n">
        <f aca="false">ROUND(G43+H41,0)</f>
        <v>1072922074</v>
      </c>
    </row>
    <row r="44" customFormat="false" ht="15" hidden="false" customHeight="false" outlineLevel="0" collapsed="false">
      <c r="A44" s="12" t="s">
        <v>144</v>
      </c>
      <c r="B44" s="13" t="s">
        <v>145</v>
      </c>
      <c r="C44" s="15" t="n">
        <f aca="false">ROUND(SUMIFS('BALANCE 2024'!$I:$I,'BALANCE 2024'!$C:$C,"AJ")+SUMIFS('BALANCE 2024'!$I:$I,'BALANCE 2024'!$C:$C,"AK")+SUMIFS('BALANCE 2024'!$I:$I,'BALANCE 2024'!$C:$C,"AL")+SUMIFS('BALANCE 2024'!$I:$I,'BALANCE 2024'!$C:$C,"AM")+SUMIFS('BALANCE 2024'!$I:$I,'BALANCE 2024'!$C:$C,"AN"),0)</f>
        <v>473537674</v>
      </c>
      <c r="D44" s="20" t="n">
        <f aca="false">ROUND(C44+D42,0)</f>
        <v>545383834</v>
      </c>
      <c r="E44" s="20" t="n">
        <f aca="false">ROUND(D44+E42,0)</f>
        <v>639089162</v>
      </c>
      <c r="F44" s="20" t="n">
        <f aca="false">ROUND(E44+F42,0)</f>
        <v>736185317</v>
      </c>
      <c r="G44" s="20" t="n">
        <f aca="false">ROUND(F44+G42,0)</f>
        <v>831950701</v>
      </c>
      <c r="H44" s="20" t="n">
        <f aca="false">ROUND(G44+H42,0)</f>
        <v>929899604</v>
      </c>
    </row>
    <row r="45" customFormat="false" ht="15" hidden="false" customHeight="false" outlineLevel="0" collapsed="false">
      <c r="A45" s="4" t="s">
        <v>146</v>
      </c>
      <c r="B45" s="13" t="s">
        <v>147</v>
      </c>
      <c r="C45" s="21" t="n">
        <f aca="false">ROUND(C43-C44,0)</f>
        <v>402861180</v>
      </c>
      <c r="D45" s="21" t="n">
        <f aca="false">ROUND(D43-D44,0)</f>
        <v>347538240</v>
      </c>
      <c r="E45" s="21" t="n">
        <f aca="false">ROUND(E43-E44,0)</f>
        <v>288832912</v>
      </c>
      <c r="F45" s="21" t="n">
        <f aca="false">ROUND(F43-F44,0)</f>
        <v>226736757</v>
      </c>
      <c r="G45" s="21" t="n">
        <f aca="false">ROUND(G43-G44,0)</f>
        <v>205971373</v>
      </c>
      <c r="H45" s="21" t="n">
        <f aca="false">ROUND(H43-H44,0)</f>
        <v>143022470</v>
      </c>
    </row>
    <row r="46" customFormat="false" ht="15" hidden="false" customHeight="false" outlineLevel="0" collapsed="false">
      <c r="A46" s="10" t="s">
        <v>148</v>
      </c>
      <c r="B46" s="11"/>
      <c r="C46" s="11"/>
      <c r="D46" s="11"/>
      <c r="E46" s="11"/>
      <c r="F46" s="11"/>
      <c r="G46" s="11"/>
      <c r="H46" s="11"/>
      <c r="I46" s="11"/>
    </row>
    <row r="47" customFormat="false" ht="15" hidden="false" customHeight="false" outlineLevel="0" collapsed="false">
      <c r="A47" s="12" t="s">
        <v>149</v>
      </c>
      <c r="B47" s="13" t="s">
        <v>150</v>
      </c>
      <c r="D47" s="16" t="n">
        <v>54395682</v>
      </c>
      <c r="E47" s="16" t="n">
        <v>0</v>
      </c>
      <c r="F47" s="16" t="n">
        <v>0</v>
      </c>
      <c r="G47" s="16" t="n">
        <v>0</v>
      </c>
      <c r="H47" s="16" t="n">
        <v>0</v>
      </c>
    </row>
    <row r="48" customFormat="false" ht="15" hidden="false" customHeight="false" outlineLevel="0" collapsed="false">
      <c r="A48" s="12" t="s">
        <v>151</v>
      </c>
      <c r="B48" s="13" t="s">
        <v>150</v>
      </c>
      <c r="D48" s="16" t="n">
        <v>94054514</v>
      </c>
      <c r="E48" s="16" t="n">
        <v>0</v>
      </c>
      <c r="F48" s="16" t="n">
        <v>0</v>
      </c>
      <c r="G48" s="16" t="n">
        <v>0</v>
      </c>
      <c r="H48" s="16" t="n">
        <v>0</v>
      </c>
      <c r="I48" s="7" t="s">
        <v>152</v>
      </c>
    </row>
    <row r="49" customFormat="false" ht="15" hidden="false" customHeight="false" outlineLevel="0" collapsed="false">
      <c r="A49" s="12" t="s">
        <v>153</v>
      </c>
      <c r="B49" s="13" t="s">
        <v>154</v>
      </c>
      <c r="D49" s="16" t="n">
        <v>10619694</v>
      </c>
      <c r="E49" s="16" t="n">
        <v>0</v>
      </c>
      <c r="F49" s="16" t="n">
        <v>0</v>
      </c>
      <c r="G49" s="16" t="n">
        <v>0</v>
      </c>
      <c r="H49" s="16" t="n">
        <v>0</v>
      </c>
      <c r="I49" s="7" t="s">
        <v>155</v>
      </c>
    </row>
    <row r="50" customFormat="false" ht="15" hidden="false" customHeight="false" outlineLevel="0" collapsed="false">
      <c r="A50" s="12" t="s">
        <v>156</v>
      </c>
      <c r="B50" s="13" t="s">
        <v>12</v>
      </c>
      <c r="D50" s="14" t="n">
        <v>0.06</v>
      </c>
      <c r="E50" s="14" t="n">
        <v>0.08</v>
      </c>
      <c r="F50" s="14" t="n">
        <v>0.08</v>
      </c>
      <c r="G50" s="14" t="n">
        <v>0.08</v>
      </c>
      <c r="H50" s="14" t="n">
        <v>0.08</v>
      </c>
      <c r="I50" s="7" t="s">
        <v>157</v>
      </c>
    </row>
    <row r="51" customFormat="false" ht="15" hidden="false" customHeight="false" outlineLevel="0" collapsed="false">
      <c r="A51" s="12" t="s">
        <v>158</v>
      </c>
      <c r="B51" s="13" t="s">
        <v>159</v>
      </c>
      <c r="D51" s="16" t="n">
        <v>0</v>
      </c>
      <c r="E51" s="16" t="n">
        <v>0</v>
      </c>
      <c r="F51" s="16" t="n">
        <v>0</v>
      </c>
      <c r="G51" s="16" t="n">
        <v>0</v>
      </c>
      <c r="H51" s="16" t="n">
        <v>0</v>
      </c>
    </row>
    <row r="52" customFormat="false" ht="15" hidden="false" customHeight="false" outlineLevel="0" collapsed="false">
      <c r="A52" s="12" t="s">
        <v>160</v>
      </c>
      <c r="B52" s="13" t="s">
        <v>161</v>
      </c>
      <c r="D52" s="14" t="n">
        <v>1</v>
      </c>
      <c r="E52" s="14" t="n">
        <v>0</v>
      </c>
      <c r="F52" s="14" t="n">
        <v>0</v>
      </c>
      <c r="G52" s="14" t="n">
        <v>0</v>
      </c>
      <c r="H52" s="14" t="n">
        <v>0</v>
      </c>
      <c r="I52" s="7" t="s">
        <v>162</v>
      </c>
    </row>
    <row r="53" customFormat="false" ht="15" hidden="false" customHeight="false" outlineLevel="0" collapsed="false">
      <c r="A53" s="12" t="s">
        <v>163</v>
      </c>
      <c r="B53" s="13" t="s">
        <v>161</v>
      </c>
      <c r="D53" s="16" t="n">
        <v>0</v>
      </c>
      <c r="E53" s="16" t="n">
        <v>0</v>
      </c>
      <c r="F53" s="16" t="n">
        <v>0</v>
      </c>
      <c r="G53" s="16" t="n">
        <v>0</v>
      </c>
      <c r="H53" s="16" t="n">
        <v>0</v>
      </c>
    </row>
    <row r="54" customFormat="false" ht="15" hidden="false" customHeight="false" outlineLevel="0" collapsed="false">
      <c r="A54" s="12" t="s">
        <v>164</v>
      </c>
      <c r="B54" s="13" t="s">
        <v>161</v>
      </c>
      <c r="C54" s="15" t="n">
        <f aca="false">ROUND(SUMIFS('BALANCE 2024'!$I:$I,'BALANCE 2024'!$A:$A,462100)-SUMIFS('BALANCE 2024'!$H:$H,'BALANCE 2024'!$A:$A,462100),0)</f>
        <v>3700000</v>
      </c>
      <c r="D54" s="20" t="n">
        <f aca="false">ROUND($C54*MAX(0,1-SUM($D52:D52))+SUM($D53:D53),0)</f>
        <v>0</v>
      </c>
      <c r="E54" s="20" t="n">
        <f aca="false">ROUND($C54*MAX(0,1-SUM($D52:E52))+SUM($D53:E53),0)</f>
        <v>0</v>
      </c>
      <c r="F54" s="20" t="n">
        <f aca="false">ROUND($C54*MAX(0,1-SUM($D52:F52))+SUM($D53:F53),0)</f>
        <v>0</v>
      </c>
      <c r="G54" s="20" t="n">
        <f aca="false">ROUND($C54*MAX(0,1-SUM($D52:G52))+SUM($D53:G53),0)</f>
        <v>0</v>
      </c>
      <c r="H54" s="20" t="n">
        <f aca="false">ROUND($C54*MAX(0,1-SUM($D52:H52))+SUM($D53:H53),0)</f>
        <v>0</v>
      </c>
    </row>
    <row r="55" customFormat="false" ht="15" hidden="false" customHeight="false" outlineLevel="0" collapsed="false">
      <c r="A55" s="12" t="s">
        <v>165</v>
      </c>
      <c r="B55" s="13" t="s">
        <v>12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7" t="s">
        <v>166</v>
      </c>
    </row>
    <row r="56" customFormat="false" ht="15" hidden="false" customHeight="false" outlineLevel="0" collapsed="false">
      <c r="A56" s="10" t="s">
        <v>167</v>
      </c>
      <c r="B56" s="11"/>
      <c r="C56" s="11"/>
      <c r="D56" s="11"/>
      <c r="E56" s="11"/>
      <c r="F56" s="11"/>
      <c r="G56" s="11"/>
      <c r="H56" s="11"/>
      <c r="I56" s="11"/>
    </row>
    <row r="57" customFormat="false" ht="15" hidden="false" customHeight="false" outlineLevel="0" collapsed="false">
      <c r="A57" s="12" t="s">
        <v>168</v>
      </c>
      <c r="B57" s="13" t="s">
        <v>150</v>
      </c>
      <c r="D57" s="20" t="n">
        <f aca="false">ROUND('BALANCE 2024'!I9,0)</f>
        <v>39658832</v>
      </c>
      <c r="E57" s="20" t="n">
        <f aca="false">ROUND('BALANCE 2025'!I9,0)</f>
        <v>0</v>
      </c>
      <c r="F57" s="20" t="n">
        <f aca="false">ROUND('BALANCE 2026'!I9,0)</f>
        <v>0</v>
      </c>
      <c r="G57" s="20" t="n">
        <f aca="false">ROUND('BALANCE 2027'!I9,0)</f>
        <v>0</v>
      </c>
      <c r="H57" s="20" t="n">
        <f aca="false">ROUND('BALANCE 2028'!I9,0)</f>
        <v>0</v>
      </c>
    </row>
    <row r="58" customFormat="false" ht="15" hidden="false" customHeight="false" outlineLevel="0" collapsed="false">
      <c r="A58" s="12" t="s">
        <v>169</v>
      </c>
      <c r="B58" s="13" t="s">
        <v>150</v>
      </c>
      <c r="D58" s="20" t="n">
        <f aca="false">ROUND(D47,0)</f>
        <v>54395682</v>
      </c>
      <c r="E58" s="20" t="n">
        <f aca="false">ROUND(E47,0)</f>
        <v>0</v>
      </c>
      <c r="F58" s="20" t="n">
        <f aca="false">ROUND(F47,0)</f>
        <v>0</v>
      </c>
      <c r="G58" s="20" t="n">
        <f aca="false">ROUND(G47,0)</f>
        <v>0</v>
      </c>
      <c r="H58" s="20" t="n">
        <f aca="false">ROUND(H47,0)</f>
        <v>0</v>
      </c>
    </row>
    <row r="59" customFormat="false" ht="15" hidden="false" customHeight="false" outlineLevel="0" collapsed="false">
      <c r="A59" s="12" t="s">
        <v>170</v>
      </c>
      <c r="B59" s="13" t="s">
        <v>150</v>
      </c>
      <c r="D59" s="20" t="n">
        <f aca="false">ROUND(-D48,0)</f>
        <v>-94054514</v>
      </c>
      <c r="E59" s="20" t="n">
        <f aca="false">ROUND(-E48,0)</f>
        <v>-0</v>
      </c>
      <c r="F59" s="20" t="n">
        <f aca="false">ROUND(-F48,0)</f>
        <v>-0</v>
      </c>
      <c r="G59" s="20" t="n">
        <f aca="false">ROUND(-G48,0)</f>
        <v>-0</v>
      </c>
      <c r="H59" s="20" t="n">
        <f aca="false">ROUND(-H48,0)</f>
        <v>-0</v>
      </c>
    </row>
    <row r="60" customFormat="false" ht="15" hidden="false" customHeight="false" outlineLevel="0" collapsed="false">
      <c r="A60" s="4" t="s">
        <v>171</v>
      </c>
      <c r="B60" s="13" t="s">
        <v>172</v>
      </c>
      <c r="C60" s="23" t="n">
        <f aca="false">ROUND(SUMIFS('BALANCE 2024'!$I:$I,'BALANCE 2024'!$C:$C,"DA"),0)</f>
        <v>39658832</v>
      </c>
      <c r="D60" s="21" t="n">
        <f aca="false">ROUND(D57+D58+D59,0)</f>
        <v>0</v>
      </c>
      <c r="E60" s="21" t="n">
        <f aca="false">ROUND(E57+E58+E59,0)</f>
        <v>0</v>
      </c>
      <c r="F60" s="21" t="n">
        <f aca="false">ROUND(F57+F58+F59,0)</f>
        <v>0</v>
      </c>
      <c r="G60" s="21" t="n">
        <f aca="false">ROUND(G57+G58+G59,0)</f>
        <v>0</v>
      </c>
      <c r="H60" s="21" t="n">
        <f aca="false">ROUND(H57+H58+H59,0)</f>
        <v>0</v>
      </c>
    </row>
    <row r="61" customFormat="false" ht="15" hidden="false" customHeight="false" outlineLevel="0" collapsed="false">
      <c r="A61" s="12" t="s">
        <v>173</v>
      </c>
      <c r="B61" s="13" t="s">
        <v>154</v>
      </c>
      <c r="D61" s="20" t="n">
        <f aca="false">ROUND('BALANCE 2024'!I10,0)</f>
        <v>10619694</v>
      </c>
      <c r="E61" s="20" t="n">
        <f aca="false">ROUND('BALANCE 2025'!I10,0)</f>
        <v>0</v>
      </c>
      <c r="F61" s="20" t="n">
        <f aca="false">ROUND('BALANCE 2026'!I10,0)</f>
        <v>0</v>
      </c>
      <c r="G61" s="20" t="n">
        <f aca="false">ROUND('BALANCE 2027'!I10,0)</f>
        <v>0</v>
      </c>
      <c r="H61" s="20" t="n">
        <f aca="false">ROUND('BALANCE 2028'!I10,0)</f>
        <v>0</v>
      </c>
    </row>
    <row r="62" customFormat="false" ht="15" hidden="false" customHeight="false" outlineLevel="0" collapsed="false">
      <c r="A62" s="12" t="s">
        <v>170</v>
      </c>
      <c r="B62" s="13" t="s">
        <v>154</v>
      </c>
      <c r="D62" s="20" t="n">
        <f aca="false">ROUND(-D49,0)</f>
        <v>-10619694</v>
      </c>
      <c r="E62" s="20" t="n">
        <f aca="false">ROUND(-E49,0)</f>
        <v>-0</v>
      </c>
      <c r="F62" s="20" t="n">
        <f aca="false">ROUND(-F49,0)</f>
        <v>-0</v>
      </c>
      <c r="G62" s="20" t="n">
        <f aca="false">ROUND(-G49,0)</f>
        <v>-0</v>
      </c>
      <c r="H62" s="20" t="n">
        <f aca="false">ROUND(-H49,0)</f>
        <v>-0</v>
      </c>
    </row>
    <row r="63" customFormat="false" ht="15" hidden="false" customHeight="false" outlineLevel="0" collapsed="false">
      <c r="A63" s="4" t="s">
        <v>174</v>
      </c>
      <c r="B63" s="13" t="s">
        <v>175</v>
      </c>
      <c r="C63" s="23" t="n">
        <f aca="false">ROUND(SUMIFS('BALANCE 2024'!$I:$I,'BALANCE 2024'!$C:$C,"DB"),0)</f>
        <v>10619694</v>
      </c>
      <c r="D63" s="21" t="n">
        <f aca="false">ROUND(D61+D62,0)</f>
        <v>0</v>
      </c>
      <c r="E63" s="21" t="n">
        <f aca="false">ROUND(E61+E62,0)</f>
        <v>0</v>
      </c>
      <c r="F63" s="21" t="n">
        <f aca="false">ROUND(F61+F62,0)</f>
        <v>0</v>
      </c>
      <c r="G63" s="21" t="n">
        <f aca="false">ROUND(G61+G62,0)</f>
        <v>0</v>
      </c>
      <c r="H63" s="21" t="n">
        <f aca="false">ROUND(H61+H62,0)</f>
        <v>0</v>
      </c>
    </row>
    <row r="64" customFormat="false" ht="15" hidden="false" customHeight="false" outlineLevel="0" collapsed="false">
      <c r="A64" s="12" t="s">
        <v>176</v>
      </c>
      <c r="B64" s="13" t="s">
        <v>177</v>
      </c>
      <c r="C64" s="15" t="n">
        <f aca="false">ROUND(SUMIFS('BALANCE 2024'!$H:$H,'BALANCE 2024'!$A:$A,"&gt;=671000",'BALANCE 2024'!$A:$A,"&lt;672000"),0)</f>
        <v>4142819</v>
      </c>
      <c r="D64" s="20" t="n">
        <f aca="false">ROUND(D50*'BALANCE 2024'!I9,0)</f>
        <v>2379530</v>
      </c>
      <c r="E64" s="20" t="n">
        <f aca="false">ROUND(E50*'BALANCE 2025'!I9,0)</f>
        <v>0</v>
      </c>
      <c r="F64" s="20" t="n">
        <f aca="false">ROUND(F50*'BALANCE 2026'!I9,0)</f>
        <v>0</v>
      </c>
      <c r="G64" s="20" t="n">
        <f aca="false">ROUND(G50*'BALANCE 2027'!I9,0)</f>
        <v>0</v>
      </c>
      <c r="H64" s="20" t="n">
        <f aca="false">ROUND(H50*'BALANCE 2028'!I9,0)</f>
        <v>0</v>
      </c>
    </row>
    <row r="65" customFormat="false" ht="15" hidden="false" customHeight="false" outlineLevel="0" collapsed="false">
      <c r="A65" s="12" t="s">
        <v>178</v>
      </c>
      <c r="B65" s="13" t="s">
        <v>179</v>
      </c>
      <c r="C65" s="15" t="n">
        <f aca="false">ROUND(SUMIFS('BALANCE 2024'!$H:$H,'BALANCE 2024'!$A:$A,"&gt;=672000",'BALANCE 2024'!$A:$A,"&lt;673000"),0)</f>
        <v>3965478</v>
      </c>
      <c r="D65" s="20" t="n">
        <f aca="false">ROUND(D50*'BALANCE 2024'!I10,0)</f>
        <v>637182</v>
      </c>
      <c r="E65" s="20" t="n">
        <f aca="false">ROUND(E50*'BALANCE 2025'!I10,0)</f>
        <v>0</v>
      </c>
      <c r="F65" s="20" t="n">
        <f aca="false">ROUND(F50*'BALANCE 2026'!I10,0)</f>
        <v>0</v>
      </c>
      <c r="G65" s="20" t="n">
        <f aca="false">ROUND(G50*'BALANCE 2027'!I10,0)</f>
        <v>0</v>
      </c>
      <c r="H65" s="20" t="n">
        <f aca="false">ROUND(H50*'BALANCE 2028'!I10,0)</f>
        <v>0</v>
      </c>
    </row>
    <row r="66" customFormat="false" ht="15" hidden="false" customHeight="false" outlineLevel="0" collapsed="false">
      <c r="A66" s="4" t="s">
        <v>180</v>
      </c>
      <c r="B66" s="13"/>
      <c r="D66" s="21" t="n">
        <f aca="false">ROUND(D48+D49+D64+D65,0)</f>
        <v>107690920</v>
      </c>
      <c r="E66" s="21" t="n">
        <f aca="false">ROUND(E48+E49+E64+E65,0)</f>
        <v>0</v>
      </c>
      <c r="F66" s="21" t="n">
        <f aca="false">ROUND(F48+F49+F64+F65,0)</f>
        <v>0</v>
      </c>
      <c r="G66" s="21" t="n">
        <f aca="false">ROUND(G48+G49+G64+G65,0)</f>
        <v>0</v>
      </c>
      <c r="H66" s="21" t="n">
        <f aca="false">ROUND(H48+H49+H64+H65,0)</f>
        <v>0</v>
      </c>
    </row>
    <row r="67" customFormat="false" ht="15" hidden="false" customHeight="false" outlineLevel="0" collapsed="false">
      <c r="A67" s="10" t="s">
        <v>181</v>
      </c>
      <c r="B67" s="11"/>
      <c r="C67" s="11"/>
      <c r="D67" s="11"/>
      <c r="E67" s="11"/>
      <c r="F67" s="11"/>
      <c r="G67" s="11"/>
      <c r="H67" s="11"/>
      <c r="I67" s="11"/>
    </row>
    <row r="68" customFormat="false" ht="15" hidden="false" customHeight="false" outlineLevel="0" collapsed="false">
      <c r="A68" s="12" t="s">
        <v>182</v>
      </c>
      <c r="B68" s="13"/>
      <c r="D68" s="20" t="n">
        <f aca="false">ROUND(D41,0)</f>
        <v>16523220</v>
      </c>
      <c r="E68" s="20" t="n">
        <f aca="false">ROUND(E41,0)</f>
        <v>35000000</v>
      </c>
      <c r="F68" s="20" t="n">
        <f aca="false">ROUND(F41,0)</f>
        <v>35000000</v>
      </c>
      <c r="G68" s="20" t="n">
        <f aca="false">ROUND(G41,0)</f>
        <v>75000000</v>
      </c>
      <c r="H68" s="20" t="n">
        <f aca="false">ROUND(H41,0)</f>
        <v>35000000</v>
      </c>
    </row>
    <row r="69" customFormat="false" ht="15" hidden="false" customHeight="false" outlineLevel="0" collapsed="false">
      <c r="A69" s="12" t="s">
        <v>183</v>
      </c>
      <c r="B69" s="13"/>
      <c r="D69" s="20" t="n">
        <f aca="false">ROUND(D13,0)</f>
        <v>0</v>
      </c>
      <c r="E69" s="20" t="n">
        <f aca="false">ROUND(E13,0)</f>
        <v>0</v>
      </c>
      <c r="F69" s="20" t="n">
        <f aca="false">ROUND(F13,0)</f>
        <v>0</v>
      </c>
      <c r="G69" s="20" t="n">
        <f aca="false">ROUND(G13,0)</f>
        <v>0</v>
      </c>
      <c r="H69" s="20" t="n">
        <f aca="false">ROUND(H13,0)</f>
        <v>0</v>
      </c>
    </row>
    <row r="70" customFormat="false" ht="15" hidden="false" customHeight="false" outlineLevel="0" collapsed="false">
      <c r="A70" s="12" t="s">
        <v>184</v>
      </c>
      <c r="B70" s="13"/>
      <c r="D70" s="20" t="n">
        <f aca="false">ROUND(D48+D49,0)</f>
        <v>104674208</v>
      </c>
      <c r="E70" s="20" t="n">
        <f aca="false">ROUND(E48+E49,0)</f>
        <v>0</v>
      </c>
      <c r="F70" s="20" t="n">
        <f aca="false">ROUND(F48+F49,0)</f>
        <v>0</v>
      </c>
      <c r="G70" s="20" t="n">
        <f aca="false">ROUND(G48+G49,0)</f>
        <v>0</v>
      </c>
      <c r="H70" s="20" t="n">
        <f aca="false">ROUND(H48+H49,0)</f>
        <v>0</v>
      </c>
    </row>
    <row r="71" customFormat="false" ht="15" hidden="false" customHeight="false" outlineLevel="0" collapsed="false">
      <c r="A71" s="12" t="s">
        <v>185</v>
      </c>
      <c r="B71" s="13"/>
      <c r="D71" s="20" t="n">
        <f aca="false">ROUND(HYPOTHESES!D59,0)</f>
        <v>0</v>
      </c>
      <c r="E71" s="20" t="n">
        <f aca="false">ROUND(HYPOTHESES!E59,0)</f>
        <v>0</v>
      </c>
      <c r="F71" s="20" t="n">
        <f aca="false">ROUND(HYPOTHESES!F59,0)</f>
        <v>0</v>
      </c>
      <c r="G71" s="20" t="n">
        <f aca="false">ROUND(HYPOTHESES!G59,0)</f>
        <v>0</v>
      </c>
      <c r="H71" s="20" t="n">
        <f aca="false">ROUND(HYPOTHESES!H59,0)</f>
        <v>0</v>
      </c>
    </row>
    <row r="72" customFormat="false" ht="15" hidden="false" customHeight="false" outlineLevel="0" collapsed="false">
      <c r="A72" s="4" t="s">
        <v>186</v>
      </c>
      <c r="B72" s="13"/>
      <c r="D72" s="21" t="n">
        <f aca="false">ROUND(SUM(D68:D71),0)</f>
        <v>121197428</v>
      </c>
      <c r="E72" s="21" t="n">
        <f aca="false">ROUND(SUM(E68:E71),0)</f>
        <v>35000000</v>
      </c>
      <c r="F72" s="21" t="n">
        <f aca="false">ROUND(SUM(F68:F71),0)</f>
        <v>35000000</v>
      </c>
      <c r="G72" s="21" t="n">
        <f aca="false">ROUND(SUM(G68:G71),0)</f>
        <v>75000000</v>
      </c>
      <c r="H72" s="21" t="n">
        <f aca="false">ROUND(SUM(H68:H71),0)</f>
        <v>35000000</v>
      </c>
    </row>
    <row r="73" customFormat="false" ht="15" hidden="false" customHeight="false" outlineLevel="0" collapsed="false">
      <c r="A73" s="12" t="s">
        <v>187</v>
      </c>
      <c r="B73" s="13" t="s">
        <v>188</v>
      </c>
      <c r="D73" s="20" t="n">
        <f aca="false">ROUND(HYPOTHESES!D57+D42+HYPOTHESES!D50,0)</f>
        <v>170420324</v>
      </c>
      <c r="E73" s="20" t="n">
        <f aca="false">ROUND(HYPOTHESES!E57+E42+HYPOTHESES!E50,0)</f>
        <v>185776151</v>
      </c>
      <c r="F73" s="20" t="n">
        <f aca="false">ROUND(HYPOTHESES!F57+F42+HYPOTHESES!F50,0)</f>
        <v>194633786</v>
      </c>
      <c r="G73" s="20" t="n">
        <f aca="false">ROUND(HYPOTHESES!G57+G42+HYPOTHESES!G50,0)</f>
        <v>202711518</v>
      </c>
      <c r="H73" s="20" t="n">
        <f aca="false">ROUND(HYPOTHESES!H57+H42+HYPOTHESES!H50,0)</f>
        <v>212088342</v>
      </c>
    </row>
    <row r="74" customFormat="false" ht="15" hidden="false" customHeight="false" outlineLevel="0" collapsed="false">
      <c r="A74" s="12" t="s">
        <v>189</v>
      </c>
      <c r="B74" s="13"/>
      <c r="D74" s="20" t="n">
        <f aca="false">ROUND(D51,0)</f>
        <v>0</v>
      </c>
      <c r="E74" s="20" t="n">
        <f aca="false">ROUND(E51,0)</f>
        <v>0</v>
      </c>
      <c r="F74" s="20" t="n">
        <f aca="false">ROUND(F51,0)</f>
        <v>0</v>
      </c>
      <c r="G74" s="20" t="n">
        <f aca="false">ROUND(G51,0)</f>
        <v>0</v>
      </c>
      <c r="H74" s="20" t="n">
        <f aca="false">ROUND(H51,0)</f>
        <v>0</v>
      </c>
    </row>
    <row r="75" customFormat="false" ht="15" hidden="false" customHeight="false" outlineLevel="0" collapsed="false">
      <c r="A75" s="12" t="s">
        <v>190</v>
      </c>
      <c r="B75" s="13"/>
      <c r="D75" s="20" t="n">
        <f aca="false">ROUND(D47,0)</f>
        <v>54395682</v>
      </c>
      <c r="E75" s="20" t="n">
        <f aca="false">ROUND(E47,0)</f>
        <v>0</v>
      </c>
      <c r="F75" s="20" t="n">
        <f aca="false">ROUND(F47,0)</f>
        <v>0</v>
      </c>
      <c r="G75" s="20" t="n">
        <f aca="false">ROUND(G47,0)</f>
        <v>0</v>
      </c>
      <c r="H75" s="20" t="n">
        <f aca="false">ROUND(H47,0)</f>
        <v>0</v>
      </c>
    </row>
    <row r="76" customFormat="false" ht="15" hidden="false" customHeight="false" outlineLevel="0" collapsed="false">
      <c r="A76" s="4" t="s">
        <v>191</v>
      </c>
      <c r="B76" s="13"/>
      <c r="D76" s="21" t="n">
        <f aca="false">ROUND(SUM(D73:D75),0)</f>
        <v>224816006</v>
      </c>
      <c r="E76" s="21" t="n">
        <f aca="false">ROUND(SUM(E73:E75),0)</f>
        <v>185776151</v>
      </c>
      <c r="F76" s="21" t="n">
        <f aca="false">ROUND(SUM(F73:F75),0)</f>
        <v>194633786</v>
      </c>
      <c r="G76" s="21" t="n">
        <f aca="false">ROUND(SUM(G73:G75),0)</f>
        <v>202711518</v>
      </c>
      <c r="H76" s="21" t="n">
        <f aca="false">ROUND(SUM(H73:H75),0)</f>
        <v>212088342</v>
      </c>
    </row>
    <row r="77" customFormat="false" ht="15" hidden="false" customHeight="false" outlineLevel="0" collapsed="false">
      <c r="A77" s="4" t="s">
        <v>192</v>
      </c>
      <c r="B77" s="13"/>
      <c r="D77" s="21" t="n">
        <f aca="false">ROUND(D76-D72,0)</f>
        <v>103618578</v>
      </c>
      <c r="E77" s="21" t="n">
        <f aca="false">ROUND(E76-E72,0)</f>
        <v>150776151</v>
      </c>
      <c r="F77" s="21" t="n">
        <f aca="false">ROUND(F76-F72,0)</f>
        <v>159633786</v>
      </c>
      <c r="G77" s="21" t="n">
        <f aca="false">ROUND(G76-G72,0)</f>
        <v>127711518</v>
      </c>
      <c r="H77" s="21" t="n">
        <f aca="false">ROUND(H76-H72,0)</f>
        <v>177088342</v>
      </c>
      <c r="I77" s="7" t="s">
        <v>193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ignoredErrors>
    <ignoredError sqref="A1:Z400" formula="1" formulaRange="1" unlockedFormula="1" numberStoredAsText="1" emptyCellReferenc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J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6"/>
    <col collapsed="false" customWidth="true" hidden="false" outlineLevel="0" max="3" min="3" style="0" width="7"/>
    <col collapsed="false" customWidth="true" hidden="false" outlineLevel="0" max="9" min="4" style="0" width="15"/>
    <col collapsed="false" customWidth="true" hidden="false" outlineLevel="0" max="10" min="10" style="0" width="13"/>
  </cols>
  <sheetData>
    <row r="1" customFormat="false" ht="24" hidden="false" customHeight="true" outlineLevel="0" collapsed="false">
      <c r="A1" s="1" t="s">
        <v>194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195</v>
      </c>
    </row>
    <row r="3" customFormat="false" ht="15" hidden="false" customHeight="false" outlineLevel="0" collapsed="false">
      <c r="A3" s="25"/>
      <c r="B3" s="25"/>
      <c r="C3" s="25"/>
      <c r="D3" s="26" t="s">
        <v>196</v>
      </c>
      <c r="E3" s="26"/>
      <c r="F3" s="26" t="s">
        <v>197</v>
      </c>
      <c r="G3" s="26"/>
      <c r="H3" s="26" t="s">
        <v>198</v>
      </c>
      <c r="I3" s="26"/>
      <c r="J3" s="27" t="s">
        <v>199</v>
      </c>
    </row>
    <row r="4" customFormat="false" ht="15" hidden="false" customHeight="false" outlineLevel="0" collapsed="false">
      <c r="A4" s="8" t="s">
        <v>200</v>
      </c>
      <c r="B4" s="8" t="s">
        <v>201</v>
      </c>
      <c r="C4" s="8" t="s">
        <v>202</v>
      </c>
      <c r="D4" s="8" t="s">
        <v>203</v>
      </c>
      <c r="E4" s="8" t="s">
        <v>204</v>
      </c>
      <c r="F4" s="8" t="s">
        <v>203</v>
      </c>
      <c r="G4" s="8" t="s">
        <v>204</v>
      </c>
      <c r="H4" s="8" t="s">
        <v>203</v>
      </c>
      <c r="I4" s="8" t="s">
        <v>204</v>
      </c>
      <c r="J4" s="8" t="s">
        <v>205</v>
      </c>
    </row>
    <row r="5" customFormat="false" ht="15" hidden="false" customHeight="false" outlineLevel="0" collapsed="false">
      <c r="A5" s="28" t="n">
        <v>101000</v>
      </c>
      <c r="B5" s="29" t="s">
        <v>206</v>
      </c>
      <c r="C5" s="30" t="s">
        <v>207</v>
      </c>
      <c r="D5" s="31" t="n">
        <v>0</v>
      </c>
      <c r="E5" s="31" t="n">
        <v>10000000</v>
      </c>
      <c r="F5" s="31" t="n">
        <v>0</v>
      </c>
      <c r="G5" s="31" t="n">
        <v>0</v>
      </c>
      <c r="H5" s="31" t="n">
        <v>0</v>
      </c>
      <c r="I5" s="31" t="n">
        <v>10000000</v>
      </c>
      <c r="J5" s="32" t="n">
        <f aca="false">(D5-E5)+(F5-G5)-(H5-I5)</f>
        <v>0</v>
      </c>
    </row>
    <row r="6" customFormat="false" ht="15" hidden="false" customHeight="false" outlineLevel="0" collapsed="false">
      <c r="A6" s="33" t="n">
        <v>111000</v>
      </c>
      <c r="B6" s="12" t="s">
        <v>208</v>
      </c>
      <c r="C6" s="13" t="s">
        <v>209</v>
      </c>
      <c r="D6" s="24" t="n">
        <v>0</v>
      </c>
      <c r="E6" s="24" t="n">
        <v>0</v>
      </c>
      <c r="F6" s="24" t="n">
        <v>0</v>
      </c>
      <c r="G6" s="24" t="n">
        <v>0</v>
      </c>
      <c r="H6" s="24" t="n">
        <v>0</v>
      </c>
      <c r="I6" s="24" t="n">
        <v>0</v>
      </c>
      <c r="J6" s="20" t="n">
        <f aca="false">(D6-E6)+(F6-G6)-(H6-I6)</f>
        <v>0</v>
      </c>
    </row>
    <row r="7" customFormat="false" ht="15" hidden="false" customHeight="false" outlineLevel="0" collapsed="false">
      <c r="A7" s="33" t="n">
        <v>121000</v>
      </c>
      <c r="B7" s="12" t="s">
        <v>210</v>
      </c>
      <c r="C7" s="13" t="s">
        <v>211</v>
      </c>
      <c r="D7" s="24" t="n">
        <v>0</v>
      </c>
      <c r="E7" s="24" t="n">
        <v>654621364</v>
      </c>
      <c r="F7" s="24" t="n">
        <v>0</v>
      </c>
      <c r="G7" s="24" t="n">
        <v>119178487</v>
      </c>
      <c r="H7" s="24" t="n">
        <v>0</v>
      </c>
      <c r="I7" s="24" t="n">
        <v>773799851</v>
      </c>
      <c r="J7" s="20" t="n">
        <f aca="false">(D7-E7)+(F7-G7)-(H7-I7)</f>
        <v>0</v>
      </c>
    </row>
    <row r="8" customFormat="false" ht="15" hidden="false" customHeight="false" outlineLevel="0" collapsed="false">
      <c r="A8" s="33" t="n">
        <v>130100</v>
      </c>
      <c r="B8" s="12" t="s">
        <v>212</v>
      </c>
      <c r="C8" s="13" t="s">
        <v>213</v>
      </c>
      <c r="D8" s="24" t="n">
        <v>0</v>
      </c>
      <c r="E8" s="24" t="n">
        <v>119178487</v>
      </c>
      <c r="F8" s="24" t="n">
        <v>119178487</v>
      </c>
      <c r="G8" s="24" t="n">
        <v>0</v>
      </c>
      <c r="H8" s="24" t="n">
        <v>0</v>
      </c>
      <c r="I8" s="24" t="n">
        <v>0</v>
      </c>
      <c r="J8" s="20" t="n">
        <f aca="false">(D8-E8)+(F8-G8)-(H8-I8)</f>
        <v>0</v>
      </c>
    </row>
    <row r="9" customFormat="false" ht="15" hidden="false" customHeight="false" outlineLevel="0" collapsed="false">
      <c r="A9" s="33" t="n">
        <v>162002</v>
      </c>
      <c r="B9" s="12" t="s">
        <v>214</v>
      </c>
      <c r="C9" s="13" t="s">
        <v>172</v>
      </c>
      <c r="D9" s="24" t="n">
        <v>0</v>
      </c>
      <c r="E9" s="24" t="n">
        <v>0</v>
      </c>
      <c r="F9" s="24" t="n">
        <v>351341168</v>
      </c>
      <c r="G9" s="24" t="n">
        <v>391000000</v>
      </c>
      <c r="H9" s="24" t="n">
        <v>0</v>
      </c>
      <c r="I9" s="24" t="n">
        <v>39658832</v>
      </c>
      <c r="J9" s="20" t="n">
        <f aca="false">(D9-E9)+(F9-G9)-(H9-I9)</f>
        <v>0</v>
      </c>
    </row>
    <row r="10" customFormat="false" ht="15" hidden="false" customHeight="false" outlineLevel="0" collapsed="false">
      <c r="A10" s="33" t="n">
        <v>173060</v>
      </c>
      <c r="B10" s="12" t="s">
        <v>215</v>
      </c>
      <c r="C10" s="13" t="s">
        <v>175</v>
      </c>
      <c r="D10" s="24" t="n">
        <v>0</v>
      </c>
      <c r="E10" s="24" t="n">
        <v>0</v>
      </c>
      <c r="F10" s="24" t="n">
        <v>18000000</v>
      </c>
      <c r="G10" s="24" t="n">
        <v>28619694</v>
      </c>
      <c r="H10" s="24" t="n">
        <v>0</v>
      </c>
      <c r="I10" s="24" t="n">
        <v>10619694</v>
      </c>
      <c r="J10" s="20" t="n">
        <f aca="false">(D10-E10)+(F10-G10)-(H10-I10)</f>
        <v>0</v>
      </c>
    </row>
    <row r="11" customFormat="false" ht="15" hidden="false" customHeight="false" outlineLevel="0" collapsed="false">
      <c r="A11" s="33" t="n">
        <v>196100</v>
      </c>
      <c r="B11" s="12" t="s">
        <v>216</v>
      </c>
      <c r="C11" s="13" t="s">
        <v>217</v>
      </c>
      <c r="D11" s="24" t="n">
        <v>0</v>
      </c>
      <c r="E11" s="24" t="n">
        <v>15214600</v>
      </c>
      <c r="F11" s="24" t="n">
        <v>0</v>
      </c>
      <c r="G11" s="24" t="n">
        <v>6059296</v>
      </c>
      <c r="H11" s="24" t="n">
        <v>0</v>
      </c>
      <c r="I11" s="24" t="n">
        <v>21273896</v>
      </c>
      <c r="J11" s="20" t="n">
        <f aca="false">(D11-E11)+(F11-G11)-(H11-I11)</f>
        <v>0</v>
      </c>
    </row>
    <row r="12" customFormat="false" ht="15" hidden="false" customHeight="false" outlineLevel="0" collapsed="false">
      <c r="A12" s="28" t="n">
        <v>234100</v>
      </c>
      <c r="B12" s="29" t="s">
        <v>218</v>
      </c>
      <c r="C12" s="30" t="s">
        <v>219</v>
      </c>
      <c r="D12" s="31" t="n">
        <v>103601492</v>
      </c>
      <c r="E12" s="31" t="n">
        <v>0</v>
      </c>
      <c r="F12" s="31" t="n">
        <v>0</v>
      </c>
      <c r="G12" s="31" t="n">
        <v>0</v>
      </c>
      <c r="H12" s="31" t="n">
        <v>103601492</v>
      </c>
      <c r="I12" s="31" t="n">
        <v>0</v>
      </c>
      <c r="J12" s="32" t="n">
        <f aca="false">(D12-E12)+(F12-G12)-(H12-I12)</f>
        <v>0</v>
      </c>
    </row>
    <row r="13" customFormat="false" ht="15" hidden="false" customHeight="false" outlineLevel="0" collapsed="false">
      <c r="A13" s="33" t="n">
        <v>241100</v>
      </c>
      <c r="B13" s="12" t="s">
        <v>220</v>
      </c>
      <c r="C13" s="13" t="s">
        <v>221</v>
      </c>
      <c r="D13" s="24" t="n">
        <v>19316887</v>
      </c>
      <c r="E13" s="24" t="n">
        <v>0</v>
      </c>
      <c r="F13" s="24" t="n">
        <v>294528381</v>
      </c>
      <c r="G13" s="24" t="n">
        <v>0</v>
      </c>
      <c r="H13" s="24" t="n">
        <v>313845268</v>
      </c>
      <c r="I13" s="24" t="n">
        <v>0</v>
      </c>
      <c r="J13" s="20" t="n">
        <f aca="false">(D13-E13)+(F13-G13)-(H13-I13)</f>
        <v>0</v>
      </c>
    </row>
    <row r="14" customFormat="false" ht="15" hidden="false" customHeight="false" outlineLevel="0" collapsed="false">
      <c r="A14" s="33" t="n">
        <v>244100</v>
      </c>
      <c r="B14" s="12" t="s">
        <v>222</v>
      </c>
      <c r="C14" s="13" t="s">
        <v>221</v>
      </c>
      <c r="D14" s="24" t="n">
        <v>2050000</v>
      </c>
      <c r="E14" s="24" t="n">
        <v>0</v>
      </c>
      <c r="F14" s="24" t="n">
        <v>7256956</v>
      </c>
      <c r="G14" s="24" t="n">
        <v>0</v>
      </c>
      <c r="H14" s="24" t="n">
        <v>9306956</v>
      </c>
      <c r="I14" s="24" t="n">
        <v>0</v>
      </c>
      <c r="J14" s="20" t="n">
        <f aca="false">(D14-E14)+(F14-G14)-(H14-I14)</f>
        <v>0</v>
      </c>
    </row>
    <row r="15" customFormat="false" ht="15" hidden="false" customHeight="false" outlineLevel="0" collapsed="false">
      <c r="A15" s="33" t="n">
        <v>244200</v>
      </c>
      <c r="B15" s="12" t="s">
        <v>223</v>
      </c>
      <c r="C15" s="13" t="s">
        <v>221</v>
      </c>
      <c r="D15" s="24" t="n">
        <v>5723474</v>
      </c>
      <c r="E15" s="24" t="n">
        <v>0</v>
      </c>
      <c r="F15" s="24" t="n">
        <v>7256985</v>
      </c>
      <c r="G15" s="24" t="n">
        <v>0</v>
      </c>
      <c r="H15" s="24" t="n">
        <v>12980459</v>
      </c>
      <c r="I15" s="24" t="n">
        <v>0</v>
      </c>
      <c r="J15" s="20" t="n">
        <f aca="false">(D15-E15)+(F15-G15)-(H15-I15)</f>
        <v>0</v>
      </c>
    </row>
    <row r="16" customFormat="false" ht="15" hidden="false" customHeight="false" outlineLevel="0" collapsed="false">
      <c r="A16" s="33" t="n">
        <v>245100</v>
      </c>
      <c r="B16" s="12" t="s">
        <v>224</v>
      </c>
      <c r="C16" s="13" t="s">
        <v>225</v>
      </c>
      <c r="D16" s="24" t="n">
        <v>352148438</v>
      </c>
      <c r="E16" s="24" t="n">
        <v>0</v>
      </c>
      <c r="F16" s="24" t="n">
        <v>55896547</v>
      </c>
      <c r="G16" s="24" t="n">
        <v>0</v>
      </c>
      <c r="H16" s="24" t="n">
        <v>408044985</v>
      </c>
      <c r="I16" s="24" t="n">
        <v>0</v>
      </c>
      <c r="J16" s="20" t="n">
        <f aca="false">(D16-E16)+(F16-G16)-(H16-I16)</f>
        <v>0</v>
      </c>
    </row>
    <row r="17" customFormat="false" ht="15" hidden="false" customHeight="false" outlineLevel="0" collapsed="false">
      <c r="A17" s="33" t="n">
        <v>245600</v>
      </c>
      <c r="B17" s="12" t="s">
        <v>226</v>
      </c>
      <c r="C17" s="13" t="s">
        <v>225</v>
      </c>
      <c r="D17" s="24" t="n">
        <v>0</v>
      </c>
      <c r="E17" s="24" t="n">
        <v>0</v>
      </c>
      <c r="F17" s="24" t="n">
        <v>28619694</v>
      </c>
      <c r="G17" s="24" t="n">
        <v>0</v>
      </c>
      <c r="H17" s="24" t="n">
        <v>28619694</v>
      </c>
      <c r="I17" s="24" t="n">
        <v>0</v>
      </c>
      <c r="J17" s="20" t="n">
        <f aca="false">(D17-E17)+(F17-G17)-(H17-I17)</f>
        <v>0</v>
      </c>
    </row>
    <row r="18" customFormat="false" ht="15" hidden="false" customHeight="false" outlineLevel="0" collapsed="false">
      <c r="A18" s="33" t="n">
        <v>271800</v>
      </c>
      <c r="B18" s="12" t="s">
        <v>227</v>
      </c>
      <c r="C18" s="13" t="s">
        <v>228</v>
      </c>
      <c r="D18" s="24" t="n">
        <v>0</v>
      </c>
      <c r="E18" s="24" t="n">
        <v>0</v>
      </c>
      <c r="F18" s="24" t="n">
        <v>25000000</v>
      </c>
      <c r="G18" s="24" t="n">
        <v>0</v>
      </c>
      <c r="H18" s="24" t="n">
        <v>25000000</v>
      </c>
      <c r="I18" s="24" t="n">
        <v>0</v>
      </c>
      <c r="J18" s="20" t="n">
        <f aca="false">(D18-E18)+(F18-G18)-(H18-I18)</f>
        <v>0</v>
      </c>
    </row>
    <row r="19" customFormat="false" ht="15" hidden="false" customHeight="false" outlineLevel="0" collapsed="false">
      <c r="A19" s="33" t="n">
        <v>275100</v>
      </c>
      <c r="B19" s="12" t="s">
        <v>229</v>
      </c>
      <c r="C19" s="13" t="s">
        <v>228</v>
      </c>
      <c r="D19" s="24" t="n">
        <v>10150000</v>
      </c>
      <c r="E19" s="24" t="n">
        <v>0</v>
      </c>
      <c r="F19" s="24" t="n">
        <v>221270138</v>
      </c>
      <c r="G19" s="24" t="n">
        <v>0</v>
      </c>
      <c r="H19" s="24" t="n">
        <v>231420138</v>
      </c>
      <c r="I19" s="24" t="n">
        <v>0</v>
      </c>
      <c r="J19" s="20" t="n">
        <f aca="false">(D19-E19)+(F19-G19)-(H19-I19)</f>
        <v>0</v>
      </c>
    </row>
    <row r="20" customFormat="false" ht="15" hidden="false" customHeight="false" outlineLevel="0" collapsed="false">
      <c r="A20" s="33" t="n">
        <v>283400</v>
      </c>
      <c r="B20" s="12" t="s">
        <v>230</v>
      </c>
      <c r="C20" s="13" t="s">
        <v>219</v>
      </c>
      <c r="D20" s="24" t="n">
        <v>0</v>
      </c>
      <c r="E20" s="24" t="n">
        <v>22653631</v>
      </c>
      <c r="F20" s="24" t="n">
        <v>0</v>
      </c>
      <c r="G20" s="24" t="n">
        <v>19282845</v>
      </c>
      <c r="H20" s="24" t="n">
        <v>0</v>
      </c>
      <c r="I20" s="24" t="n">
        <v>41936476</v>
      </c>
      <c r="J20" s="20" t="n">
        <f aca="false">(D20-E20)+(F20-G20)-(H20-I20)</f>
        <v>0</v>
      </c>
    </row>
    <row r="21" customFormat="false" ht="15" hidden="false" customHeight="false" outlineLevel="0" collapsed="false">
      <c r="A21" s="33" t="n">
        <v>284100</v>
      </c>
      <c r="B21" s="12" t="s">
        <v>231</v>
      </c>
      <c r="C21" s="13" t="s">
        <v>221</v>
      </c>
      <c r="D21" s="24" t="n">
        <v>0</v>
      </c>
      <c r="E21" s="24" t="n">
        <v>11128832</v>
      </c>
      <c r="F21" s="24" t="n">
        <v>0</v>
      </c>
      <c r="G21" s="24" t="n">
        <v>44854932</v>
      </c>
      <c r="H21" s="24" t="n">
        <v>0</v>
      </c>
      <c r="I21" s="24" t="n">
        <v>55983764</v>
      </c>
      <c r="J21" s="20" t="n">
        <f aca="false">(D21-E21)+(F21-G21)-(H21-I21)</f>
        <v>0</v>
      </c>
    </row>
    <row r="22" customFormat="false" ht="15" hidden="false" customHeight="false" outlineLevel="0" collapsed="false">
      <c r="A22" s="33" t="n">
        <v>284400</v>
      </c>
      <c r="B22" s="12" t="s">
        <v>232</v>
      </c>
      <c r="C22" s="13" t="s">
        <v>221</v>
      </c>
      <c r="D22" s="24" t="n">
        <v>0</v>
      </c>
      <c r="E22" s="24" t="n">
        <v>7773474</v>
      </c>
      <c r="F22" s="24" t="n">
        <v>0</v>
      </c>
      <c r="G22" s="24" t="n">
        <v>4934884</v>
      </c>
      <c r="H22" s="24" t="n">
        <v>0</v>
      </c>
      <c r="I22" s="24" t="n">
        <v>12708358</v>
      </c>
      <c r="J22" s="20" t="n">
        <f aca="false">(D22-E22)+(F22-G22)-(H22-I22)</f>
        <v>0</v>
      </c>
    </row>
    <row r="23" customFormat="false" ht="15" hidden="false" customHeight="false" outlineLevel="0" collapsed="false">
      <c r="A23" s="33" t="n">
        <v>284500</v>
      </c>
      <c r="B23" s="12" t="s">
        <v>233</v>
      </c>
      <c r="C23" s="13" t="s">
        <v>225</v>
      </c>
      <c r="D23" s="24" t="n">
        <v>0</v>
      </c>
      <c r="E23" s="24" t="n">
        <v>352148438</v>
      </c>
      <c r="F23" s="24" t="n">
        <v>0</v>
      </c>
      <c r="G23" s="24" t="n">
        <v>10760638</v>
      </c>
      <c r="H23" s="24" t="n">
        <v>0</v>
      </c>
      <c r="I23" s="24" t="n">
        <v>362909076</v>
      </c>
      <c r="J23" s="20" t="n">
        <f aca="false">(D23-E23)+(F23-G23)-(H23-I23)</f>
        <v>0</v>
      </c>
    </row>
    <row r="24" customFormat="false" ht="15" hidden="false" customHeight="false" outlineLevel="0" collapsed="false">
      <c r="A24" s="28" t="n">
        <v>401100</v>
      </c>
      <c r="B24" s="29" t="s">
        <v>234</v>
      </c>
      <c r="C24" s="30" t="s">
        <v>235</v>
      </c>
      <c r="D24" s="31" t="n">
        <v>0</v>
      </c>
      <c r="E24" s="31" t="n">
        <v>75819203</v>
      </c>
      <c r="F24" s="31" t="n">
        <v>389098615</v>
      </c>
      <c r="G24" s="31" t="n">
        <v>386227278</v>
      </c>
      <c r="H24" s="31" t="n">
        <v>0</v>
      </c>
      <c r="I24" s="31" t="n">
        <v>72947866</v>
      </c>
      <c r="J24" s="32" t="n">
        <f aca="false">(D24-E24)+(F24-G24)-(H24-I24)</f>
        <v>0</v>
      </c>
    </row>
    <row r="25" customFormat="false" ht="15" hidden="false" customHeight="false" outlineLevel="0" collapsed="false">
      <c r="A25" s="33" t="n">
        <v>409100</v>
      </c>
      <c r="B25" s="12" t="s">
        <v>236</v>
      </c>
      <c r="C25" s="13" t="s">
        <v>237</v>
      </c>
      <c r="D25" s="24" t="n">
        <v>67361582</v>
      </c>
      <c r="E25" s="24" t="n">
        <v>0</v>
      </c>
      <c r="F25" s="24" t="n">
        <v>0</v>
      </c>
      <c r="G25" s="24" t="n">
        <v>67361582</v>
      </c>
      <c r="H25" s="24" t="n">
        <v>0</v>
      </c>
      <c r="I25" s="24" t="n">
        <v>0</v>
      </c>
      <c r="J25" s="20" t="n">
        <f aca="false">(D25-E25)+(F25-G25)-(H25-I25)</f>
        <v>0</v>
      </c>
    </row>
    <row r="26" customFormat="false" ht="15" hidden="false" customHeight="false" outlineLevel="0" collapsed="false">
      <c r="A26" s="33" t="n">
        <v>411100</v>
      </c>
      <c r="B26" s="12" t="s">
        <v>238</v>
      </c>
      <c r="C26" s="13" t="s">
        <v>239</v>
      </c>
      <c r="D26" s="24" t="n">
        <v>371642188</v>
      </c>
      <c r="E26" s="24" t="n">
        <v>0</v>
      </c>
      <c r="F26" s="24" t="n">
        <v>753172393</v>
      </c>
      <c r="G26" s="24" t="n">
        <v>672543185</v>
      </c>
      <c r="H26" s="24" t="n">
        <v>452271396</v>
      </c>
      <c r="I26" s="24" t="n">
        <v>0</v>
      </c>
      <c r="J26" s="20" t="n">
        <f aca="false">(D26-E26)+(F26-G26)-(H26-I26)</f>
        <v>0</v>
      </c>
    </row>
    <row r="27" customFormat="false" ht="15" hidden="false" customHeight="false" outlineLevel="0" collapsed="false">
      <c r="A27" s="33" t="n">
        <v>422000</v>
      </c>
      <c r="B27" s="12" t="s">
        <v>240</v>
      </c>
      <c r="C27" s="13" t="s">
        <v>241</v>
      </c>
      <c r="D27" s="24" t="n">
        <v>0</v>
      </c>
      <c r="E27" s="24" t="n">
        <v>0</v>
      </c>
      <c r="F27" s="24" t="n">
        <v>70124589</v>
      </c>
      <c r="G27" s="24" t="n">
        <v>81272138</v>
      </c>
      <c r="H27" s="24" t="n">
        <v>0</v>
      </c>
      <c r="I27" s="24" t="n">
        <v>11147549</v>
      </c>
      <c r="J27" s="20" t="n">
        <f aca="false">(D27-E27)+(F27-G27)-(H27-I27)</f>
        <v>0</v>
      </c>
    </row>
    <row r="28" customFormat="false" ht="15" hidden="false" customHeight="false" outlineLevel="0" collapsed="false">
      <c r="A28" s="33" t="n">
        <v>431301</v>
      </c>
      <c r="B28" s="12" t="s">
        <v>242</v>
      </c>
      <c r="C28" s="13" t="s">
        <v>241</v>
      </c>
      <c r="D28" s="24" t="n">
        <v>0</v>
      </c>
      <c r="E28" s="24" t="n">
        <v>0</v>
      </c>
      <c r="F28" s="24" t="n">
        <v>2145896</v>
      </c>
      <c r="G28" s="24" t="n">
        <v>7005273</v>
      </c>
      <c r="H28" s="24" t="n">
        <v>0</v>
      </c>
      <c r="I28" s="24" t="n">
        <v>4859377</v>
      </c>
      <c r="J28" s="20" t="n">
        <f aca="false">(D28-E28)+(F28-G28)-(H28-I28)</f>
        <v>0</v>
      </c>
    </row>
    <row r="29" customFormat="false" ht="15" hidden="false" customHeight="false" outlineLevel="0" collapsed="false">
      <c r="A29" s="33" t="n">
        <v>431302</v>
      </c>
      <c r="B29" s="12" t="s">
        <v>243</v>
      </c>
      <c r="C29" s="13" t="s">
        <v>241</v>
      </c>
      <c r="D29" s="24" t="n">
        <v>0</v>
      </c>
      <c r="E29" s="24" t="n">
        <v>0</v>
      </c>
      <c r="F29" s="24" t="n">
        <v>10256985</v>
      </c>
      <c r="G29" s="24" t="n">
        <v>11459390</v>
      </c>
      <c r="H29" s="24" t="n">
        <v>0</v>
      </c>
      <c r="I29" s="24" t="n">
        <v>1202405</v>
      </c>
      <c r="J29" s="20" t="n">
        <f aca="false">(D29-E29)+(F29-G29)-(H29-I29)</f>
        <v>0</v>
      </c>
    </row>
    <row r="30" customFormat="false" ht="15" hidden="false" customHeight="false" outlineLevel="0" collapsed="false">
      <c r="A30" s="33" t="n">
        <v>431802</v>
      </c>
      <c r="B30" s="12" t="s">
        <v>244</v>
      </c>
      <c r="C30" s="13" t="s">
        <v>241</v>
      </c>
      <c r="D30" s="24" t="n">
        <v>0</v>
      </c>
      <c r="E30" s="24" t="n">
        <v>0</v>
      </c>
      <c r="F30" s="24" t="n">
        <v>225682</v>
      </c>
      <c r="G30" s="24" t="n">
        <v>387620</v>
      </c>
      <c r="H30" s="24" t="n">
        <v>0</v>
      </c>
      <c r="I30" s="24" t="n">
        <v>161938</v>
      </c>
      <c r="J30" s="20" t="n">
        <f aca="false">(D30-E30)+(F30-G30)-(H30-I30)</f>
        <v>0</v>
      </c>
    </row>
    <row r="31" customFormat="false" ht="15" hidden="false" customHeight="false" outlineLevel="0" collapsed="false">
      <c r="A31" s="33" t="n">
        <v>433300</v>
      </c>
      <c r="B31" s="12" t="s">
        <v>245</v>
      </c>
      <c r="C31" s="13" t="s">
        <v>241</v>
      </c>
      <c r="D31" s="24" t="n">
        <v>0</v>
      </c>
      <c r="E31" s="24" t="n">
        <v>182715</v>
      </c>
      <c r="F31" s="24" t="n">
        <v>182715</v>
      </c>
      <c r="G31" s="24" t="n">
        <v>0</v>
      </c>
      <c r="H31" s="24" t="n">
        <v>0</v>
      </c>
      <c r="I31" s="24" t="n">
        <v>0</v>
      </c>
      <c r="J31" s="20" t="n">
        <f aca="false">(D31-E31)+(F31-G31)-(H31-I31)</f>
        <v>0</v>
      </c>
    </row>
    <row r="32" customFormat="false" ht="15" hidden="false" customHeight="false" outlineLevel="0" collapsed="false">
      <c r="A32" s="33" t="n">
        <v>441000</v>
      </c>
      <c r="B32" s="12" t="s">
        <v>246</v>
      </c>
      <c r="C32" s="13" t="s">
        <v>241</v>
      </c>
      <c r="D32" s="24" t="n">
        <v>0</v>
      </c>
      <c r="E32" s="24" t="n">
        <v>39726162</v>
      </c>
      <c r="F32" s="24" t="n">
        <v>39726162</v>
      </c>
      <c r="G32" s="24" t="n">
        <v>24232959</v>
      </c>
      <c r="H32" s="24" t="n">
        <v>0</v>
      </c>
      <c r="I32" s="24" t="n">
        <v>24232959</v>
      </c>
      <c r="J32" s="20" t="n">
        <f aca="false">(D32-E32)+(F32-G32)-(H32-I32)</f>
        <v>0</v>
      </c>
    </row>
    <row r="33" customFormat="false" ht="15" hidden="false" customHeight="false" outlineLevel="0" collapsed="false">
      <c r="A33" s="33" t="n">
        <v>442800</v>
      </c>
      <c r="B33" s="12" t="s">
        <v>247</v>
      </c>
      <c r="C33" s="13" t="s">
        <v>241</v>
      </c>
      <c r="D33" s="24" t="n">
        <v>0</v>
      </c>
      <c r="E33" s="24" t="n">
        <v>198286</v>
      </c>
      <c r="F33" s="24" t="n">
        <v>198286</v>
      </c>
      <c r="G33" s="24" t="n">
        <v>725658</v>
      </c>
      <c r="H33" s="24" t="n">
        <v>0</v>
      </c>
      <c r="I33" s="24" t="n">
        <v>725658</v>
      </c>
      <c r="J33" s="20" t="n">
        <f aca="false">(D33-E33)+(F33-G33)-(H33-I33)</f>
        <v>0</v>
      </c>
    </row>
    <row r="34" customFormat="false" ht="15" hidden="false" customHeight="false" outlineLevel="0" collapsed="false">
      <c r="A34" s="33" t="n">
        <v>442801</v>
      </c>
      <c r="B34" s="12" t="s">
        <v>248</v>
      </c>
      <c r="C34" s="13" t="s">
        <v>241</v>
      </c>
      <c r="D34" s="24" t="n">
        <v>0</v>
      </c>
      <c r="E34" s="24" t="n">
        <v>0</v>
      </c>
      <c r="F34" s="24" t="n">
        <v>0</v>
      </c>
      <c r="G34" s="24" t="n">
        <v>104066</v>
      </c>
      <c r="H34" s="24" t="n">
        <v>0</v>
      </c>
      <c r="I34" s="24" t="n">
        <v>104066</v>
      </c>
      <c r="J34" s="20" t="n">
        <f aca="false">(D34-E34)+(F34-G34)-(H34-I34)</f>
        <v>0</v>
      </c>
    </row>
    <row r="35" customFormat="false" ht="15" hidden="false" customHeight="false" outlineLevel="0" collapsed="false">
      <c r="A35" s="33" t="n">
        <v>442802</v>
      </c>
      <c r="B35" s="12" t="s">
        <v>249</v>
      </c>
      <c r="C35" s="13" t="s">
        <v>241</v>
      </c>
      <c r="D35" s="24" t="n">
        <v>0</v>
      </c>
      <c r="E35" s="24" t="n">
        <v>0</v>
      </c>
      <c r="F35" s="24" t="n">
        <v>0</v>
      </c>
      <c r="G35" s="24" t="n">
        <v>156106</v>
      </c>
      <c r="H35" s="24" t="n">
        <v>0</v>
      </c>
      <c r="I35" s="24" t="n">
        <v>156106</v>
      </c>
      <c r="J35" s="20" t="n">
        <f aca="false">(D35-E35)+(F35-G35)-(H35-I35)</f>
        <v>0</v>
      </c>
    </row>
    <row r="36" customFormat="false" ht="15" hidden="false" customHeight="false" outlineLevel="0" collapsed="false">
      <c r="A36" s="33" t="n">
        <v>442803</v>
      </c>
      <c r="B36" s="12" t="s">
        <v>250</v>
      </c>
      <c r="C36" s="13" t="s">
        <v>241</v>
      </c>
      <c r="D36" s="24" t="n">
        <v>0</v>
      </c>
      <c r="E36" s="24" t="n">
        <v>0</v>
      </c>
      <c r="F36" s="24" t="n">
        <v>0</v>
      </c>
      <c r="G36" s="24" t="n">
        <v>156105</v>
      </c>
      <c r="H36" s="24" t="n">
        <v>0</v>
      </c>
      <c r="I36" s="24" t="n">
        <v>156105</v>
      </c>
      <c r="J36" s="20" t="n">
        <f aca="false">(D36-E36)+(F36-G36)-(H36-I36)</f>
        <v>0</v>
      </c>
    </row>
    <row r="37" customFormat="false" ht="15" hidden="false" customHeight="false" outlineLevel="0" collapsed="false">
      <c r="A37" s="33" t="n">
        <v>442820</v>
      </c>
      <c r="B37" s="12" t="s">
        <v>251</v>
      </c>
      <c r="C37" s="13" t="s">
        <v>241</v>
      </c>
      <c r="D37" s="24" t="n">
        <v>0</v>
      </c>
      <c r="E37" s="24" t="n">
        <v>0</v>
      </c>
      <c r="F37" s="24" t="n">
        <v>458965</v>
      </c>
      <c r="G37" s="24" t="n">
        <v>826575</v>
      </c>
      <c r="H37" s="24" t="n">
        <v>0</v>
      </c>
      <c r="I37" s="24" t="n">
        <v>367610</v>
      </c>
      <c r="J37" s="20" t="n">
        <f aca="false">(D37-E37)+(F37-G37)-(H37-I37)</f>
        <v>0</v>
      </c>
    </row>
    <row r="38" customFormat="false" ht="15" hidden="false" customHeight="false" outlineLevel="0" collapsed="false">
      <c r="A38" s="33" t="n">
        <v>442840</v>
      </c>
      <c r="B38" s="12" t="s">
        <v>252</v>
      </c>
      <c r="C38" s="13" t="s">
        <v>241</v>
      </c>
      <c r="D38" s="24" t="n">
        <v>0</v>
      </c>
      <c r="E38" s="24" t="n">
        <v>0</v>
      </c>
      <c r="F38" s="24" t="n">
        <v>4055133</v>
      </c>
      <c r="G38" s="24" t="n">
        <v>9055133</v>
      </c>
      <c r="H38" s="24" t="n">
        <v>0</v>
      </c>
      <c r="I38" s="24" t="n">
        <v>5000000</v>
      </c>
      <c r="J38" s="20" t="n">
        <f aca="false">(D38-E38)+(F38-G38)-(H38-I38)</f>
        <v>0</v>
      </c>
    </row>
    <row r="39" customFormat="false" ht="15" hidden="false" customHeight="false" outlineLevel="0" collapsed="false">
      <c r="A39" s="33" t="n">
        <v>443300</v>
      </c>
      <c r="B39" s="12" t="s">
        <v>253</v>
      </c>
      <c r="C39" s="13" t="s">
        <v>241</v>
      </c>
      <c r="D39" s="24" t="n">
        <v>0</v>
      </c>
      <c r="E39" s="24" t="n">
        <v>0</v>
      </c>
      <c r="F39" s="24" t="n">
        <v>0</v>
      </c>
      <c r="G39" s="24" t="n">
        <v>52145698</v>
      </c>
      <c r="H39" s="24" t="n">
        <v>0</v>
      </c>
      <c r="I39" s="24" t="n">
        <v>52145698</v>
      </c>
      <c r="J39" s="20" t="n">
        <f aca="false">(D39-E39)+(F39-G39)-(H39-I39)</f>
        <v>0</v>
      </c>
    </row>
    <row r="40" customFormat="false" ht="15" hidden="false" customHeight="false" outlineLevel="0" collapsed="false">
      <c r="A40" s="33" t="n">
        <v>446000</v>
      </c>
      <c r="B40" s="12" t="s">
        <v>254</v>
      </c>
      <c r="C40" s="13" t="s">
        <v>241</v>
      </c>
      <c r="D40" s="24" t="n">
        <v>0</v>
      </c>
      <c r="E40" s="24" t="n">
        <v>0</v>
      </c>
      <c r="F40" s="24" t="n">
        <v>11685</v>
      </c>
      <c r="G40" s="24" t="n">
        <v>211685</v>
      </c>
      <c r="H40" s="24" t="n">
        <v>0</v>
      </c>
      <c r="I40" s="24" t="n">
        <v>200000</v>
      </c>
      <c r="J40" s="20" t="n">
        <f aca="false">(D40-E40)+(F40-G40)-(H40-I40)</f>
        <v>0</v>
      </c>
    </row>
    <row r="41" customFormat="false" ht="15" hidden="false" customHeight="false" outlineLevel="0" collapsed="false">
      <c r="A41" s="33" t="n">
        <v>447201</v>
      </c>
      <c r="B41" s="12" t="s">
        <v>255</v>
      </c>
      <c r="C41" s="13" t="s">
        <v>241</v>
      </c>
      <c r="D41" s="24" t="n">
        <v>0</v>
      </c>
      <c r="E41" s="24" t="n">
        <v>320198</v>
      </c>
      <c r="F41" s="24" t="n">
        <v>4589654</v>
      </c>
      <c r="G41" s="24" t="n">
        <v>5901094</v>
      </c>
      <c r="H41" s="24" t="n">
        <v>0</v>
      </c>
      <c r="I41" s="24" t="n">
        <v>1631638</v>
      </c>
      <c r="J41" s="20" t="n">
        <f aca="false">(D41-E41)+(F41-G41)-(H41-I41)</f>
        <v>0</v>
      </c>
    </row>
    <row r="42" customFormat="false" ht="15" hidden="false" customHeight="false" outlineLevel="0" collapsed="false">
      <c r="A42" s="33" t="n">
        <v>462100</v>
      </c>
      <c r="B42" s="12" t="s">
        <v>256</v>
      </c>
      <c r="C42" s="13" t="s">
        <v>257</v>
      </c>
      <c r="D42" s="24" t="n">
        <v>0</v>
      </c>
      <c r="E42" s="24" t="n">
        <v>0</v>
      </c>
      <c r="F42" s="24" t="n">
        <v>20000000</v>
      </c>
      <c r="G42" s="24" t="n">
        <v>23700000</v>
      </c>
      <c r="H42" s="24" t="n">
        <v>0</v>
      </c>
      <c r="I42" s="24" t="n">
        <v>3700000</v>
      </c>
      <c r="J42" s="20" t="n">
        <f aca="false">(D42-E42)+(F42-G42)-(H42-I42)</f>
        <v>0</v>
      </c>
    </row>
    <row r="43" customFormat="false" ht="15" hidden="false" customHeight="false" outlineLevel="0" collapsed="false">
      <c r="A43" s="33" t="n">
        <v>471200</v>
      </c>
      <c r="B43" s="12" t="s">
        <v>258</v>
      </c>
      <c r="C43" s="13" t="s">
        <v>259</v>
      </c>
      <c r="D43" s="24" t="n">
        <v>0</v>
      </c>
      <c r="E43" s="24" t="n">
        <v>0</v>
      </c>
      <c r="F43" s="24" t="n">
        <v>0</v>
      </c>
      <c r="G43" s="24" t="n">
        <v>0</v>
      </c>
      <c r="H43" s="24" t="n">
        <v>0</v>
      </c>
      <c r="I43" s="24" t="n">
        <v>0</v>
      </c>
      <c r="J43" s="20" t="n">
        <f aca="false">(D43-E43)+(F43-G43)-(H43-I43)</f>
        <v>0</v>
      </c>
    </row>
    <row r="44" customFormat="false" ht="15" hidden="false" customHeight="false" outlineLevel="0" collapsed="false">
      <c r="A44" s="33" t="n">
        <v>481200</v>
      </c>
      <c r="B44" s="12" t="s">
        <v>260</v>
      </c>
      <c r="C44" s="13" t="s">
        <v>261</v>
      </c>
      <c r="D44" s="24" t="n">
        <v>0</v>
      </c>
      <c r="E44" s="24" t="n">
        <v>0</v>
      </c>
      <c r="F44" s="24" t="n">
        <v>232042322</v>
      </c>
      <c r="G44" s="24" t="n">
        <v>364938869</v>
      </c>
      <c r="H44" s="24" t="n">
        <v>0</v>
      </c>
      <c r="I44" s="24" t="n">
        <v>132896547</v>
      </c>
      <c r="J44" s="20" t="n">
        <f aca="false">(D44-E44)+(F44-G44)-(H44-I44)</f>
        <v>0</v>
      </c>
    </row>
    <row r="45" customFormat="false" ht="15" hidden="false" customHeight="false" outlineLevel="0" collapsed="false">
      <c r="A45" s="28" t="n">
        <v>521101</v>
      </c>
      <c r="B45" s="29" t="s">
        <v>262</v>
      </c>
      <c r="C45" s="30" t="s">
        <v>263</v>
      </c>
      <c r="D45" s="31" t="n">
        <v>372469349</v>
      </c>
      <c r="E45" s="31" t="n">
        <v>0</v>
      </c>
      <c r="F45" s="31" t="n">
        <v>1088091779</v>
      </c>
      <c r="G45" s="31" t="n">
        <v>1337972863</v>
      </c>
      <c r="H45" s="31" t="n">
        <v>122588265</v>
      </c>
      <c r="I45" s="31" t="n">
        <v>0</v>
      </c>
      <c r="J45" s="32" t="n">
        <f aca="false">(D45-E45)+(F45-G45)-(H45-I45)</f>
        <v>0</v>
      </c>
    </row>
    <row r="46" customFormat="false" ht="15" hidden="false" customHeight="false" outlineLevel="0" collapsed="false">
      <c r="A46" s="33" t="n">
        <v>571101</v>
      </c>
      <c r="B46" s="12" t="s">
        <v>264</v>
      </c>
      <c r="C46" s="13" t="s">
        <v>265</v>
      </c>
      <c r="D46" s="24" t="n">
        <v>4501980</v>
      </c>
      <c r="E46" s="24" t="n">
        <v>0</v>
      </c>
      <c r="F46" s="24" t="n">
        <v>6589458</v>
      </c>
      <c r="G46" s="24" t="n">
        <v>5545745</v>
      </c>
      <c r="H46" s="24" t="n">
        <v>5545693</v>
      </c>
      <c r="I46" s="24" t="n">
        <v>0</v>
      </c>
      <c r="J46" s="20" t="n">
        <f aca="false">(D46-E46)+(F46-G46)-(H46-I46)</f>
        <v>0</v>
      </c>
    </row>
    <row r="47" customFormat="false" ht="15" hidden="false" customHeight="false" outlineLevel="0" collapsed="false">
      <c r="A47" s="33" t="n">
        <v>585000</v>
      </c>
      <c r="B47" s="12" t="s">
        <v>266</v>
      </c>
      <c r="C47" s="13" t="s">
        <v>265</v>
      </c>
      <c r="D47" s="24" t="n">
        <v>0</v>
      </c>
      <c r="E47" s="24" t="n">
        <v>0</v>
      </c>
      <c r="F47" s="24" t="n">
        <v>0</v>
      </c>
      <c r="G47" s="24" t="n">
        <v>0</v>
      </c>
      <c r="H47" s="24" t="n">
        <v>0</v>
      </c>
      <c r="I47" s="24" t="n">
        <v>0</v>
      </c>
      <c r="J47" s="20" t="n">
        <f aca="false">(D47-E47)+(F47-G47)-(H47-I47)</f>
        <v>0</v>
      </c>
    </row>
    <row r="48" customFormat="false" ht="15" hidden="false" customHeight="false" outlineLevel="0" collapsed="false">
      <c r="A48" s="28" t="n">
        <v>604300</v>
      </c>
      <c r="B48" s="29" t="s">
        <v>267</v>
      </c>
      <c r="C48" s="30" t="s">
        <v>268</v>
      </c>
      <c r="D48" s="31" t="n">
        <v>0</v>
      </c>
      <c r="E48" s="31" t="n">
        <v>0</v>
      </c>
      <c r="F48" s="31" t="n">
        <v>1250398</v>
      </c>
      <c r="G48" s="31" t="n">
        <v>0</v>
      </c>
      <c r="H48" s="31" t="n">
        <v>1250398</v>
      </c>
      <c r="I48" s="31" t="n">
        <v>0</v>
      </c>
      <c r="J48" s="32" t="n">
        <f aca="false">(D48-E48)+(F48-G48)-(H48-I48)</f>
        <v>0</v>
      </c>
    </row>
    <row r="49" customFormat="false" ht="15" hidden="false" customHeight="false" outlineLevel="0" collapsed="false">
      <c r="A49" s="33" t="n">
        <v>605100</v>
      </c>
      <c r="B49" s="12" t="s">
        <v>269</v>
      </c>
      <c r="C49" s="13" t="s">
        <v>268</v>
      </c>
      <c r="D49" s="24" t="n">
        <v>0</v>
      </c>
      <c r="E49" s="24" t="n">
        <v>0</v>
      </c>
      <c r="F49" s="24" t="n">
        <v>124576</v>
      </c>
      <c r="G49" s="24" t="n">
        <v>0</v>
      </c>
      <c r="H49" s="24" t="n">
        <v>124576</v>
      </c>
      <c r="I49" s="24" t="n">
        <v>0</v>
      </c>
      <c r="J49" s="20" t="n">
        <f aca="false">(D49-E49)+(F49-G49)-(H49-I49)</f>
        <v>0</v>
      </c>
    </row>
    <row r="50" customFormat="false" ht="15" hidden="false" customHeight="false" outlineLevel="0" collapsed="false">
      <c r="A50" s="33" t="n">
        <v>605200</v>
      </c>
      <c r="B50" s="12" t="s">
        <v>270</v>
      </c>
      <c r="C50" s="13" t="s">
        <v>268</v>
      </c>
      <c r="D50" s="24" t="n">
        <v>0</v>
      </c>
      <c r="E50" s="24" t="n">
        <v>0</v>
      </c>
      <c r="F50" s="24" t="n">
        <v>39961389</v>
      </c>
      <c r="G50" s="24" t="n">
        <v>0</v>
      </c>
      <c r="H50" s="24" t="n">
        <v>39961389</v>
      </c>
      <c r="I50" s="24" t="n">
        <v>0</v>
      </c>
      <c r="J50" s="20" t="n">
        <f aca="false">(D50-E50)+(F50-G50)-(H50-I50)</f>
        <v>0</v>
      </c>
    </row>
    <row r="51" customFormat="false" ht="15" hidden="false" customHeight="false" outlineLevel="0" collapsed="false">
      <c r="A51" s="33" t="n">
        <v>605300</v>
      </c>
      <c r="B51" s="12" t="s">
        <v>271</v>
      </c>
      <c r="C51" s="13" t="s">
        <v>268</v>
      </c>
      <c r="D51" s="24" t="n">
        <v>0</v>
      </c>
      <c r="E51" s="24" t="n">
        <v>0</v>
      </c>
      <c r="F51" s="24" t="n">
        <v>19839054</v>
      </c>
      <c r="G51" s="24" t="n">
        <v>0</v>
      </c>
      <c r="H51" s="24" t="n">
        <v>19839054</v>
      </c>
      <c r="I51" s="24" t="n">
        <v>0</v>
      </c>
      <c r="J51" s="20" t="n">
        <f aca="false">(D51-E51)+(F51-G51)-(H51-I51)</f>
        <v>0</v>
      </c>
    </row>
    <row r="52" customFormat="false" ht="15" hidden="false" customHeight="false" outlineLevel="0" collapsed="false">
      <c r="A52" s="33" t="n">
        <v>605500</v>
      </c>
      <c r="B52" s="12" t="s">
        <v>272</v>
      </c>
      <c r="C52" s="13" t="s">
        <v>268</v>
      </c>
      <c r="D52" s="24" t="n">
        <v>0</v>
      </c>
      <c r="E52" s="24" t="n">
        <v>0</v>
      </c>
      <c r="F52" s="24" t="n">
        <v>12873612</v>
      </c>
      <c r="G52" s="24" t="n">
        <v>0</v>
      </c>
      <c r="H52" s="24" t="n">
        <v>12873612</v>
      </c>
      <c r="I52" s="24" t="n">
        <v>0</v>
      </c>
      <c r="J52" s="20" t="n">
        <f aca="false">(D52-E52)+(F52-G52)-(H52-I52)</f>
        <v>0</v>
      </c>
    </row>
    <row r="53" customFormat="false" ht="15" hidden="false" customHeight="false" outlineLevel="0" collapsed="false">
      <c r="A53" s="33" t="n">
        <v>605600</v>
      </c>
      <c r="B53" s="12" t="s">
        <v>273</v>
      </c>
      <c r="C53" s="13" t="s">
        <v>268</v>
      </c>
      <c r="D53" s="24" t="n">
        <v>0</v>
      </c>
      <c r="E53" s="24" t="n">
        <v>0</v>
      </c>
      <c r="F53" s="24" t="n">
        <v>3691625</v>
      </c>
      <c r="G53" s="24" t="n">
        <v>0</v>
      </c>
      <c r="H53" s="24" t="n">
        <v>3691625</v>
      </c>
      <c r="I53" s="24" t="n">
        <v>0</v>
      </c>
      <c r="J53" s="20" t="n">
        <f aca="false">(D53-E53)+(F53-G53)-(H53-I53)</f>
        <v>0</v>
      </c>
    </row>
    <row r="54" customFormat="false" ht="15" hidden="false" customHeight="false" outlineLevel="0" collapsed="false">
      <c r="A54" s="33" t="n">
        <v>605700</v>
      </c>
      <c r="B54" s="12" t="s">
        <v>274</v>
      </c>
      <c r="C54" s="13" t="s">
        <v>268</v>
      </c>
      <c r="D54" s="24" t="n">
        <v>0</v>
      </c>
      <c r="E54" s="24" t="n">
        <v>0</v>
      </c>
      <c r="F54" s="24" t="n">
        <v>80160324</v>
      </c>
      <c r="G54" s="24" t="n">
        <v>0</v>
      </c>
      <c r="H54" s="24" t="n">
        <v>80160324</v>
      </c>
      <c r="I54" s="24" t="n">
        <v>0</v>
      </c>
      <c r="J54" s="20" t="n">
        <f aca="false">(D54-E54)+(F54-G54)-(H54-I54)</f>
        <v>0</v>
      </c>
    </row>
    <row r="55" customFormat="false" ht="15" hidden="false" customHeight="false" outlineLevel="0" collapsed="false">
      <c r="A55" s="33" t="n">
        <v>605800</v>
      </c>
      <c r="B55" s="12" t="s">
        <v>275</v>
      </c>
      <c r="C55" s="13" t="s">
        <v>268</v>
      </c>
      <c r="D55" s="24" t="n">
        <v>0</v>
      </c>
      <c r="E55" s="24" t="n">
        <v>0</v>
      </c>
      <c r="F55" s="24" t="n">
        <v>120240486</v>
      </c>
      <c r="G55" s="24" t="n">
        <v>0</v>
      </c>
      <c r="H55" s="24" t="n">
        <v>120240486</v>
      </c>
      <c r="I55" s="24" t="n">
        <v>0</v>
      </c>
      <c r="J55" s="20" t="n">
        <f aca="false">(D55-E55)+(F55-G55)-(H55-I55)</f>
        <v>0</v>
      </c>
    </row>
    <row r="56" customFormat="false" ht="15" hidden="false" customHeight="false" outlineLevel="0" collapsed="false">
      <c r="A56" s="33" t="n">
        <v>616000</v>
      </c>
      <c r="B56" s="12" t="s">
        <v>276</v>
      </c>
      <c r="C56" s="13" t="s">
        <v>277</v>
      </c>
      <c r="D56" s="24" t="n">
        <v>0</v>
      </c>
      <c r="E56" s="24" t="n">
        <v>0</v>
      </c>
      <c r="F56" s="24" t="n">
        <v>93905</v>
      </c>
      <c r="G56" s="24" t="n">
        <v>0</v>
      </c>
      <c r="H56" s="24" t="n">
        <v>93905</v>
      </c>
      <c r="I56" s="24" t="n">
        <v>0</v>
      </c>
      <c r="J56" s="20" t="n">
        <f aca="false">(D56-E56)+(F56-G56)-(H56-I56)</f>
        <v>0</v>
      </c>
    </row>
    <row r="57" customFormat="false" ht="15" hidden="false" customHeight="false" outlineLevel="0" collapsed="false">
      <c r="A57" s="33" t="n">
        <v>618200</v>
      </c>
      <c r="B57" s="12" t="s">
        <v>278</v>
      </c>
      <c r="C57" s="13" t="s">
        <v>277</v>
      </c>
      <c r="D57" s="24" t="n">
        <v>0</v>
      </c>
      <c r="E57" s="24" t="n">
        <v>0</v>
      </c>
      <c r="F57" s="24" t="n">
        <v>1566944</v>
      </c>
      <c r="G57" s="24" t="n">
        <v>0</v>
      </c>
      <c r="H57" s="24" t="n">
        <v>1566944</v>
      </c>
      <c r="I57" s="24" t="n">
        <v>0</v>
      </c>
      <c r="J57" s="20" t="n">
        <f aca="false">(D57-E57)+(F57-G57)-(H57-I57)</f>
        <v>0</v>
      </c>
    </row>
    <row r="58" customFormat="false" ht="15" hidden="false" customHeight="false" outlineLevel="0" collapsed="false">
      <c r="A58" s="33" t="n">
        <v>618300</v>
      </c>
      <c r="B58" s="12" t="s">
        <v>279</v>
      </c>
      <c r="C58" s="13" t="s">
        <v>277</v>
      </c>
      <c r="D58" s="24" t="n">
        <v>0</v>
      </c>
      <c r="E58" s="24" t="n">
        <v>0</v>
      </c>
      <c r="F58" s="24" t="n">
        <v>2159249</v>
      </c>
      <c r="G58" s="24" t="n">
        <v>0</v>
      </c>
      <c r="H58" s="24" t="n">
        <v>2159249</v>
      </c>
      <c r="I58" s="24" t="n">
        <v>0</v>
      </c>
      <c r="J58" s="20" t="n">
        <f aca="false">(D58-E58)+(F58-G58)-(H58-I58)</f>
        <v>0</v>
      </c>
    </row>
    <row r="59" customFormat="false" ht="15" hidden="false" customHeight="false" outlineLevel="0" collapsed="false">
      <c r="A59" s="33" t="n">
        <v>622200</v>
      </c>
      <c r="B59" s="12" t="s">
        <v>280</v>
      </c>
      <c r="C59" s="13" t="s">
        <v>281</v>
      </c>
      <c r="D59" s="24" t="n">
        <v>0</v>
      </c>
      <c r="E59" s="24" t="n">
        <v>0</v>
      </c>
      <c r="F59" s="24" t="n">
        <v>16635091</v>
      </c>
      <c r="G59" s="24" t="n">
        <v>0</v>
      </c>
      <c r="H59" s="24" t="n">
        <v>16635091</v>
      </c>
      <c r="I59" s="24" t="n">
        <v>0</v>
      </c>
      <c r="J59" s="20" t="n">
        <f aca="false">(D59-E59)+(F59-G59)-(H59-I59)</f>
        <v>0</v>
      </c>
    </row>
    <row r="60" customFormat="false" ht="15" hidden="false" customHeight="false" outlineLevel="0" collapsed="false">
      <c r="A60" s="33" t="n">
        <v>624200</v>
      </c>
      <c r="B60" s="12" t="s">
        <v>282</v>
      </c>
      <c r="C60" s="13" t="s">
        <v>281</v>
      </c>
      <c r="D60" s="24" t="n">
        <v>0</v>
      </c>
      <c r="E60" s="24" t="n">
        <v>0</v>
      </c>
      <c r="F60" s="24" t="n">
        <v>34203480</v>
      </c>
      <c r="G60" s="24" t="n">
        <v>0</v>
      </c>
      <c r="H60" s="24" t="n">
        <v>34203480</v>
      </c>
      <c r="I60" s="24" t="n">
        <v>0</v>
      </c>
      <c r="J60" s="20" t="n">
        <f aca="false">(D60-E60)+(F60-G60)-(H60-I60)</f>
        <v>0</v>
      </c>
    </row>
    <row r="61" customFormat="false" ht="15" hidden="false" customHeight="false" outlineLevel="0" collapsed="false">
      <c r="A61" s="33" t="n">
        <v>625800</v>
      </c>
      <c r="B61" s="12" t="s">
        <v>283</v>
      </c>
      <c r="C61" s="13" t="s">
        <v>281</v>
      </c>
      <c r="D61" s="24" t="n">
        <v>0</v>
      </c>
      <c r="E61" s="24" t="n">
        <v>0</v>
      </c>
      <c r="F61" s="24" t="n">
        <v>4589652</v>
      </c>
      <c r="G61" s="24" t="n">
        <v>0</v>
      </c>
      <c r="H61" s="24" t="n">
        <v>4589652</v>
      </c>
      <c r="I61" s="24" t="n">
        <v>0</v>
      </c>
      <c r="J61" s="20" t="n">
        <f aca="false">(D61-E61)+(F61-G61)-(H61-I61)</f>
        <v>0</v>
      </c>
    </row>
    <row r="62" customFormat="false" ht="15" hidden="false" customHeight="false" outlineLevel="0" collapsed="false">
      <c r="A62" s="33" t="n">
        <v>626600</v>
      </c>
      <c r="B62" s="12" t="s">
        <v>284</v>
      </c>
      <c r="C62" s="13" t="s">
        <v>281</v>
      </c>
      <c r="D62" s="24" t="n">
        <v>0</v>
      </c>
      <c r="E62" s="24" t="n">
        <v>0</v>
      </c>
      <c r="F62" s="24" t="n">
        <v>32000</v>
      </c>
      <c r="G62" s="24" t="n">
        <v>0</v>
      </c>
      <c r="H62" s="24" t="n">
        <v>32000</v>
      </c>
      <c r="I62" s="24" t="n">
        <v>0</v>
      </c>
      <c r="J62" s="20" t="n">
        <f aca="false">(D62-E62)+(F62-G62)-(H62-I62)</f>
        <v>0</v>
      </c>
    </row>
    <row r="63" customFormat="false" ht="15" hidden="false" customHeight="false" outlineLevel="0" collapsed="false">
      <c r="A63" s="33" t="n">
        <v>627700</v>
      </c>
      <c r="B63" s="12" t="s">
        <v>285</v>
      </c>
      <c r="C63" s="13" t="s">
        <v>281</v>
      </c>
      <c r="D63" s="24" t="n">
        <v>0</v>
      </c>
      <c r="E63" s="24" t="n">
        <v>0</v>
      </c>
      <c r="F63" s="24" t="n">
        <v>58500</v>
      </c>
      <c r="G63" s="24" t="n">
        <v>0</v>
      </c>
      <c r="H63" s="24" t="n">
        <v>58500</v>
      </c>
      <c r="I63" s="24" t="n">
        <v>0</v>
      </c>
      <c r="J63" s="20" t="n">
        <f aca="false">(D63-E63)+(F63-G63)-(H63-I63)</f>
        <v>0</v>
      </c>
    </row>
    <row r="64" customFormat="false" ht="15" hidden="false" customHeight="false" outlineLevel="0" collapsed="false">
      <c r="A64" s="33" t="n">
        <v>628800</v>
      </c>
      <c r="B64" s="12" t="s">
        <v>286</v>
      </c>
      <c r="C64" s="13" t="s">
        <v>281</v>
      </c>
      <c r="D64" s="24" t="n">
        <v>0</v>
      </c>
      <c r="E64" s="24" t="n">
        <v>0</v>
      </c>
      <c r="F64" s="24" t="n">
        <v>794044</v>
      </c>
      <c r="G64" s="24" t="n">
        <v>0</v>
      </c>
      <c r="H64" s="24" t="n">
        <v>794044</v>
      </c>
      <c r="I64" s="24" t="n">
        <v>0</v>
      </c>
      <c r="J64" s="20" t="n">
        <f aca="false">(D64-E64)+(F64-G64)-(H64-I64)</f>
        <v>0</v>
      </c>
    </row>
    <row r="65" customFormat="false" ht="15" hidden="false" customHeight="false" outlineLevel="0" collapsed="false">
      <c r="A65" s="33" t="n">
        <v>631800</v>
      </c>
      <c r="B65" s="12" t="s">
        <v>287</v>
      </c>
      <c r="C65" s="13" t="s">
        <v>281</v>
      </c>
      <c r="D65" s="24" t="n">
        <v>0</v>
      </c>
      <c r="E65" s="24" t="n">
        <v>0</v>
      </c>
      <c r="F65" s="24" t="n">
        <v>22590164</v>
      </c>
      <c r="G65" s="24" t="n">
        <v>0</v>
      </c>
      <c r="H65" s="24" t="n">
        <v>22590164</v>
      </c>
      <c r="I65" s="24" t="n">
        <v>0</v>
      </c>
      <c r="J65" s="20" t="n">
        <f aca="false">(D65-E65)+(F65-G65)-(H65-I65)</f>
        <v>0</v>
      </c>
    </row>
    <row r="66" customFormat="false" ht="15" hidden="false" customHeight="false" outlineLevel="0" collapsed="false">
      <c r="A66" s="33" t="n">
        <v>632800</v>
      </c>
      <c r="B66" s="12" t="s">
        <v>288</v>
      </c>
      <c r="C66" s="13" t="s">
        <v>281</v>
      </c>
      <c r="D66" s="24" t="n">
        <v>0</v>
      </c>
      <c r="E66" s="24" t="n">
        <v>0</v>
      </c>
      <c r="F66" s="24" t="n">
        <v>4753040</v>
      </c>
      <c r="G66" s="24" t="n">
        <v>0</v>
      </c>
      <c r="H66" s="24" t="n">
        <v>4753040</v>
      </c>
      <c r="I66" s="24" t="n">
        <v>0</v>
      </c>
      <c r="J66" s="20" t="n">
        <f aca="false">(D66-E66)+(F66-G66)-(H66-I66)</f>
        <v>0</v>
      </c>
    </row>
    <row r="67" customFormat="false" ht="15" hidden="false" customHeight="false" outlineLevel="0" collapsed="false">
      <c r="A67" s="33" t="n">
        <v>638800</v>
      </c>
      <c r="B67" s="12" t="s">
        <v>289</v>
      </c>
      <c r="C67" s="13" t="s">
        <v>281</v>
      </c>
      <c r="D67" s="24" t="n">
        <v>0</v>
      </c>
      <c r="E67" s="24" t="n">
        <v>0</v>
      </c>
      <c r="F67" s="24" t="n">
        <v>23113112</v>
      </c>
      <c r="G67" s="24" t="n">
        <v>0</v>
      </c>
      <c r="H67" s="24" t="n">
        <v>23113112</v>
      </c>
      <c r="I67" s="24" t="n">
        <v>0</v>
      </c>
      <c r="J67" s="20" t="n">
        <f aca="false">(D67-E67)+(F67-G67)-(H67-I67)</f>
        <v>0</v>
      </c>
    </row>
    <row r="68" customFormat="false" ht="15" hidden="false" customHeight="false" outlineLevel="0" collapsed="false">
      <c r="A68" s="33" t="n">
        <v>641100</v>
      </c>
      <c r="B68" s="12" t="s">
        <v>290</v>
      </c>
      <c r="C68" s="13" t="s">
        <v>291</v>
      </c>
      <c r="D68" s="24" t="n">
        <v>0</v>
      </c>
      <c r="E68" s="24" t="n">
        <v>0</v>
      </c>
      <c r="F68" s="24" t="n">
        <v>360000</v>
      </c>
      <c r="G68" s="24" t="n">
        <v>0</v>
      </c>
      <c r="H68" s="24" t="n">
        <v>360000</v>
      </c>
      <c r="I68" s="24" t="n">
        <v>0</v>
      </c>
      <c r="J68" s="20" t="n">
        <f aca="false">(D68-E68)+(F68-G68)-(H68-I68)</f>
        <v>0</v>
      </c>
    </row>
    <row r="69" customFormat="false" ht="15" hidden="false" customHeight="false" outlineLevel="0" collapsed="false">
      <c r="A69" s="33" t="n">
        <v>641201</v>
      </c>
      <c r="B69" s="12" t="s">
        <v>292</v>
      </c>
      <c r="C69" s="13" t="s">
        <v>291</v>
      </c>
      <c r="D69" s="24" t="n">
        <v>0</v>
      </c>
      <c r="E69" s="24" t="n">
        <v>0</v>
      </c>
      <c r="F69" s="24" t="n">
        <v>9055133</v>
      </c>
      <c r="G69" s="24" t="n">
        <v>0</v>
      </c>
      <c r="H69" s="24" t="n">
        <v>9055133</v>
      </c>
      <c r="I69" s="24" t="n">
        <v>0</v>
      </c>
      <c r="J69" s="20" t="n">
        <f aca="false">(D69-E69)+(F69-G69)-(H69-I69)</f>
        <v>0</v>
      </c>
    </row>
    <row r="70" customFormat="false" ht="15" hidden="false" customHeight="false" outlineLevel="0" collapsed="false">
      <c r="A70" s="33" t="n">
        <v>641202</v>
      </c>
      <c r="B70" s="12" t="s">
        <v>293</v>
      </c>
      <c r="C70" s="13" t="s">
        <v>291</v>
      </c>
      <c r="D70" s="24" t="n">
        <v>0</v>
      </c>
      <c r="E70" s="24" t="n">
        <v>0</v>
      </c>
      <c r="F70" s="24" t="n">
        <v>1548695</v>
      </c>
      <c r="G70" s="24" t="n">
        <v>0</v>
      </c>
      <c r="H70" s="24" t="n">
        <v>1548695</v>
      </c>
      <c r="I70" s="24" t="n">
        <v>0</v>
      </c>
      <c r="J70" s="20" t="n">
        <f aca="false">(D70-E70)+(F70-G70)-(H70-I70)</f>
        <v>0</v>
      </c>
    </row>
    <row r="71" customFormat="false" ht="15" hidden="false" customHeight="false" outlineLevel="0" collapsed="false">
      <c r="A71" s="33" t="n">
        <v>641300</v>
      </c>
      <c r="B71" s="12" t="s">
        <v>294</v>
      </c>
      <c r="C71" s="13" t="s">
        <v>291</v>
      </c>
      <c r="D71" s="24" t="n">
        <v>0</v>
      </c>
      <c r="E71" s="24" t="n">
        <v>0</v>
      </c>
      <c r="F71" s="24" t="n">
        <v>826575</v>
      </c>
      <c r="G71" s="24" t="n">
        <v>0</v>
      </c>
      <c r="H71" s="24" t="n">
        <v>826575</v>
      </c>
      <c r="I71" s="24" t="n">
        <v>0</v>
      </c>
      <c r="J71" s="20" t="n">
        <f aca="false">(D71-E71)+(F71-G71)-(H71-I71)</f>
        <v>0</v>
      </c>
    </row>
    <row r="72" customFormat="false" ht="15" hidden="false" customHeight="false" outlineLevel="0" collapsed="false">
      <c r="A72" s="33" t="n">
        <v>641400</v>
      </c>
      <c r="B72" s="12" t="s">
        <v>295</v>
      </c>
      <c r="C72" s="13" t="s">
        <v>291</v>
      </c>
      <c r="D72" s="24" t="n">
        <v>0</v>
      </c>
      <c r="E72" s="24" t="n">
        <v>0</v>
      </c>
      <c r="F72" s="24" t="n">
        <v>104066</v>
      </c>
      <c r="G72" s="24" t="n">
        <v>0</v>
      </c>
      <c r="H72" s="24" t="n">
        <v>104066</v>
      </c>
      <c r="I72" s="24" t="n">
        <v>0</v>
      </c>
      <c r="J72" s="20" t="n">
        <f aca="false">(D72-E72)+(F72-G72)-(H72-I72)</f>
        <v>0</v>
      </c>
    </row>
    <row r="73" customFormat="false" ht="15" hidden="false" customHeight="false" outlineLevel="0" collapsed="false">
      <c r="A73" s="33" t="n">
        <v>641500</v>
      </c>
      <c r="B73" s="12" t="s">
        <v>296</v>
      </c>
      <c r="C73" s="13" t="s">
        <v>291</v>
      </c>
      <c r="D73" s="24" t="n">
        <v>0</v>
      </c>
      <c r="E73" s="24" t="n">
        <v>0</v>
      </c>
      <c r="F73" s="24" t="n">
        <v>312211</v>
      </c>
      <c r="G73" s="24" t="n">
        <v>0</v>
      </c>
      <c r="H73" s="24" t="n">
        <v>312211</v>
      </c>
      <c r="I73" s="24" t="n">
        <v>0</v>
      </c>
      <c r="J73" s="20" t="n">
        <f aca="false">(D73-E73)+(F73-G73)-(H73-I73)</f>
        <v>0</v>
      </c>
    </row>
    <row r="74" customFormat="false" ht="15" hidden="false" customHeight="false" outlineLevel="0" collapsed="false">
      <c r="A74" s="33" t="n">
        <v>641830</v>
      </c>
      <c r="B74" s="12" t="s">
        <v>297</v>
      </c>
      <c r="C74" s="13" t="s">
        <v>291</v>
      </c>
      <c r="D74" s="24" t="n">
        <v>0</v>
      </c>
      <c r="E74" s="24" t="n">
        <v>0</v>
      </c>
      <c r="F74" s="24" t="n">
        <v>211685</v>
      </c>
      <c r="G74" s="24" t="n">
        <v>0</v>
      </c>
      <c r="H74" s="24" t="n">
        <v>211685</v>
      </c>
      <c r="I74" s="24" t="n">
        <v>0</v>
      </c>
      <c r="J74" s="20" t="n">
        <f aca="false">(D74-E74)+(F74-G74)-(H74-I74)</f>
        <v>0</v>
      </c>
    </row>
    <row r="75" customFormat="false" ht="15" hidden="false" customHeight="false" outlineLevel="0" collapsed="false">
      <c r="A75" s="33" t="n">
        <v>646200</v>
      </c>
      <c r="B75" s="12" t="s">
        <v>298</v>
      </c>
      <c r="C75" s="13" t="s">
        <v>291</v>
      </c>
      <c r="D75" s="24" t="n">
        <v>0</v>
      </c>
      <c r="E75" s="24" t="n">
        <v>0</v>
      </c>
      <c r="F75" s="24" t="n">
        <v>1725647</v>
      </c>
      <c r="G75" s="24" t="n">
        <v>0</v>
      </c>
      <c r="H75" s="24" t="n">
        <v>1725647</v>
      </c>
      <c r="I75" s="24" t="n">
        <v>0</v>
      </c>
      <c r="J75" s="20" t="n">
        <f aca="false">(D75-E75)+(F75-G75)-(H75-I75)</f>
        <v>0</v>
      </c>
    </row>
    <row r="76" customFormat="false" ht="15" hidden="false" customHeight="false" outlineLevel="0" collapsed="false">
      <c r="A76" s="33" t="n">
        <v>648000</v>
      </c>
      <c r="B76" s="12" t="s">
        <v>299</v>
      </c>
      <c r="C76" s="13" t="s">
        <v>291</v>
      </c>
      <c r="D76" s="24" t="n">
        <v>0</v>
      </c>
      <c r="E76" s="24" t="n">
        <v>0</v>
      </c>
      <c r="F76" s="24" t="n">
        <v>725658</v>
      </c>
      <c r="G76" s="24" t="n">
        <v>0</v>
      </c>
      <c r="H76" s="24" t="n">
        <v>725658</v>
      </c>
      <c r="I76" s="24" t="n">
        <v>0</v>
      </c>
      <c r="J76" s="20" t="n">
        <f aca="false">(D76-E76)+(F76-G76)-(H76-I76)</f>
        <v>0</v>
      </c>
    </row>
    <row r="77" customFormat="false" ht="15" hidden="false" customHeight="false" outlineLevel="0" collapsed="false">
      <c r="A77" s="33" t="n">
        <v>658800</v>
      </c>
      <c r="B77" s="12" t="s">
        <v>300</v>
      </c>
      <c r="C77" s="13" t="s">
        <v>301</v>
      </c>
      <c r="D77" s="24" t="n">
        <v>0</v>
      </c>
      <c r="E77" s="24" t="n">
        <v>0</v>
      </c>
      <c r="F77" s="24" t="n">
        <v>1316731</v>
      </c>
      <c r="G77" s="24" t="n">
        <v>0</v>
      </c>
      <c r="H77" s="24" t="n">
        <v>1316731</v>
      </c>
      <c r="I77" s="24" t="n">
        <v>0</v>
      </c>
      <c r="J77" s="20" t="n">
        <f aca="false">(D77-E77)+(F77-G77)-(H77-I77)</f>
        <v>0</v>
      </c>
    </row>
    <row r="78" customFormat="false" ht="15" hidden="false" customHeight="false" outlineLevel="0" collapsed="false">
      <c r="A78" s="33" t="n">
        <v>661100</v>
      </c>
      <c r="B78" s="12" t="s">
        <v>302</v>
      </c>
      <c r="C78" s="13" t="s">
        <v>303</v>
      </c>
      <c r="D78" s="24" t="n">
        <v>0</v>
      </c>
      <c r="E78" s="24" t="n">
        <v>0</v>
      </c>
      <c r="F78" s="24" t="n">
        <v>58979354</v>
      </c>
      <c r="G78" s="24" t="n">
        <v>0</v>
      </c>
      <c r="H78" s="24" t="n">
        <v>58979354</v>
      </c>
      <c r="I78" s="24" t="n">
        <v>0</v>
      </c>
      <c r="J78" s="20" t="n">
        <f aca="false">(D78-E78)+(F78-G78)-(H78-I78)</f>
        <v>0</v>
      </c>
    </row>
    <row r="79" customFormat="false" ht="15" hidden="false" customHeight="false" outlineLevel="0" collapsed="false">
      <c r="A79" s="33" t="n">
        <v>661200</v>
      </c>
      <c r="B79" s="12" t="s">
        <v>304</v>
      </c>
      <c r="C79" s="13" t="s">
        <v>303</v>
      </c>
      <c r="D79" s="24" t="n">
        <v>0</v>
      </c>
      <c r="E79" s="24" t="n">
        <v>0</v>
      </c>
      <c r="F79" s="24" t="n">
        <v>19937999</v>
      </c>
      <c r="G79" s="24" t="n">
        <v>0</v>
      </c>
      <c r="H79" s="24" t="n">
        <v>19937999</v>
      </c>
      <c r="I79" s="24" t="n">
        <v>0</v>
      </c>
      <c r="J79" s="20" t="n">
        <f aca="false">(D79-E79)+(F79-G79)-(H79-I79)</f>
        <v>0</v>
      </c>
    </row>
    <row r="80" customFormat="false" ht="15" hidden="false" customHeight="false" outlineLevel="0" collapsed="false">
      <c r="A80" s="33" t="n">
        <v>661300</v>
      </c>
      <c r="B80" s="12" t="s">
        <v>305</v>
      </c>
      <c r="C80" s="13" t="s">
        <v>303</v>
      </c>
      <c r="D80" s="24" t="n">
        <v>0</v>
      </c>
      <c r="E80" s="24" t="n">
        <v>0</v>
      </c>
      <c r="F80" s="24" t="n">
        <v>6578578</v>
      </c>
      <c r="G80" s="24" t="n">
        <v>0</v>
      </c>
      <c r="H80" s="24" t="n">
        <v>6578578</v>
      </c>
      <c r="I80" s="24" t="n">
        <v>0</v>
      </c>
      <c r="J80" s="20" t="n">
        <f aca="false">(D80-E80)+(F80-G80)-(H80-I80)</f>
        <v>0</v>
      </c>
    </row>
    <row r="81" customFormat="false" ht="15" hidden="false" customHeight="false" outlineLevel="0" collapsed="false">
      <c r="A81" s="33" t="n">
        <v>661400</v>
      </c>
      <c r="B81" s="12" t="s">
        <v>306</v>
      </c>
      <c r="C81" s="13" t="s">
        <v>303</v>
      </c>
      <c r="D81" s="24" t="n">
        <v>0</v>
      </c>
      <c r="E81" s="24" t="n">
        <v>0</v>
      </c>
      <c r="F81" s="24" t="n">
        <v>6643514</v>
      </c>
      <c r="G81" s="24" t="n">
        <v>0</v>
      </c>
      <c r="H81" s="24" t="n">
        <v>6643514</v>
      </c>
      <c r="I81" s="24" t="n">
        <v>0</v>
      </c>
      <c r="J81" s="20" t="n">
        <f aca="false">(D81-E81)+(F81-G81)-(H81-I81)</f>
        <v>0</v>
      </c>
    </row>
    <row r="82" customFormat="false" ht="15" hidden="false" customHeight="false" outlineLevel="0" collapsed="false">
      <c r="A82" s="33" t="n">
        <v>663400</v>
      </c>
      <c r="B82" s="12" t="s">
        <v>307</v>
      </c>
      <c r="C82" s="13" t="s">
        <v>303</v>
      </c>
      <c r="D82" s="24" t="n">
        <v>0</v>
      </c>
      <c r="E82" s="24" t="n">
        <v>0</v>
      </c>
      <c r="F82" s="24" t="n">
        <v>6880797</v>
      </c>
      <c r="G82" s="24" t="n">
        <v>0</v>
      </c>
      <c r="H82" s="24" t="n">
        <v>6880797</v>
      </c>
      <c r="I82" s="24" t="n">
        <v>0</v>
      </c>
      <c r="J82" s="20" t="n">
        <f aca="false">(D82-E82)+(F82-G82)-(H82-I82)</f>
        <v>0</v>
      </c>
    </row>
    <row r="83" customFormat="false" ht="15" hidden="false" customHeight="false" outlineLevel="0" collapsed="false">
      <c r="A83" s="33" t="n">
        <v>664104</v>
      </c>
      <c r="B83" s="12" t="s">
        <v>308</v>
      </c>
      <c r="C83" s="13" t="s">
        <v>303</v>
      </c>
      <c r="D83" s="24" t="n">
        <v>0</v>
      </c>
      <c r="E83" s="24" t="n">
        <v>0</v>
      </c>
      <c r="F83" s="24" t="n">
        <v>7005273</v>
      </c>
      <c r="G83" s="24" t="n">
        <v>0</v>
      </c>
      <c r="H83" s="24" t="n">
        <v>7005273</v>
      </c>
      <c r="I83" s="24" t="n">
        <v>0</v>
      </c>
      <c r="J83" s="20" t="n">
        <f aca="false">(D83-E83)+(F83-G83)-(H83-I83)</f>
        <v>0</v>
      </c>
    </row>
    <row r="84" customFormat="false" ht="15" hidden="false" customHeight="false" outlineLevel="0" collapsed="false">
      <c r="A84" s="33" t="n">
        <v>671201</v>
      </c>
      <c r="B84" s="12" t="s">
        <v>309</v>
      </c>
      <c r="C84" s="13" t="s">
        <v>310</v>
      </c>
      <c r="D84" s="24" t="n">
        <v>0</v>
      </c>
      <c r="E84" s="24" t="n">
        <v>0</v>
      </c>
      <c r="F84" s="24" t="n">
        <v>4142819</v>
      </c>
      <c r="G84" s="24" t="n">
        <v>0</v>
      </c>
      <c r="H84" s="24" t="n">
        <v>4142819</v>
      </c>
      <c r="I84" s="24" t="n">
        <v>0</v>
      </c>
      <c r="J84" s="20" t="n">
        <f aca="false">(D84-E84)+(F84-G84)-(H84-I84)</f>
        <v>0</v>
      </c>
    </row>
    <row r="85" customFormat="false" ht="15" hidden="false" customHeight="false" outlineLevel="0" collapsed="false">
      <c r="A85" s="33" t="n">
        <v>672301</v>
      </c>
      <c r="B85" s="12" t="s">
        <v>311</v>
      </c>
      <c r="C85" s="13" t="s">
        <v>310</v>
      </c>
      <c r="D85" s="24" t="n">
        <v>0</v>
      </c>
      <c r="E85" s="24" t="n">
        <v>0</v>
      </c>
      <c r="F85" s="24" t="n">
        <v>3965478</v>
      </c>
      <c r="G85" s="24" t="n">
        <v>0</v>
      </c>
      <c r="H85" s="24" t="n">
        <v>3965478</v>
      </c>
      <c r="I85" s="24" t="n">
        <v>0</v>
      </c>
      <c r="J85" s="20" t="n">
        <f aca="false">(D85-E85)+(F85-G85)-(H85-I85)</f>
        <v>0</v>
      </c>
    </row>
    <row r="86" customFormat="false" ht="15" hidden="false" customHeight="false" outlineLevel="0" collapsed="false">
      <c r="A86" s="33" t="n">
        <v>681301</v>
      </c>
      <c r="B86" s="12" t="s">
        <v>312</v>
      </c>
      <c r="C86" s="13" t="s">
        <v>313</v>
      </c>
      <c r="D86" s="24" t="n">
        <v>0</v>
      </c>
      <c r="E86" s="24" t="n">
        <v>0</v>
      </c>
      <c r="F86" s="24" t="n">
        <v>19282845</v>
      </c>
      <c r="G86" s="24" t="n">
        <v>0</v>
      </c>
      <c r="H86" s="24" t="n">
        <v>19282845</v>
      </c>
      <c r="I86" s="24" t="n">
        <v>0</v>
      </c>
      <c r="J86" s="20" t="n">
        <f aca="false">(D86-E86)+(F86-G86)-(H86-I86)</f>
        <v>0</v>
      </c>
    </row>
    <row r="87" customFormat="false" ht="15" hidden="false" customHeight="false" outlineLevel="0" collapsed="false">
      <c r="A87" s="33" t="n">
        <v>681302</v>
      </c>
      <c r="B87" s="12" t="s">
        <v>314</v>
      </c>
      <c r="C87" s="13" t="s">
        <v>313</v>
      </c>
      <c r="D87" s="24" t="n">
        <v>0</v>
      </c>
      <c r="E87" s="24" t="n">
        <v>0</v>
      </c>
      <c r="F87" s="24" t="n">
        <v>44854932</v>
      </c>
      <c r="G87" s="24" t="n">
        <v>0</v>
      </c>
      <c r="H87" s="24" t="n">
        <v>44854932</v>
      </c>
      <c r="I87" s="24" t="n">
        <v>0</v>
      </c>
      <c r="J87" s="20" t="n">
        <f aca="false">(D87-E87)+(F87-G87)-(H87-I87)</f>
        <v>0</v>
      </c>
    </row>
    <row r="88" customFormat="false" ht="15" hidden="false" customHeight="false" outlineLevel="0" collapsed="false">
      <c r="A88" s="33" t="n">
        <v>681303</v>
      </c>
      <c r="B88" s="12" t="s">
        <v>315</v>
      </c>
      <c r="C88" s="13" t="s">
        <v>313</v>
      </c>
      <c r="D88" s="24" t="n">
        <v>0</v>
      </c>
      <c r="E88" s="24" t="n">
        <v>0</v>
      </c>
      <c r="F88" s="24" t="n">
        <v>4934884</v>
      </c>
      <c r="G88" s="24" t="n">
        <v>0</v>
      </c>
      <c r="H88" s="24" t="n">
        <v>4934884</v>
      </c>
      <c r="I88" s="24" t="n">
        <v>0</v>
      </c>
      <c r="J88" s="20" t="n">
        <f aca="false">(D88-E88)+(F88-G88)-(H88-I88)</f>
        <v>0</v>
      </c>
    </row>
    <row r="89" customFormat="false" ht="15" hidden="false" customHeight="false" outlineLevel="0" collapsed="false">
      <c r="A89" s="33" t="n">
        <v>681304</v>
      </c>
      <c r="B89" s="12" t="s">
        <v>316</v>
      </c>
      <c r="C89" s="13" t="s">
        <v>313</v>
      </c>
      <c r="D89" s="24" t="n">
        <v>0</v>
      </c>
      <c r="E89" s="24" t="n">
        <v>0</v>
      </c>
      <c r="F89" s="24" t="n">
        <v>10760638</v>
      </c>
      <c r="G89" s="24" t="n">
        <v>0</v>
      </c>
      <c r="H89" s="24" t="n">
        <v>10760638</v>
      </c>
      <c r="I89" s="24" t="n">
        <v>0</v>
      </c>
      <c r="J89" s="20" t="n">
        <f aca="false">(D89-E89)+(F89-G89)-(H89-I89)</f>
        <v>0</v>
      </c>
    </row>
    <row r="90" customFormat="false" ht="15" hidden="false" customHeight="false" outlineLevel="0" collapsed="false">
      <c r="A90" s="33" t="n">
        <v>691100</v>
      </c>
      <c r="B90" s="12" t="s">
        <v>317</v>
      </c>
      <c r="C90" s="13" t="s">
        <v>313</v>
      </c>
      <c r="D90" s="24" t="n">
        <v>0</v>
      </c>
      <c r="E90" s="24" t="n">
        <v>0</v>
      </c>
      <c r="F90" s="24" t="n">
        <v>6059296</v>
      </c>
      <c r="G90" s="24" t="n">
        <v>0</v>
      </c>
      <c r="H90" s="24" t="n">
        <v>6059296</v>
      </c>
      <c r="I90" s="24" t="n">
        <v>0</v>
      </c>
      <c r="J90" s="20" t="n">
        <f aca="false">(D90-E90)+(F90-G90)-(H90-I90)</f>
        <v>0</v>
      </c>
    </row>
    <row r="91" customFormat="false" ht="15" hidden="false" customHeight="false" outlineLevel="0" collapsed="false">
      <c r="A91" s="28" t="n">
        <v>705100</v>
      </c>
      <c r="B91" s="29" t="s">
        <v>318</v>
      </c>
      <c r="C91" s="30" t="s">
        <v>319</v>
      </c>
      <c r="D91" s="31" t="n">
        <v>0</v>
      </c>
      <c r="E91" s="31" t="n">
        <v>0</v>
      </c>
      <c r="F91" s="31" t="n">
        <v>0</v>
      </c>
      <c r="G91" s="31" t="n">
        <v>701026695</v>
      </c>
      <c r="H91" s="31" t="n">
        <v>0</v>
      </c>
      <c r="I91" s="31" t="n">
        <v>701026695</v>
      </c>
      <c r="J91" s="32" t="n">
        <f aca="false">(D91-E91)+(F91-G91)-(H91-I91)</f>
        <v>0</v>
      </c>
    </row>
    <row r="92" customFormat="false" ht="15" hidden="false" customHeight="false" outlineLevel="0" collapsed="false">
      <c r="A92" s="33" t="n">
        <v>771200</v>
      </c>
      <c r="B92" s="12" t="s">
        <v>320</v>
      </c>
      <c r="C92" s="13" t="s">
        <v>321</v>
      </c>
      <c r="D92" s="24" t="n">
        <v>0</v>
      </c>
      <c r="E92" s="24" t="n">
        <v>0</v>
      </c>
      <c r="F92" s="24" t="n">
        <v>0</v>
      </c>
      <c r="G92" s="24" t="n">
        <v>848594</v>
      </c>
      <c r="H92" s="24" t="n">
        <v>0</v>
      </c>
      <c r="I92" s="24" t="n">
        <v>848594</v>
      </c>
      <c r="J92" s="20" t="n">
        <f aca="false">(D92-E92)+(F92-G92)-(H92-I92)</f>
        <v>0</v>
      </c>
    </row>
    <row r="93" customFormat="false" ht="15" hidden="false" customHeight="false" outlineLevel="0" collapsed="false">
      <c r="A93" s="28" t="n">
        <v>891100</v>
      </c>
      <c r="B93" s="29" t="s">
        <v>322</v>
      </c>
      <c r="C93" s="30" t="s">
        <v>323</v>
      </c>
      <c r="D93" s="31" t="n">
        <v>0</v>
      </c>
      <c r="E93" s="31" t="n">
        <v>0</v>
      </c>
      <c r="F93" s="31" t="n">
        <v>24232959</v>
      </c>
      <c r="G93" s="31" t="n">
        <v>0</v>
      </c>
      <c r="H93" s="31" t="n">
        <v>24232959</v>
      </c>
      <c r="I93" s="31" t="n">
        <v>0</v>
      </c>
      <c r="J93" s="32" t="n">
        <f aca="false">(D93-E93)+(F93-G93)-(H93-I93)</f>
        <v>0</v>
      </c>
    </row>
    <row r="94" customFormat="false" ht="15" hidden="false" customHeight="false" outlineLevel="0" collapsed="false">
      <c r="A94" s="33" t="n">
        <v>895000</v>
      </c>
      <c r="B94" s="12" t="s">
        <v>324</v>
      </c>
      <c r="C94" s="13" t="s">
        <v>323</v>
      </c>
      <c r="D94" s="24" t="n">
        <v>0</v>
      </c>
      <c r="E94" s="24" t="n">
        <v>0</v>
      </c>
      <c r="F94" s="24" t="n">
        <v>0</v>
      </c>
      <c r="G94" s="24" t="n">
        <v>0</v>
      </c>
      <c r="H94" s="24" t="n">
        <v>0</v>
      </c>
      <c r="I94" s="24" t="n">
        <v>0</v>
      </c>
      <c r="J94" s="20" t="n">
        <f aca="false">(D94-E94)+(F94-G94)-(H94-I94)</f>
        <v>0</v>
      </c>
    </row>
    <row r="96" customFormat="false" ht="15" hidden="false" customHeight="false" outlineLevel="0" collapsed="false">
      <c r="A96" s="34"/>
      <c r="B96" s="35" t="s">
        <v>325</v>
      </c>
      <c r="C96" s="34"/>
      <c r="D96" s="36" t="n">
        <f aca="false">SUM(D5:D94)</f>
        <v>1308965390</v>
      </c>
      <c r="E96" s="36" t="n">
        <f aca="false">SUM(E5:E94)</f>
        <v>1308965390</v>
      </c>
      <c r="F96" s="36" t="n">
        <f aca="false">SUM(F5:F94)</f>
        <v>4378495087</v>
      </c>
      <c r="G96" s="36" t="n">
        <f aca="false">SUM(G5:G94)</f>
        <v>4378495087</v>
      </c>
      <c r="H96" s="36" t="n">
        <f aca="false">SUM(H5:H94)</f>
        <v>2342400758</v>
      </c>
      <c r="I96" s="36" t="n">
        <f aca="false">SUM(I5:I94)</f>
        <v>2342400758</v>
      </c>
      <c r="J96" s="36" t="n">
        <f aca="false">SUM(J5:J94)</f>
        <v>0</v>
      </c>
    </row>
    <row r="97" customFormat="false" ht="15" hidden="false" customHeight="false" outlineLevel="0" collapsed="false">
      <c r="B97" s="4" t="s">
        <v>326</v>
      </c>
      <c r="D97" s="21" t="n">
        <f aca="false">D96-E96</f>
        <v>0</v>
      </c>
      <c r="F97" s="21" t="n">
        <f aca="false">F96-G96</f>
        <v>0</v>
      </c>
      <c r="H97" s="21" t="n">
        <f aca="false">H96-I96</f>
        <v>0</v>
      </c>
    </row>
  </sheetData>
  <mergeCells count="4">
    <mergeCell ref="A1:J1"/>
    <mergeCell ref="D3:E3"/>
    <mergeCell ref="F3:G3"/>
    <mergeCell ref="H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ignoredErrors>
    <ignoredError sqref="A1:Z400" formula="1" formulaRange="1" unlockedFormula="1" numberStoredAsText="1" emptyCellReferenc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J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6"/>
    <col collapsed="false" customWidth="true" hidden="false" outlineLevel="0" max="3" min="3" style="0" width="7"/>
    <col collapsed="false" customWidth="true" hidden="false" outlineLevel="0" max="9" min="4" style="0" width="15"/>
    <col collapsed="false" customWidth="true" hidden="false" outlineLevel="0" max="10" min="10" style="0" width="13"/>
  </cols>
  <sheetData>
    <row r="1" customFormat="false" ht="24" hidden="false" customHeight="true" outlineLevel="0" collapsed="false">
      <c r="A1" s="1" t="s">
        <v>327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328</v>
      </c>
    </row>
    <row r="3" customFormat="false" ht="15" hidden="false" customHeight="false" outlineLevel="0" collapsed="false">
      <c r="A3" s="25"/>
      <c r="B3" s="25"/>
      <c r="C3" s="25"/>
      <c r="D3" s="26" t="s">
        <v>196</v>
      </c>
      <c r="E3" s="26"/>
      <c r="F3" s="26" t="s">
        <v>197</v>
      </c>
      <c r="G3" s="26"/>
      <c r="H3" s="26" t="s">
        <v>198</v>
      </c>
      <c r="I3" s="26"/>
      <c r="J3" s="27" t="s">
        <v>199</v>
      </c>
    </row>
    <row r="4" customFormat="false" ht="15" hidden="false" customHeight="false" outlineLevel="0" collapsed="false">
      <c r="A4" s="8" t="s">
        <v>200</v>
      </c>
      <c r="B4" s="8" t="s">
        <v>201</v>
      </c>
      <c r="C4" s="8" t="s">
        <v>202</v>
      </c>
      <c r="D4" s="8" t="s">
        <v>203</v>
      </c>
      <c r="E4" s="8" t="s">
        <v>204</v>
      </c>
      <c r="F4" s="8" t="s">
        <v>203</v>
      </c>
      <c r="G4" s="8" t="s">
        <v>204</v>
      </c>
      <c r="H4" s="8" t="s">
        <v>203</v>
      </c>
      <c r="I4" s="8" t="s">
        <v>204</v>
      </c>
      <c r="J4" s="8" t="s">
        <v>205</v>
      </c>
    </row>
    <row r="5" customFormat="false" ht="15" hidden="false" customHeight="false" outlineLevel="0" collapsed="false">
      <c r="A5" s="28" t="n">
        <v>101000</v>
      </c>
      <c r="B5" s="29" t="s">
        <v>206</v>
      </c>
      <c r="C5" s="30" t="s">
        <v>207</v>
      </c>
      <c r="D5" s="37" t="n">
        <f aca="false">'BALANCE 2024'!H5</f>
        <v>0</v>
      </c>
      <c r="E5" s="37" t="n">
        <f aca="false">'BALANCE 2024'!I5</f>
        <v>10000000</v>
      </c>
      <c r="F5" s="37" t="n">
        <f aca="false">ROUND('INVEST ET FINANCEMENT'!D$51,0)+(H5-I5)-(D5-E5)</f>
        <v>0</v>
      </c>
      <c r="G5" s="37" t="n">
        <f aca="false">ROUND('INVEST ET FINANCEMENT'!D$51,0)</f>
        <v>0</v>
      </c>
      <c r="H5" s="32" t="n">
        <v>0</v>
      </c>
      <c r="I5" s="37" t="n">
        <f aca="false">ROUND(E5+'INVEST ET FINANCEMENT'!D$51,0)</f>
        <v>10000000</v>
      </c>
      <c r="J5" s="32" t="n">
        <f aca="false">(D5-E5)+(F5-G5)-(H5-I5)</f>
        <v>0</v>
      </c>
    </row>
    <row r="6" customFormat="false" ht="15" hidden="false" customHeight="false" outlineLevel="0" collapsed="false">
      <c r="A6" s="33" t="n">
        <v>111000</v>
      </c>
      <c r="B6" s="12" t="s">
        <v>208</v>
      </c>
      <c r="C6" s="13" t="s">
        <v>209</v>
      </c>
      <c r="D6" s="15" t="n">
        <f aca="false">'BALANCE 2024'!H6</f>
        <v>0</v>
      </c>
      <c r="E6" s="15" t="n">
        <f aca="false">'BALANCE 2024'!I6</f>
        <v>0</v>
      </c>
      <c r="F6" s="15" t="n">
        <f aca="false">ROUND(HYPOTHESES!D$58,0)+(H6-I6)-(D6-E6)</f>
        <v>0</v>
      </c>
      <c r="G6" s="15" t="n">
        <f aca="false">ROUND(HYPOTHESES!D$58,0)</f>
        <v>2000000</v>
      </c>
      <c r="H6" s="20" t="n">
        <v>0</v>
      </c>
      <c r="I6" s="15" t="n">
        <f aca="false">ROUND(E6+HYPOTHESES!D$58,0)</f>
        <v>2000000</v>
      </c>
      <c r="J6" s="20" t="n">
        <f aca="false">(D6-E6)+(F6-G6)-(H6-I6)</f>
        <v>0</v>
      </c>
    </row>
    <row r="7" customFormat="false" ht="15" hidden="false" customHeight="false" outlineLevel="0" collapsed="false">
      <c r="A7" s="33" t="n">
        <v>121000</v>
      </c>
      <c r="B7" s="12" t="s">
        <v>210</v>
      </c>
      <c r="C7" s="13" t="s">
        <v>211</v>
      </c>
      <c r="D7" s="15" t="n">
        <f aca="false">'BALANCE 2024'!H7</f>
        <v>0</v>
      </c>
      <c r="E7" s="15" t="n">
        <f aca="false">'BALANCE 2024'!I7</f>
        <v>773799851</v>
      </c>
      <c r="F7" s="20" t="n">
        <f aca="false">MAX(0,(H7-I7)-(D7-E7))</f>
        <v>0</v>
      </c>
      <c r="G7" s="20" t="n">
        <f aca="false">MAX(0,(D7-E7)-(H7-I7))</f>
        <v>70698877</v>
      </c>
      <c r="H7" s="15" t="n">
        <f aca="false">ROUND(MAX(0,-(E7-D7+HYPOTHESES!D$60)),0)</f>
        <v>0</v>
      </c>
      <c r="I7" s="15" t="n">
        <f aca="false">ROUND(MAX(0,(E7-D7+HYPOTHESES!D$60)),0)</f>
        <v>844498728</v>
      </c>
      <c r="J7" s="20" t="n">
        <f aca="false">(D7-E7)+(F7-G7)-(H7-I7)</f>
        <v>0</v>
      </c>
    </row>
    <row r="8" customFormat="false" ht="15" hidden="false" customHeight="false" outlineLevel="0" collapsed="false">
      <c r="A8" s="33" t="n">
        <v>130100</v>
      </c>
      <c r="B8" s="12" t="s">
        <v>212</v>
      </c>
      <c r="C8" s="13" t="s">
        <v>213</v>
      </c>
      <c r="D8" s="15" t="n">
        <f aca="false">MAX(0,-(SUM('BALANCE 2024'!I48:I94)-SUM('BALANCE 2024'!H48:H94)))</f>
        <v>0</v>
      </c>
      <c r="E8" s="15" t="n">
        <f aca="false">MAX(0,(SUM('BALANCE 2024'!I48:I94)-SUM('BALANCE 2024'!H48:H94)))</f>
        <v>72698877</v>
      </c>
      <c r="F8" s="20" t="n">
        <f aca="false">MAX(0,(H8-I8)-(D8-E8))</f>
        <v>72698877</v>
      </c>
      <c r="G8" s="20" t="n">
        <f aca="false">MAX(0,(D8-E8)-(H8-I8))</f>
        <v>0</v>
      </c>
      <c r="H8" s="20" t="n">
        <v>0</v>
      </c>
      <c r="I8" s="20" t="n">
        <v>0</v>
      </c>
      <c r="J8" s="20" t="n">
        <f aca="false">(D8-E8)+(F8-G8)-(H8-I8)</f>
        <v>0</v>
      </c>
    </row>
    <row r="9" customFormat="false" ht="15" hidden="false" customHeight="false" outlineLevel="0" collapsed="false">
      <c r="A9" s="33" t="n">
        <v>162002</v>
      </c>
      <c r="B9" s="12" t="s">
        <v>214</v>
      </c>
      <c r="C9" s="13" t="s">
        <v>172</v>
      </c>
      <c r="D9" s="15" t="n">
        <f aca="false">'BALANCE 2024'!H9</f>
        <v>0</v>
      </c>
      <c r="E9" s="15" t="n">
        <f aca="false">'BALANCE 2024'!I9</f>
        <v>39658832</v>
      </c>
      <c r="F9" s="15" t="n">
        <f aca="false">ROUND('INVEST ET FINANCEMENT'!D$47,0)+(H9-I9)-(D9-E9)</f>
        <v>94054514</v>
      </c>
      <c r="G9" s="15" t="n">
        <f aca="false">ROUND('INVEST ET FINANCEMENT'!D$47,0)</f>
        <v>54395682</v>
      </c>
      <c r="H9" s="20" t="n">
        <v>0</v>
      </c>
      <c r="I9" s="15" t="n">
        <f aca="false">ROUND(E9+'INVEST ET FINANCEMENT'!D$47-'INVEST ET FINANCEMENT'!D$48,0)</f>
        <v>0</v>
      </c>
      <c r="J9" s="20" t="n">
        <f aca="false">(D9-E9)+(F9-G9)-(H9-I9)</f>
        <v>0</v>
      </c>
    </row>
    <row r="10" customFormat="false" ht="15" hidden="false" customHeight="false" outlineLevel="0" collapsed="false">
      <c r="A10" s="33" t="n">
        <v>173060</v>
      </c>
      <c r="B10" s="12" t="s">
        <v>215</v>
      </c>
      <c r="C10" s="13" t="s">
        <v>175</v>
      </c>
      <c r="D10" s="15" t="n">
        <f aca="false">'BALANCE 2024'!H10</f>
        <v>0</v>
      </c>
      <c r="E10" s="15" t="n">
        <f aca="false">'BALANCE 2024'!I10</f>
        <v>10619694</v>
      </c>
      <c r="F10" s="15" t="n">
        <f aca="false">ROUND('INVEST ET FINANCEMENT'!D$49,0)</f>
        <v>10619694</v>
      </c>
      <c r="G10" s="15" t="n">
        <f aca="false">ROUND('INVEST ET FINANCEMENT'!D$49,0)+(D10-E10)-(H10-I10)</f>
        <v>0</v>
      </c>
      <c r="H10" s="20" t="n">
        <v>0</v>
      </c>
      <c r="I10" s="15" t="n">
        <f aca="false">ROUND(E10-'INVEST ET FINANCEMENT'!D$49,0)</f>
        <v>0</v>
      </c>
      <c r="J10" s="20" t="n">
        <f aca="false">(D10-E10)+(F10-G10)-(H10-I10)</f>
        <v>0</v>
      </c>
    </row>
    <row r="11" customFormat="false" ht="15" hidden="false" customHeight="false" outlineLevel="0" collapsed="false">
      <c r="A11" s="33" t="n">
        <v>196100</v>
      </c>
      <c r="B11" s="12" t="s">
        <v>216</v>
      </c>
      <c r="C11" s="13" t="s">
        <v>217</v>
      </c>
      <c r="D11" s="15" t="n">
        <f aca="false">'BALANCE 2024'!H11</f>
        <v>0</v>
      </c>
      <c r="E11" s="15" t="n">
        <f aca="false">'BALANCE 2024'!I11</f>
        <v>21273896</v>
      </c>
      <c r="F11" s="15" t="n">
        <f aca="false">ROUND(HYPOTHESES!D$20,0)+(H11-I11)-(D11-E11)</f>
        <v>0</v>
      </c>
      <c r="G11" s="15" t="n">
        <f aca="false">ROUND(HYPOTHESES!D$20,0)</f>
        <v>6059296</v>
      </c>
      <c r="H11" s="20" t="n">
        <v>0</v>
      </c>
      <c r="I11" s="15" t="n">
        <f aca="false">ROUND(E11+HYPOTHESES!D$20,0)</f>
        <v>27333192</v>
      </c>
      <c r="J11" s="20" t="n">
        <f aca="false">(D11-E11)+(F11-G11)-(H11-I11)</f>
        <v>0</v>
      </c>
    </row>
    <row r="12" customFormat="false" ht="15" hidden="false" customHeight="false" outlineLevel="0" collapsed="false">
      <c r="A12" s="28" t="n">
        <v>234100</v>
      </c>
      <c r="B12" s="29" t="s">
        <v>218</v>
      </c>
      <c r="C12" s="30" t="s">
        <v>219</v>
      </c>
      <c r="D12" s="37" t="n">
        <f aca="false">'BALANCE 2024'!H12</f>
        <v>103601492</v>
      </c>
      <c r="E12" s="37" t="n">
        <f aca="false">'BALANCE 2024'!I12</f>
        <v>0</v>
      </c>
      <c r="F12" s="37" t="n">
        <f aca="false">ROUND('INVEST ET FINANCEMENT'!D$9,0)</f>
        <v>0</v>
      </c>
      <c r="G12" s="37" t="n">
        <f aca="false">ROUND('INVEST ET FINANCEMENT'!D$9,0)+(D12-E12)-(H12-I12)</f>
        <v>0</v>
      </c>
      <c r="H12" s="37" t="n">
        <f aca="false">ROUND(D12+'INVEST ET FINANCEMENT'!D$9,0)</f>
        <v>103601492</v>
      </c>
      <c r="I12" s="32" t="n">
        <v>0</v>
      </c>
      <c r="J12" s="32" t="n">
        <f aca="false">(D12-E12)+(F12-G12)-(H12-I12)</f>
        <v>0</v>
      </c>
    </row>
    <row r="13" customFormat="false" ht="15" hidden="false" customHeight="false" outlineLevel="0" collapsed="false">
      <c r="A13" s="33" t="n">
        <v>241100</v>
      </c>
      <c r="B13" s="12" t="s">
        <v>220</v>
      </c>
      <c r="C13" s="13" t="s">
        <v>221</v>
      </c>
      <c r="D13" s="15" t="n">
        <f aca="false">'BALANCE 2024'!H13</f>
        <v>313845268</v>
      </c>
      <c r="E13" s="15" t="n">
        <f aca="false">'BALANCE 2024'!I13</f>
        <v>0</v>
      </c>
      <c r="F13" s="15" t="n">
        <f aca="false">ROUND('INVEST ET FINANCEMENT'!D$10,0)</f>
        <v>0</v>
      </c>
      <c r="G13" s="15" t="n">
        <f aca="false">ROUND('INVEST ET FINANCEMENT'!D$10,0)+(D13-E13)-(H13-I13)</f>
        <v>0</v>
      </c>
      <c r="H13" s="15" t="n">
        <f aca="false">ROUND(D13+'INVEST ET FINANCEMENT'!D$10,0)</f>
        <v>313845268</v>
      </c>
      <c r="I13" s="20" t="n">
        <v>0</v>
      </c>
      <c r="J13" s="20" t="n">
        <f aca="false">(D13-E13)+(F13-G13)-(H13-I13)</f>
        <v>0</v>
      </c>
    </row>
    <row r="14" customFormat="false" ht="15" hidden="false" customHeight="false" outlineLevel="0" collapsed="false">
      <c r="A14" s="33" t="n">
        <v>244100</v>
      </c>
      <c r="B14" s="12" t="s">
        <v>222</v>
      </c>
      <c r="C14" s="13" t="s">
        <v>221</v>
      </c>
      <c r="D14" s="15" t="n">
        <f aca="false">'BALANCE 2024'!H14</f>
        <v>9306956</v>
      </c>
      <c r="E14" s="15" t="n">
        <f aca="false">'BALANCE 2024'!I14</f>
        <v>0</v>
      </c>
      <c r="F14" s="20" t="n">
        <f aca="false">MAX(0,(H14-I14)-(D14-E14))</f>
        <v>0</v>
      </c>
      <c r="G14" s="20" t="n">
        <f aca="false">MAX(0,(D14-E14)-(H14-I14))</f>
        <v>0</v>
      </c>
      <c r="H14" s="20" t="n">
        <f aca="false">ROUND(D14,0)</f>
        <v>9306956</v>
      </c>
      <c r="I14" s="20" t="n">
        <v>0</v>
      </c>
      <c r="J14" s="20" t="n">
        <f aca="false">(D14-E14)+(F14-G14)-(H14-I14)</f>
        <v>0</v>
      </c>
    </row>
    <row r="15" customFormat="false" ht="15" hidden="false" customHeight="false" outlineLevel="0" collapsed="false">
      <c r="A15" s="33" t="n">
        <v>244200</v>
      </c>
      <c r="B15" s="12" t="s">
        <v>223</v>
      </c>
      <c r="C15" s="13" t="s">
        <v>221</v>
      </c>
      <c r="D15" s="15" t="n">
        <f aca="false">'BALANCE 2024'!H15</f>
        <v>12980459</v>
      </c>
      <c r="E15" s="15" t="n">
        <f aca="false">'BALANCE 2024'!I15</f>
        <v>0</v>
      </c>
      <c r="F15" s="15" t="n">
        <f aca="false">ROUND('INVEST ET FINANCEMENT'!D$11,0)</f>
        <v>930000</v>
      </c>
      <c r="G15" s="15" t="n">
        <f aca="false">ROUND('INVEST ET FINANCEMENT'!D$11,0)+(D15-E15)-(H15-I15)</f>
        <v>0</v>
      </c>
      <c r="H15" s="15" t="n">
        <f aca="false">ROUND(D15+'INVEST ET FINANCEMENT'!D$11,0)</f>
        <v>13910459</v>
      </c>
      <c r="I15" s="20" t="n">
        <v>0</v>
      </c>
      <c r="J15" s="20" t="n">
        <f aca="false">(D15-E15)+(F15-G15)-(H15-I15)</f>
        <v>0</v>
      </c>
    </row>
    <row r="16" customFormat="false" ht="15" hidden="false" customHeight="false" outlineLevel="0" collapsed="false">
      <c r="A16" s="33" t="n">
        <v>245100</v>
      </c>
      <c r="B16" s="12" t="s">
        <v>224</v>
      </c>
      <c r="C16" s="13" t="s">
        <v>225</v>
      </c>
      <c r="D16" s="15" t="n">
        <f aca="false">'BALANCE 2024'!H16</f>
        <v>408044985</v>
      </c>
      <c r="E16" s="15" t="n">
        <f aca="false">'BALANCE 2024'!I16</f>
        <v>0</v>
      </c>
      <c r="F16" s="15" t="n">
        <f aca="false">ROUND('INVEST ET FINANCEMENT'!D$12,0)</f>
        <v>15593220</v>
      </c>
      <c r="G16" s="15" t="n">
        <f aca="false">ROUND('INVEST ET FINANCEMENT'!D$12,0)+(D16-E16)-(H16-I16)</f>
        <v>0</v>
      </c>
      <c r="H16" s="15" t="n">
        <f aca="false">ROUND(D16+'INVEST ET FINANCEMENT'!D$12,0)</f>
        <v>423638205</v>
      </c>
      <c r="I16" s="20" t="n">
        <v>0</v>
      </c>
      <c r="J16" s="20" t="n">
        <f aca="false">(D16-E16)+(F16-G16)-(H16-I16)</f>
        <v>0</v>
      </c>
    </row>
    <row r="17" customFormat="false" ht="15" hidden="false" customHeight="false" outlineLevel="0" collapsed="false">
      <c r="A17" s="33" t="n">
        <v>245600</v>
      </c>
      <c r="B17" s="12" t="s">
        <v>226</v>
      </c>
      <c r="C17" s="13" t="s">
        <v>225</v>
      </c>
      <c r="D17" s="15" t="n">
        <f aca="false">'BALANCE 2024'!H17</f>
        <v>28619694</v>
      </c>
      <c r="E17" s="15" t="n">
        <f aca="false">'BALANCE 2024'!I17</f>
        <v>0</v>
      </c>
      <c r="F17" s="20" t="n">
        <f aca="false">MAX(0,(H17-I17)-(D17-E17))</f>
        <v>0</v>
      </c>
      <c r="G17" s="20" t="n">
        <f aca="false">MAX(0,(D17-E17)-(H17-I17))</f>
        <v>0</v>
      </c>
      <c r="H17" s="20" t="n">
        <f aca="false">ROUND(D17,0)</f>
        <v>28619694</v>
      </c>
      <c r="I17" s="20" t="n">
        <v>0</v>
      </c>
      <c r="J17" s="20" t="n">
        <f aca="false">(D17-E17)+(F17-G17)-(H17-I17)</f>
        <v>0</v>
      </c>
    </row>
    <row r="18" customFormat="false" ht="15" hidden="false" customHeight="false" outlineLevel="0" collapsed="false">
      <c r="A18" s="33" t="n">
        <v>271800</v>
      </c>
      <c r="B18" s="12" t="s">
        <v>227</v>
      </c>
      <c r="C18" s="13" t="s">
        <v>228</v>
      </c>
      <c r="D18" s="15" t="n">
        <f aca="false">'BALANCE 2024'!H18</f>
        <v>25000000</v>
      </c>
      <c r="E18" s="15" t="n">
        <f aca="false">'BALANCE 2024'!I18</f>
        <v>0</v>
      </c>
      <c r="F18" s="20" t="n">
        <f aca="false">MAX(0,(H18-I18)-(D18-E18))</f>
        <v>0</v>
      </c>
      <c r="G18" s="20" t="n">
        <f aca="false">MAX(0,(D18-E18)-(H18-I18))</f>
        <v>0</v>
      </c>
      <c r="H18" s="20" t="n">
        <f aca="false">ROUND(D18,0)</f>
        <v>25000000</v>
      </c>
      <c r="I18" s="20" t="n">
        <v>0</v>
      </c>
      <c r="J18" s="20" t="n">
        <f aca="false">(D18-E18)+(F18-G18)-(H18-I18)</f>
        <v>0</v>
      </c>
    </row>
    <row r="19" customFormat="false" ht="15" hidden="false" customHeight="false" outlineLevel="0" collapsed="false">
      <c r="A19" s="33" t="n">
        <v>275100</v>
      </c>
      <c r="B19" s="12" t="s">
        <v>229</v>
      </c>
      <c r="C19" s="13" t="s">
        <v>228</v>
      </c>
      <c r="D19" s="15" t="n">
        <f aca="false">'BALANCE 2024'!H19</f>
        <v>231420138</v>
      </c>
      <c r="E19" s="15" t="n">
        <f aca="false">'BALANCE 2024'!I19</f>
        <v>0</v>
      </c>
      <c r="F19" s="15" t="n">
        <f aca="false">ROUND('INVEST ET FINANCEMENT'!D$13,0)</f>
        <v>0</v>
      </c>
      <c r="G19" s="15" t="n">
        <f aca="false">ROUND('INVEST ET FINANCEMENT'!D$13,0)+(D19-E19)-(H19-I19)</f>
        <v>0</v>
      </c>
      <c r="H19" s="15" t="n">
        <f aca="false">ROUND(D19+'INVEST ET FINANCEMENT'!D$13,0)</f>
        <v>231420138</v>
      </c>
      <c r="I19" s="20" t="n">
        <v>0</v>
      </c>
      <c r="J19" s="20" t="n">
        <f aca="false">(D19-E19)+(F19-G19)-(H19-I19)</f>
        <v>0</v>
      </c>
    </row>
    <row r="20" customFormat="false" ht="15" hidden="false" customHeight="false" outlineLevel="0" collapsed="false">
      <c r="A20" s="33" t="n">
        <v>283400</v>
      </c>
      <c r="B20" s="12" t="s">
        <v>230</v>
      </c>
      <c r="C20" s="13" t="s">
        <v>219</v>
      </c>
      <c r="D20" s="15" t="n">
        <f aca="false">'BALANCE 2024'!H20</f>
        <v>0</v>
      </c>
      <c r="E20" s="15" t="n">
        <f aca="false">'BALANCE 2024'!I20</f>
        <v>41936476</v>
      </c>
      <c r="F20" s="15" t="n">
        <f aca="false">ROUND('INVEST ET FINANCEMENT'!D$31,0)+(H20-I20)-(D20-E20)</f>
        <v>0</v>
      </c>
      <c r="G20" s="15" t="n">
        <f aca="false">ROUND('INVEST ET FINANCEMENT'!D$31,0)</f>
        <v>19282845</v>
      </c>
      <c r="H20" s="20" t="n">
        <v>0</v>
      </c>
      <c r="I20" s="15" t="n">
        <f aca="false">ROUND(E20+'INVEST ET FINANCEMENT'!D$31,0)</f>
        <v>61219321</v>
      </c>
      <c r="J20" s="20" t="n">
        <f aca="false">(D20-E20)+(F20-G20)-(H20-I20)</f>
        <v>0</v>
      </c>
    </row>
    <row r="21" customFormat="false" ht="15" hidden="false" customHeight="false" outlineLevel="0" collapsed="false">
      <c r="A21" s="33" t="n">
        <v>284100</v>
      </c>
      <c r="B21" s="12" t="s">
        <v>231</v>
      </c>
      <c r="C21" s="13" t="s">
        <v>221</v>
      </c>
      <c r="D21" s="15" t="n">
        <f aca="false">'BALANCE 2024'!H21</f>
        <v>0</v>
      </c>
      <c r="E21" s="15" t="n">
        <f aca="false">'BALANCE 2024'!I21</f>
        <v>55983764</v>
      </c>
      <c r="F21" s="15" t="n">
        <f aca="false">ROUND('INVEST ET FINANCEMENT'!D$34,0)+(H21-I21)-(D21-E21)</f>
        <v>0</v>
      </c>
      <c r="G21" s="15" t="n">
        <f aca="false">ROUND('INVEST ET FINANCEMENT'!D$34,0)</f>
        <v>28205053</v>
      </c>
      <c r="H21" s="20" t="n">
        <v>0</v>
      </c>
      <c r="I21" s="15" t="n">
        <f aca="false">ROUND(E21+'INVEST ET FINANCEMENT'!D$34,0)</f>
        <v>84188817</v>
      </c>
      <c r="J21" s="20" t="n">
        <f aca="false">(D21-E21)+(F21-G21)-(H21-I21)</f>
        <v>0</v>
      </c>
    </row>
    <row r="22" customFormat="false" ht="15" hidden="false" customHeight="false" outlineLevel="0" collapsed="false">
      <c r="A22" s="33" t="n">
        <v>284400</v>
      </c>
      <c r="B22" s="12" t="s">
        <v>232</v>
      </c>
      <c r="C22" s="13" t="s">
        <v>221</v>
      </c>
      <c r="D22" s="15" t="n">
        <f aca="false">'BALANCE 2024'!H22</f>
        <v>0</v>
      </c>
      <c r="E22" s="15" t="n">
        <f aca="false">'BALANCE 2024'!I22</f>
        <v>12708358</v>
      </c>
      <c r="F22" s="15" t="n">
        <f aca="false">ROUND('INVEST ET FINANCEMENT'!D$37,0)+(H22-I22)-(D22-E22)</f>
        <v>0</v>
      </c>
      <c r="G22" s="15" t="n">
        <f aca="false">ROUND('INVEST ET FINANCEMENT'!D$37,0)</f>
        <v>5399884</v>
      </c>
      <c r="H22" s="20" t="n">
        <v>0</v>
      </c>
      <c r="I22" s="15" t="n">
        <f aca="false">ROUND(E22+'INVEST ET FINANCEMENT'!D$37,0)</f>
        <v>18108242</v>
      </c>
      <c r="J22" s="20" t="n">
        <f aca="false">(D22-E22)+(F22-G22)-(H22-I22)</f>
        <v>0</v>
      </c>
    </row>
    <row r="23" customFormat="false" ht="15" hidden="false" customHeight="false" outlineLevel="0" collapsed="false">
      <c r="A23" s="33" t="n">
        <v>284500</v>
      </c>
      <c r="B23" s="12" t="s">
        <v>233</v>
      </c>
      <c r="C23" s="13" t="s">
        <v>225</v>
      </c>
      <c r="D23" s="15" t="n">
        <f aca="false">'BALANCE 2024'!H23</f>
        <v>0</v>
      </c>
      <c r="E23" s="15" t="n">
        <f aca="false">'BALANCE 2024'!I23</f>
        <v>362909076</v>
      </c>
      <c r="F23" s="15" t="n">
        <f aca="false">ROUND('INVEST ET FINANCEMENT'!D$40,0)+(H23-I23)-(D23-E23)</f>
        <v>0</v>
      </c>
      <c r="G23" s="15" t="n">
        <f aca="false">ROUND('INVEST ET FINANCEMENT'!D$40,0)</f>
        <v>18958378</v>
      </c>
      <c r="H23" s="20" t="n">
        <v>0</v>
      </c>
      <c r="I23" s="15" t="n">
        <f aca="false">ROUND(E23+'INVEST ET FINANCEMENT'!D$40,0)</f>
        <v>381867454</v>
      </c>
      <c r="J23" s="20" t="n">
        <f aca="false">(D23-E23)+(F23-G23)-(H23-I23)</f>
        <v>0</v>
      </c>
    </row>
    <row r="24" customFormat="false" ht="15" hidden="false" customHeight="false" outlineLevel="0" collapsed="false">
      <c r="A24" s="28" t="n">
        <v>401100</v>
      </c>
      <c r="B24" s="29" t="s">
        <v>234</v>
      </c>
      <c r="C24" s="30" t="s">
        <v>235</v>
      </c>
      <c r="D24" s="37" t="n">
        <f aca="false">'BALANCE 2024'!H24</f>
        <v>0</v>
      </c>
      <c r="E24" s="37" t="n">
        <f aca="false">'BALANCE 2024'!I24</f>
        <v>72947866</v>
      </c>
      <c r="F24" s="37" t="n">
        <f aca="false">ROUND(HYPOTHESES!D$49*(1+HYPOTHESES!D$10),0)+(H24-I24)-(D24-E24)</f>
        <v>486035333</v>
      </c>
      <c r="G24" s="37" t="n">
        <f aca="false">ROUND(HYPOTHESES!D$49*(1+HYPOTHESES!D$10),0)</f>
        <v>490796991</v>
      </c>
      <c r="H24" s="32" t="n">
        <v>0</v>
      </c>
      <c r="I24" s="37" t="n">
        <f aca="false">ROUND(HYPOTHESES!D$49*(1+HYPOTHESES!D$10)*HYPOTHESES!D$23/360,0)</f>
        <v>77709524</v>
      </c>
      <c r="J24" s="32" t="n">
        <f aca="false">(D24-E24)+(F24-G24)-(H24-I24)</f>
        <v>0</v>
      </c>
    </row>
    <row r="25" customFormat="false" ht="15" hidden="false" customHeight="false" outlineLevel="0" collapsed="false">
      <c r="A25" s="33" t="n">
        <v>409100</v>
      </c>
      <c r="B25" s="12" t="s">
        <v>236</v>
      </c>
      <c r="C25" s="13" t="s">
        <v>237</v>
      </c>
      <c r="D25" s="15" t="n">
        <f aca="false">'BALANCE 2024'!H25</f>
        <v>0</v>
      </c>
      <c r="E25" s="15" t="n">
        <f aca="false">'BALANCE 2024'!I25</f>
        <v>0</v>
      </c>
      <c r="F25" s="20" t="n">
        <f aca="false">MAX(0,(H25-I25)-(D25-E25))</f>
        <v>0</v>
      </c>
      <c r="G25" s="20" t="n">
        <f aca="false">MAX(0,(D25-E25)-(H25-I25))</f>
        <v>0</v>
      </c>
      <c r="H25" s="20" t="n">
        <f aca="false">ROUND(D25,0)</f>
        <v>0</v>
      </c>
      <c r="I25" s="20" t="n">
        <f aca="false">ROUND(E25,0)</f>
        <v>0</v>
      </c>
      <c r="J25" s="20" t="n">
        <f aca="false">(D25-E25)+(F25-G25)-(H25-I25)</f>
        <v>0</v>
      </c>
    </row>
    <row r="26" customFormat="false" ht="15" hidden="false" customHeight="false" outlineLevel="0" collapsed="false">
      <c r="A26" s="33" t="n">
        <v>411100</v>
      </c>
      <c r="B26" s="12" t="s">
        <v>238</v>
      </c>
      <c r="C26" s="13" t="s">
        <v>239</v>
      </c>
      <c r="D26" s="15" t="n">
        <f aca="false">'BALANCE 2024'!H26</f>
        <v>452271396</v>
      </c>
      <c r="E26" s="15" t="n">
        <f aca="false">'BALANCE 2024'!I26</f>
        <v>0</v>
      </c>
      <c r="F26" s="15" t="n">
        <f aca="false">ROUND(HYPOTHESES!D$42*(1+HYPOTHESES!D$10),0)</f>
        <v>885116306</v>
      </c>
      <c r="G26" s="15" t="n">
        <f aca="false">ROUND(HYPOTHESES!D$42*(1+HYPOTHESES!D$10),0)+(D26-E26)-(H26-I26)</f>
        <v>870242985</v>
      </c>
      <c r="H26" s="15" t="n">
        <f aca="false">ROUND(HYPOTHESES!D$42*(1+HYPOTHESES!D$10)*HYPOTHESES!D$22/360,0)</f>
        <v>467144717</v>
      </c>
      <c r="I26" s="20" t="n">
        <v>0</v>
      </c>
      <c r="J26" s="20" t="n">
        <f aca="false">(D26-E26)+(F26-G26)-(H26-I26)</f>
        <v>0</v>
      </c>
    </row>
    <row r="27" customFormat="false" ht="15" hidden="false" customHeight="false" outlineLevel="0" collapsed="false">
      <c r="A27" s="33" t="n">
        <v>422000</v>
      </c>
      <c r="B27" s="12" t="s">
        <v>240</v>
      </c>
      <c r="C27" s="13" t="s">
        <v>241</v>
      </c>
      <c r="D27" s="15" t="n">
        <f aca="false">'BALANCE 2024'!H27</f>
        <v>0</v>
      </c>
      <c r="E27" s="15" t="n">
        <f aca="false">'BALANCE 2024'!I27</f>
        <v>11147549</v>
      </c>
      <c r="F27" s="15" t="n">
        <f aca="false">ROUND(IF(HYPOTHESES!$C$48=0,0,'BALANCE 2024'!$G$27*HYPOTHESES!D$48/HYPOTHESES!$C$48),0)+(H27-I27)-(D27-E27)</f>
        <v>86159431</v>
      </c>
      <c r="G27" s="15" t="n">
        <f aca="false">ROUND(IF(HYPOTHESES!$C$48=0,0,'BALANCE 2024'!$G$27*HYPOTHESES!D$48/HYPOTHESES!$C$48),0)</f>
        <v>86936353</v>
      </c>
      <c r="H27" s="20" t="n">
        <v>0</v>
      </c>
      <c r="I27" s="15" t="n">
        <f aca="false">ROUND(IF(HYPOTHESES!$C$48=0,0,'BALANCE 2024'!$I$27*HYPOTHESES!D$48/HYPOTHESES!$C$48),0)</f>
        <v>11924471</v>
      </c>
      <c r="J27" s="20" t="n">
        <f aca="false">(D27-E27)+(F27-G27)-(H27-I27)</f>
        <v>0</v>
      </c>
    </row>
    <row r="28" customFormat="false" ht="15" hidden="false" customHeight="false" outlineLevel="0" collapsed="false">
      <c r="A28" s="33" t="n">
        <v>431301</v>
      </c>
      <c r="B28" s="12" t="s">
        <v>242</v>
      </c>
      <c r="C28" s="13" t="s">
        <v>241</v>
      </c>
      <c r="D28" s="15" t="n">
        <f aca="false">'BALANCE 2024'!H28</f>
        <v>0</v>
      </c>
      <c r="E28" s="15" t="n">
        <f aca="false">'BALANCE 2024'!I28</f>
        <v>4859377</v>
      </c>
      <c r="F28" s="15" t="n">
        <f aca="false">ROUND(IF(HYPOTHESES!$C$48=0,0,'BALANCE 2024'!$G$28*HYPOTHESES!D$48/HYPOTHESES!$C$48),0)+(H28-I28)-(D28-E28)</f>
        <v>7154830</v>
      </c>
      <c r="G28" s="15" t="n">
        <f aca="false">ROUND(IF(HYPOTHESES!$C$48=0,0,'BALANCE 2024'!$G$28*HYPOTHESES!D$48/HYPOTHESES!$C$48),0)</f>
        <v>7493502</v>
      </c>
      <c r="H28" s="20" t="n">
        <v>0</v>
      </c>
      <c r="I28" s="15" t="n">
        <f aca="false">ROUND(IF(HYPOTHESES!$C$48=0,0,'BALANCE 2024'!$I$28*HYPOTHESES!D$48/HYPOTHESES!$C$48),0)</f>
        <v>5198049</v>
      </c>
      <c r="J28" s="20" t="n">
        <f aca="false">(D28-E28)+(F28-G28)-(H28-I28)</f>
        <v>0</v>
      </c>
    </row>
    <row r="29" customFormat="false" ht="15" hidden="false" customHeight="false" outlineLevel="0" collapsed="false">
      <c r="A29" s="33" t="n">
        <v>431302</v>
      </c>
      <c r="B29" s="12" t="s">
        <v>243</v>
      </c>
      <c r="C29" s="13" t="s">
        <v>241</v>
      </c>
      <c r="D29" s="15" t="n">
        <f aca="false">'BALANCE 2024'!H29</f>
        <v>0</v>
      </c>
      <c r="E29" s="15" t="n">
        <f aca="false">'BALANCE 2024'!I29</f>
        <v>1202405</v>
      </c>
      <c r="F29" s="15" t="n">
        <f aca="false">ROUND(IF(HYPOTHESES!$C$48=0,0,'BALANCE 2024'!$G$29*HYPOTHESES!D$48/HYPOTHESES!$C$48),0)+(H29-I29)-(D29-E29)</f>
        <v>12174245</v>
      </c>
      <c r="G29" s="15" t="n">
        <f aca="false">ROUND(IF(HYPOTHESES!$C$48=0,0,'BALANCE 2024'!$G$29*HYPOTHESES!D$48/HYPOTHESES!$C$48),0)</f>
        <v>12258046</v>
      </c>
      <c r="H29" s="20" t="n">
        <v>0</v>
      </c>
      <c r="I29" s="15" t="n">
        <f aca="false">ROUND(IF(HYPOTHESES!$C$48=0,0,'BALANCE 2024'!$I$29*HYPOTHESES!D$48/HYPOTHESES!$C$48),0)</f>
        <v>1286206</v>
      </c>
      <c r="J29" s="20" t="n">
        <f aca="false">(D29-E29)+(F29-G29)-(H29-I29)</f>
        <v>0</v>
      </c>
    </row>
    <row r="30" customFormat="false" ht="15" hidden="false" customHeight="false" outlineLevel="0" collapsed="false">
      <c r="A30" s="33" t="n">
        <v>431802</v>
      </c>
      <c r="B30" s="12" t="s">
        <v>244</v>
      </c>
      <c r="C30" s="13" t="s">
        <v>241</v>
      </c>
      <c r="D30" s="15" t="n">
        <f aca="false">'BALANCE 2024'!H30</f>
        <v>0</v>
      </c>
      <c r="E30" s="15" t="n">
        <f aca="false">'BALANCE 2024'!I30</f>
        <v>161938</v>
      </c>
      <c r="F30" s="15" t="n">
        <f aca="false">ROUND(IF(HYPOTHESES!$C$48=0,0,'BALANCE 2024'!$G$30*HYPOTHESES!D$48/HYPOTHESES!$C$48),0)+(H30-I30)-(D30-E30)</f>
        <v>403349</v>
      </c>
      <c r="G30" s="15" t="n">
        <f aca="false">ROUND(IF(HYPOTHESES!$C$48=0,0,'BALANCE 2024'!$G$30*HYPOTHESES!D$48/HYPOTHESES!$C$48),0)</f>
        <v>414635</v>
      </c>
      <c r="H30" s="20" t="n">
        <v>0</v>
      </c>
      <c r="I30" s="15" t="n">
        <f aca="false">ROUND(IF(HYPOTHESES!$C$48=0,0,'BALANCE 2024'!$I$30*HYPOTHESES!D$48/HYPOTHESES!$C$48),0)</f>
        <v>173224</v>
      </c>
      <c r="J30" s="20" t="n">
        <f aca="false">(D30-E30)+(F30-G30)-(H30-I30)</f>
        <v>0</v>
      </c>
    </row>
    <row r="31" customFormat="false" ht="15" hidden="false" customHeight="false" outlineLevel="0" collapsed="false">
      <c r="A31" s="33" t="n">
        <v>433300</v>
      </c>
      <c r="B31" s="12" t="s">
        <v>245</v>
      </c>
      <c r="C31" s="13" t="s">
        <v>241</v>
      </c>
      <c r="D31" s="15" t="n">
        <f aca="false">'BALANCE 2024'!H31</f>
        <v>0</v>
      </c>
      <c r="E31" s="15" t="n">
        <f aca="false">'BALANCE 2024'!I31</f>
        <v>0</v>
      </c>
      <c r="F31" s="15" t="n">
        <f aca="false">ROUND(IF(HYPOTHESES!$C$48=0,0,'BALANCE 2024'!$G$31*HYPOTHESES!D$48/HYPOTHESES!$C$48),0)+(H31-I31)-(D31-E31)</f>
        <v>0</v>
      </c>
      <c r="G31" s="15" t="n">
        <f aca="false">ROUND(IF(HYPOTHESES!$C$48=0,0,'BALANCE 2024'!$G$31*HYPOTHESES!D$48/HYPOTHESES!$C$48),0)</f>
        <v>0</v>
      </c>
      <c r="H31" s="20" t="n">
        <v>0</v>
      </c>
      <c r="I31" s="15" t="n">
        <f aca="false">ROUND(IF(HYPOTHESES!$C$48=0,0,'BALANCE 2024'!$I$31*HYPOTHESES!D$48/HYPOTHESES!$C$48),0)</f>
        <v>0</v>
      </c>
      <c r="J31" s="20" t="n">
        <f aca="false">(D31-E31)+(F31-G31)-(H31-I31)</f>
        <v>0</v>
      </c>
    </row>
    <row r="32" customFormat="false" ht="15" hidden="false" customHeight="false" outlineLevel="0" collapsed="false">
      <c r="A32" s="33" t="n">
        <v>441000</v>
      </c>
      <c r="B32" s="12" t="s">
        <v>246</v>
      </c>
      <c r="C32" s="13" t="s">
        <v>241</v>
      </c>
      <c r="D32" s="15" t="n">
        <f aca="false">'BALANCE 2024'!H32</f>
        <v>0</v>
      </c>
      <c r="E32" s="15" t="n">
        <f aca="false">'BALANCE 2024'!I32</f>
        <v>24232959</v>
      </c>
      <c r="F32" s="15" t="n">
        <f aca="false">ROUND(HYPOTHESES!D$56,0)+(H32-I32)-(D32-E32)</f>
        <v>24232959</v>
      </c>
      <c r="G32" s="15" t="n">
        <f aca="false">ROUND(HYPOTHESES!D$56,0)</f>
        <v>30838289</v>
      </c>
      <c r="H32" s="20" t="n">
        <v>0</v>
      </c>
      <c r="I32" s="15" t="n">
        <f aca="false">ROUND(HYPOTHESES!D$56,0)</f>
        <v>30838289</v>
      </c>
      <c r="J32" s="20" t="n">
        <f aca="false">(D32-E32)+(F32-G32)-(H32-I32)</f>
        <v>0</v>
      </c>
    </row>
    <row r="33" customFormat="false" ht="15" hidden="false" customHeight="false" outlineLevel="0" collapsed="false">
      <c r="A33" s="33" t="n">
        <v>442800</v>
      </c>
      <c r="B33" s="12" t="s">
        <v>247</v>
      </c>
      <c r="C33" s="13" t="s">
        <v>241</v>
      </c>
      <c r="D33" s="15" t="n">
        <f aca="false">'BALANCE 2024'!H33</f>
        <v>0</v>
      </c>
      <c r="E33" s="15" t="n">
        <f aca="false">'BALANCE 2024'!I33</f>
        <v>725658</v>
      </c>
      <c r="F33" s="15" t="n">
        <f aca="false">ROUND(IF(HYPOTHESES!$C$46=0,0,'BALANCE 2024'!$G$33*HYPOTHESES!D$46/HYPOTHESES!$C$46),0)+(H33-I33)-(D33-E33)</f>
        <v>725658</v>
      </c>
      <c r="G33" s="15" t="n">
        <f aca="false">ROUND(IF(HYPOTHESES!$C$46=0,0,'BALANCE 2024'!$G$33*HYPOTHESES!D$46/HYPOTHESES!$C$46),0)</f>
        <v>776041</v>
      </c>
      <c r="H33" s="20" t="n">
        <v>0</v>
      </c>
      <c r="I33" s="15" t="n">
        <f aca="false">ROUND(IF(HYPOTHESES!$C$46=0,0,'BALANCE 2024'!$I$33*HYPOTHESES!D$46/HYPOTHESES!$C$46),0)</f>
        <v>776041</v>
      </c>
      <c r="J33" s="20" t="n">
        <f aca="false">(D33-E33)+(F33-G33)-(H33-I33)</f>
        <v>0</v>
      </c>
    </row>
    <row r="34" customFormat="false" ht="15" hidden="false" customHeight="false" outlineLevel="0" collapsed="false">
      <c r="A34" s="33" t="n">
        <v>442801</v>
      </c>
      <c r="B34" s="12" t="s">
        <v>248</v>
      </c>
      <c r="C34" s="13" t="s">
        <v>241</v>
      </c>
      <c r="D34" s="15" t="n">
        <f aca="false">'BALANCE 2024'!H34</f>
        <v>0</v>
      </c>
      <c r="E34" s="15" t="n">
        <f aca="false">'BALANCE 2024'!I34</f>
        <v>104066</v>
      </c>
      <c r="F34" s="15" t="n">
        <f aca="false">ROUND(IF(HYPOTHESES!$C$46=0,0,'BALANCE 2024'!$G$34*HYPOTHESES!D$46/HYPOTHESES!$C$46),0)+(H34-I34)-(D34-E34)</f>
        <v>104066</v>
      </c>
      <c r="G34" s="15" t="n">
        <f aca="false">ROUND(IF(HYPOTHESES!$C$46=0,0,'BALANCE 2024'!$G$34*HYPOTHESES!D$46/HYPOTHESES!$C$46),0)</f>
        <v>111291</v>
      </c>
      <c r="H34" s="20" t="n">
        <v>0</v>
      </c>
      <c r="I34" s="15" t="n">
        <f aca="false">ROUND(IF(HYPOTHESES!$C$46=0,0,'BALANCE 2024'!$I$34*HYPOTHESES!D$46/HYPOTHESES!$C$46),0)</f>
        <v>111291</v>
      </c>
      <c r="J34" s="20" t="n">
        <f aca="false">(D34-E34)+(F34-G34)-(H34-I34)</f>
        <v>0</v>
      </c>
    </row>
    <row r="35" customFormat="false" ht="15" hidden="false" customHeight="false" outlineLevel="0" collapsed="false">
      <c r="A35" s="33" t="n">
        <v>442802</v>
      </c>
      <c r="B35" s="12" t="s">
        <v>249</v>
      </c>
      <c r="C35" s="13" t="s">
        <v>241</v>
      </c>
      <c r="D35" s="15" t="n">
        <f aca="false">'BALANCE 2024'!H35</f>
        <v>0</v>
      </c>
      <c r="E35" s="15" t="n">
        <f aca="false">'BALANCE 2024'!I35</f>
        <v>156106</v>
      </c>
      <c r="F35" s="15" t="n">
        <f aca="false">ROUND(IF(HYPOTHESES!$C$46=0,0,'BALANCE 2024'!$G$35*HYPOTHESES!D$46/HYPOTHESES!$C$46),0)+(H35-I35)-(D35-E35)</f>
        <v>156106</v>
      </c>
      <c r="G35" s="15" t="n">
        <f aca="false">ROUND(IF(HYPOTHESES!$C$46=0,0,'BALANCE 2024'!$G$35*HYPOTHESES!D$46/HYPOTHESES!$C$46),0)</f>
        <v>166945</v>
      </c>
      <c r="H35" s="20" t="n">
        <v>0</v>
      </c>
      <c r="I35" s="15" t="n">
        <f aca="false">ROUND(IF(HYPOTHESES!$C$46=0,0,'BALANCE 2024'!$I$35*HYPOTHESES!D$46/HYPOTHESES!$C$46),0)</f>
        <v>166945</v>
      </c>
      <c r="J35" s="20" t="n">
        <f aca="false">(D35-E35)+(F35-G35)-(H35-I35)</f>
        <v>0</v>
      </c>
    </row>
    <row r="36" customFormat="false" ht="15" hidden="false" customHeight="false" outlineLevel="0" collapsed="false">
      <c r="A36" s="33" t="n">
        <v>442803</v>
      </c>
      <c r="B36" s="12" t="s">
        <v>250</v>
      </c>
      <c r="C36" s="13" t="s">
        <v>241</v>
      </c>
      <c r="D36" s="15" t="n">
        <f aca="false">'BALANCE 2024'!H36</f>
        <v>0</v>
      </c>
      <c r="E36" s="15" t="n">
        <f aca="false">'BALANCE 2024'!I36</f>
        <v>156105</v>
      </c>
      <c r="F36" s="15" t="n">
        <f aca="false">ROUND(IF(HYPOTHESES!$C$46=0,0,'BALANCE 2024'!$G$36*HYPOTHESES!D$46/HYPOTHESES!$C$46),0)+(H36-I36)-(D36-E36)</f>
        <v>156105</v>
      </c>
      <c r="G36" s="15" t="n">
        <f aca="false">ROUND(IF(HYPOTHESES!$C$46=0,0,'BALANCE 2024'!$G$36*HYPOTHESES!D$46/HYPOTHESES!$C$46),0)</f>
        <v>166944</v>
      </c>
      <c r="H36" s="20" t="n">
        <v>0</v>
      </c>
      <c r="I36" s="15" t="n">
        <f aca="false">ROUND(IF(HYPOTHESES!$C$46=0,0,'BALANCE 2024'!$I$36*HYPOTHESES!D$46/HYPOTHESES!$C$46),0)</f>
        <v>166944</v>
      </c>
      <c r="J36" s="20" t="n">
        <f aca="false">(D36-E36)+(F36-G36)-(H36-I36)</f>
        <v>0</v>
      </c>
    </row>
    <row r="37" customFormat="false" ht="15" hidden="false" customHeight="false" outlineLevel="0" collapsed="false">
      <c r="A37" s="33" t="n">
        <v>442820</v>
      </c>
      <c r="B37" s="12" t="s">
        <v>251</v>
      </c>
      <c r="C37" s="13" t="s">
        <v>241</v>
      </c>
      <c r="D37" s="15" t="n">
        <f aca="false">'BALANCE 2024'!H37</f>
        <v>0</v>
      </c>
      <c r="E37" s="15" t="n">
        <f aca="false">'BALANCE 2024'!I37</f>
        <v>367610</v>
      </c>
      <c r="F37" s="15" t="n">
        <f aca="false">ROUND(IF(HYPOTHESES!$C$46=0,0,'BALANCE 2024'!$G$37*HYPOTHESES!D$46/HYPOTHESES!$C$46),0)+(H37-I37)-(D37-E37)</f>
        <v>858441</v>
      </c>
      <c r="G37" s="15" t="n">
        <f aca="false">ROUND(IF(HYPOTHESES!$C$46=0,0,'BALANCE 2024'!$G$37*HYPOTHESES!D$46/HYPOTHESES!$C$46),0)</f>
        <v>883965</v>
      </c>
      <c r="H37" s="20" t="n">
        <v>0</v>
      </c>
      <c r="I37" s="15" t="n">
        <f aca="false">ROUND(IF(HYPOTHESES!$C$46=0,0,'BALANCE 2024'!$I$37*HYPOTHESES!D$46/HYPOTHESES!$C$46),0)</f>
        <v>393134</v>
      </c>
      <c r="J37" s="20" t="n">
        <f aca="false">(D37-E37)+(F37-G37)-(H37-I37)</f>
        <v>0</v>
      </c>
    </row>
    <row r="38" customFormat="false" ht="15" hidden="false" customHeight="false" outlineLevel="0" collapsed="false">
      <c r="A38" s="33" t="n">
        <v>442840</v>
      </c>
      <c r="B38" s="12" t="s">
        <v>252</v>
      </c>
      <c r="C38" s="13" t="s">
        <v>241</v>
      </c>
      <c r="D38" s="15" t="n">
        <f aca="false">'BALANCE 2024'!H38</f>
        <v>0</v>
      </c>
      <c r="E38" s="15" t="n">
        <f aca="false">'BALANCE 2024'!I38</f>
        <v>5000000</v>
      </c>
      <c r="F38" s="15" t="n">
        <f aca="false">ROUND(IF(HYPOTHESES!$C$46=0,0,'BALANCE 2024'!$G$38*HYPOTHESES!D$46/HYPOTHESES!$C$46),0)+(H38-I38)-(D38-E38)</f>
        <v>9336686</v>
      </c>
      <c r="G38" s="15" t="n">
        <f aca="false">ROUND(IF(HYPOTHESES!$C$46=0,0,'BALANCE 2024'!$G$38*HYPOTHESES!D$46/HYPOTHESES!$C$46),0)</f>
        <v>9683842</v>
      </c>
      <c r="H38" s="20" t="n">
        <v>0</v>
      </c>
      <c r="I38" s="15" t="n">
        <f aca="false">ROUND(IF(HYPOTHESES!$C$46=0,0,'BALANCE 2024'!$I$38*HYPOTHESES!D$46/HYPOTHESES!$C$46),0)</f>
        <v>5347156</v>
      </c>
      <c r="J38" s="20" t="n">
        <f aca="false">(D38-E38)+(F38-G38)-(H38-I38)</f>
        <v>0</v>
      </c>
    </row>
    <row r="39" customFormat="false" ht="15" hidden="false" customHeight="false" outlineLevel="0" collapsed="false">
      <c r="A39" s="33" t="n">
        <v>443300</v>
      </c>
      <c r="B39" s="12" t="s">
        <v>253</v>
      </c>
      <c r="C39" s="13" t="s">
        <v>241</v>
      </c>
      <c r="D39" s="15" t="n">
        <f aca="false">'BALANCE 2024'!H39</f>
        <v>0</v>
      </c>
      <c r="E39" s="15" t="n">
        <f aca="false">'BALANCE 2024'!I39</f>
        <v>52145698</v>
      </c>
      <c r="F39" s="15" t="n">
        <f aca="false">ROUND(HYPOTHESES!D$42*HYPOTHESES!D$10,0)+(H39-I39)-(D39-E39)</f>
        <v>133302887</v>
      </c>
      <c r="G39" s="15" t="n">
        <f aca="false">ROUND(HYPOTHESES!D$42*HYPOTHESES!D$10,0)</f>
        <v>135017742</v>
      </c>
      <c r="H39" s="20" t="n">
        <v>0</v>
      </c>
      <c r="I39" s="15" t="n">
        <f aca="false">ROUND(IF('BALANCE 2024'!$H$26=0,0,'BALANCE 2024'!$I$39*H26/'BALANCE 2024'!$H$26),0)</f>
        <v>53860553</v>
      </c>
      <c r="J39" s="20" t="n">
        <f aca="false">(D39-E39)+(F39-G39)-(H39-I39)</f>
        <v>0</v>
      </c>
    </row>
    <row r="40" customFormat="false" ht="15" hidden="false" customHeight="false" outlineLevel="0" collapsed="false">
      <c r="A40" s="33" t="n">
        <v>446000</v>
      </c>
      <c r="B40" s="12" t="s">
        <v>254</v>
      </c>
      <c r="C40" s="13" t="s">
        <v>241</v>
      </c>
      <c r="D40" s="15" t="n">
        <f aca="false">'BALANCE 2024'!H40</f>
        <v>0</v>
      </c>
      <c r="E40" s="15" t="n">
        <f aca="false">'BALANCE 2024'!I40</f>
        <v>200000</v>
      </c>
      <c r="F40" s="15" t="n">
        <f aca="false">ROUND(IF(HYPOTHESES!$C$46=0,0,'BALANCE 2024'!$G$40*HYPOTHESES!D$46/HYPOTHESES!$C$46),0)+(H40-I40)-(D40-E40)</f>
        <v>212497</v>
      </c>
      <c r="G40" s="15" t="n">
        <f aca="false">ROUND(IF(HYPOTHESES!$C$46=0,0,'BALANCE 2024'!$G$40*HYPOTHESES!D$46/HYPOTHESES!$C$46),0)</f>
        <v>226383</v>
      </c>
      <c r="H40" s="20" t="n">
        <v>0</v>
      </c>
      <c r="I40" s="15" t="n">
        <f aca="false">ROUND(IF(HYPOTHESES!$C$46=0,0,'BALANCE 2024'!$I$40*HYPOTHESES!D$46/HYPOTHESES!$C$46),0)</f>
        <v>213886</v>
      </c>
      <c r="J40" s="20" t="n">
        <f aca="false">(D40-E40)+(F40-G40)-(H40-I40)</f>
        <v>0</v>
      </c>
    </row>
    <row r="41" customFormat="false" ht="15" hidden="false" customHeight="false" outlineLevel="0" collapsed="false">
      <c r="A41" s="33" t="n">
        <v>447201</v>
      </c>
      <c r="B41" s="12" t="s">
        <v>255</v>
      </c>
      <c r="C41" s="13" t="s">
        <v>241</v>
      </c>
      <c r="D41" s="15" t="n">
        <f aca="false">'BALANCE 2024'!H41</f>
        <v>0</v>
      </c>
      <c r="E41" s="15" t="n">
        <f aca="false">'BALANCE 2024'!I41</f>
        <v>1631638</v>
      </c>
      <c r="F41" s="15" t="n">
        <f aca="false">ROUND(IF(HYPOTHESES!$C$48=0,0,'BALANCE 2024'!$G$41*HYPOTHESES!D$48/HYPOTHESES!$C$48),0)+(H41-I41)-(D41-E41)</f>
        <v>6198651</v>
      </c>
      <c r="G41" s="15" t="n">
        <f aca="false">ROUND(IF(HYPOTHESES!$C$48=0,0,'BALANCE 2024'!$G$41*HYPOTHESES!D$48/HYPOTHESES!$C$48),0)</f>
        <v>6312367</v>
      </c>
      <c r="H41" s="20" t="n">
        <v>0</v>
      </c>
      <c r="I41" s="15" t="n">
        <f aca="false">ROUND(IF(HYPOTHESES!$C$48=0,0,'BALANCE 2024'!$I$41*HYPOTHESES!D$48/HYPOTHESES!$C$48),0)</f>
        <v>1745354</v>
      </c>
      <c r="J41" s="20" t="n">
        <f aca="false">(D41-E41)+(F41-G41)-(H41-I41)</f>
        <v>0</v>
      </c>
    </row>
    <row r="42" customFormat="false" ht="15" hidden="false" customHeight="false" outlineLevel="0" collapsed="false">
      <c r="A42" s="33" t="n">
        <v>462100</v>
      </c>
      <c r="B42" s="12" t="s">
        <v>256</v>
      </c>
      <c r="C42" s="13" t="s">
        <v>257</v>
      </c>
      <c r="D42" s="15" t="n">
        <f aca="false">'BALANCE 2024'!H42</f>
        <v>0</v>
      </c>
      <c r="E42" s="15" t="n">
        <f aca="false">'BALANCE 2024'!I42</f>
        <v>3700000</v>
      </c>
      <c r="F42" s="15" t="n">
        <f aca="false">ROUND('INVEST ET FINANCEMENT'!D$53,0)+(H42-I42)-(D42-E42)</f>
        <v>3700000</v>
      </c>
      <c r="G42" s="15" t="n">
        <f aca="false">ROUND('INVEST ET FINANCEMENT'!D$53,0)</f>
        <v>0</v>
      </c>
      <c r="H42" s="20" t="n">
        <v>0</v>
      </c>
      <c r="I42" s="15" t="n">
        <f aca="false">ROUND('INVEST ET FINANCEMENT'!D$54,0)</f>
        <v>0</v>
      </c>
      <c r="J42" s="20" t="n">
        <f aca="false">(D42-E42)+(F42-G42)-(H42-I42)</f>
        <v>0</v>
      </c>
    </row>
    <row r="43" customFormat="false" ht="15" hidden="false" customHeight="false" outlineLevel="0" collapsed="false">
      <c r="A43" s="33" t="n">
        <v>471200</v>
      </c>
      <c r="B43" s="12" t="s">
        <v>258</v>
      </c>
      <c r="C43" s="13" t="s">
        <v>259</v>
      </c>
      <c r="D43" s="15" t="n">
        <f aca="false">'BALANCE 2024'!H43</f>
        <v>0</v>
      </c>
      <c r="E43" s="15" t="n">
        <f aca="false">'BALANCE 2024'!I43</f>
        <v>0</v>
      </c>
      <c r="F43" s="20" t="n">
        <f aca="false">MAX(0,(H43-I43)-(D43-E43))</f>
        <v>-0</v>
      </c>
      <c r="G43" s="20" t="n">
        <f aca="false">MAX(0,(D43-E43)-(H43-I43))</f>
        <v>0</v>
      </c>
      <c r="H43" s="15" t="n">
        <f aca="false">ROUND(MAX(0,-(E43-D43+HYPOTHESES!D$31)),0)</f>
        <v>-0</v>
      </c>
      <c r="I43" s="15" t="n">
        <f aca="false">ROUND(MAX(0,(E43-D43+HYPOTHESES!D$31)),0)</f>
        <v>0</v>
      </c>
      <c r="J43" s="20" t="n">
        <f aca="false">(D43-E43)+(F43-G43)-(H43-I43)</f>
        <v>0</v>
      </c>
    </row>
    <row r="44" customFormat="false" ht="15" hidden="false" customHeight="false" outlineLevel="0" collapsed="false">
      <c r="A44" s="33" t="n">
        <v>481200</v>
      </c>
      <c r="B44" s="12" t="s">
        <v>260</v>
      </c>
      <c r="C44" s="13" t="s">
        <v>261</v>
      </c>
      <c r="D44" s="15" t="n">
        <f aca="false">'BALANCE 2024'!H44</f>
        <v>0</v>
      </c>
      <c r="E44" s="15" t="n">
        <f aca="false">'BALANCE 2024'!I44</f>
        <v>132896547</v>
      </c>
      <c r="F44" s="15" t="n">
        <f aca="false">ROUND('INVEST ET FINANCEMENT'!D$41,0)+(H44-I44)-(D44-E44)</f>
        <v>90248532</v>
      </c>
      <c r="G44" s="15" t="n">
        <f aca="false">ROUND('INVEST ET FINANCEMENT'!D$41,0)</f>
        <v>16523220</v>
      </c>
      <c r="H44" s="20" t="n">
        <v>0</v>
      </c>
      <c r="I44" s="15" t="n">
        <f aca="false">ROUND(HYPOTHESES!D$28,0)</f>
        <v>59171235</v>
      </c>
      <c r="J44" s="20" t="n">
        <f aca="false">(D44-E44)+(F44-G44)-(H44-I44)</f>
        <v>0</v>
      </c>
    </row>
    <row r="45" customFormat="false" ht="15" hidden="false" customHeight="false" outlineLevel="0" collapsed="false">
      <c r="A45" s="28" t="n">
        <v>521101</v>
      </c>
      <c r="B45" s="29" t="s">
        <v>262</v>
      </c>
      <c r="C45" s="30" t="s">
        <v>263</v>
      </c>
      <c r="D45" s="37" t="n">
        <f aca="false">'BALANCE 2024'!H45</f>
        <v>122588265</v>
      </c>
      <c r="E45" s="37" t="n">
        <f aca="false">'BALANCE 2024'!I45</f>
        <v>0</v>
      </c>
      <c r="F45" s="37" t="n">
        <f aca="false">ROUND(G26+HYPOTHESES!D$51+'INVEST ET FINANCEMENT'!D$47+'INVEST ET FINANCEMENT'!D$51,0)</f>
        <v>925487261</v>
      </c>
      <c r="G45" s="37" t="n">
        <f aca="false">ROUND(G26+HYPOTHESES!D$51+'INVEST ET FINANCEMENT'!D$47+'INVEST ET FINANCEMENT'!D$51,0)+(D45-E45)-(H45-I45)</f>
        <v>901097419</v>
      </c>
      <c r="H45" s="32" t="n">
        <f aca="false">ROUND(MAX(0,(H99-(H46-I46))),0)</f>
        <v>146978107</v>
      </c>
      <c r="I45" s="32" t="n">
        <f aca="false">ROUND(MAX(0,-(H99-(H46-I46))),0)</f>
        <v>0</v>
      </c>
      <c r="J45" s="32" t="n">
        <f aca="false">(D45-E45)+(F45-G45)-(H45-I45)</f>
        <v>0</v>
      </c>
    </row>
    <row r="46" customFormat="false" ht="15" hidden="false" customHeight="false" outlineLevel="0" collapsed="false">
      <c r="A46" s="33" t="n">
        <v>571101</v>
      </c>
      <c r="B46" s="12" t="s">
        <v>264</v>
      </c>
      <c r="C46" s="13" t="s">
        <v>265</v>
      </c>
      <c r="D46" s="15" t="n">
        <f aca="false">'BALANCE 2024'!H46</f>
        <v>5545693</v>
      </c>
      <c r="E46" s="15" t="n">
        <f aca="false">'BALANCE 2024'!I46</f>
        <v>0</v>
      </c>
      <c r="F46" s="20" t="n">
        <f aca="false">ROUND(H101,0)</f>
        <v>180219484</v>
      </c>
      <c r="G46" s="20" t="n">
        <f aca="false">ROUND(H101,0)+(D46-E46)-(H46-I46)</f>
        <v>178417289</v>
      </c>
      <c r="H46" s="15" t="n">
        <f aca="false">ROUND(MAX(0,((D46-E46)+H101*(1-HYPOTHESES!D$30))),0)</f>
        <v>7347888</v>
      </c>
      <c r="I46" s="15" t="n">
        <f aca="false">ROUND(MAX(0,-((D46-E46)+H101*(1-HYPOTHESES!D$30))),0)</f>
        <v>0</v>
      </c>
      <c r="J46" s="20" t="n">
        <f aca="false">(D46-E46)+(F46-G46)-(H46-I46)</f>
        <v>0</v>
      </c>
    </row>
    <row r="47" customFormat="false" ht="15" hidden="false" customHeight="false" outlineLevel="0" collapsed="false">
      <c r="A47" s="33" t="n">
        <v>585000</v>
      </c>
      <c r="B47" s="12" t="s">
        <v>266</v>
      </c>
      <c r="C47" s="13" t="s">
        <v>265</v>
      </c>
      <c r="D47" s="15" t="n">
        <f aca="false">'BALANCE 2024'!H47</f>
        <v>0</v>
      </c>
      <c r="E47" s="15" t="n">
        <f aca="false">'BALANCE 2024'!I47</f>
        <v>0</v>
      </c>
      <c r="F47" s="20" t="n">
        <f aca="false">ROUND(H101,0)</f>
        <v>180219484</v>
      </c>
      <c r="G47" s="20" t="n">
        <f aca="false">ROUND(H101,0)+(D47-E47)-(H47-I47)</f>
        <v>180219484</v>
      </c>
      <c r="H47" s="20" t="n">
        <f aca="false">ROUND(D47,0)</f>
        <v>0</v>
      </c>
      <c r="I47" s="20" t="n">
        <f aca="false">ROUND(E47,0)</f>
        <v>0</v>
      </c>
      <c r="J47" s="20" t="n">
        <f aca="false">(D47-E47)+(F47-G47)-(H47-I47)</f>
        <v>0</v>
      </c>
    </row>
    <row r="48" customFormat="false" ht="15" hidden="false" customHeight="false" outlineLevel="0" collapsed="false">
      <c r="A48" s="28" t="n">
        <v>604300</v>
      </c>
      <c r="B48" s="29" t="s">
        <v>267</v>
      </c>
      <c r="C48" s="30" t="s">
        <v>268</v>
      </c>
      <c r="D48" s="32" t="n">
        <v>0</v>
      </c>
      <c r="E48" s="32" t="n">
        <v>0</v>
      </c>
      <c r="F48" s="32" t="n">
        <f aca="false">MAX(0,(H48-I48)-(D48-E48))</f>
        <v>1338051</v>
      </c>
      <c r="G48" s="32" t="n">
        <f aca="false">MAX(0,(D48-E48)-(H48-I48))</f>
        <v>0</v>
      </c>
      <c r="H48" s="37" t="n">
        <f aca="false">ROUND(IF(HYPOTHESES!$C$43=0,0,'BALANCE 2024'!$H$48*HYPOTHESES!D$43/HYPOTHESES!$C$43),0)</f>
        <v>1338051</v>
      </c>
      <c r="I48" s="32" t="n">
        <v>0</v>
      </c>
      <c r="J48" s="32" t="n">
        <f aca="false">(D48-E48)+(F48-G48)-(H48-I48)</f>
        <v>0</v>
      </c>
    </row>
    <row r="49" customFormat="false" ht="15" hidden="false" customHeight="false" outlineLevel="0" collapsed="false">
      <c r="A49" s="33" t="n">
        <v>605100</v>
      </c>
      <c r="B49" s="12" t="s">
        <v>269</v>
      </c>
      <c r="C49" s="13" t="s">
        <v>268</v>
      </c>
      <c r="D49" s="20" t="n">
        <v>0</v>
      </c>
      <c r="E49" s="20" t="n">
        <v>0</v>
      </c>
      <c r="F49" s="20" t="n">
        <f aca="false">MAX(0,(H49-I49)-(D49-E49))</f>
        <v>133309</v>
      </c>
      <c r="G49" s="20" t="n">
        <f aca="false">MAX(0,(D49-E49)-(H49-I49))</f>
        <v>0</v>
      </c>
      <c r="H49" s="15" t="n">
        <f aca="false">ROUND(IF(HYPOTHESES!$C$43=0,0,'BALANCE 2024'!$H$49*HYPOTHESES!D$43/HYPOTHESES!$C$43),0)</f>
        <v>133309</v>
      </c>
      <c r="I49" s="20" t="n">
        <v>0</v>
      </c>
      <c r="J49" s="20" t="n">
        <f aca="false">(D49-E49)+(F49-G49)-(H49-I49)</f>
        <v>0</v>
      </c>
    </row>
    <row r="50" customFormat="false" ht="15" hidden="false" customHeight="false" outlineLevel="0" collapsed="false">
      <c r="A50" s="33" t="n">
        <v>605200</v>
      </c>
      <c r="B50" s="12" t="s">
        <v>270</v>
      </c>
      <c r="C50" s="13" t="s">
        <v>268</v>
      </c>
      <c r="D50" s="20" t="n">
        <v>0</v>
      </c>
      <c r="E50" s="20" t="n">
        <v>0</v>
      </c>
      <c r="F50" s="20" t="n">
        <f aca="false">MAX(0,(H50-I50)-(D50-E50))</f>
        <v>42762672</v>
      </c>
      <c r="G50" s="20" t="n">
        <f aca="false">MAX(0,(D50-E50)-(H50-I50))</f>
        <v>0</v>
      </c>
      <c r="H50" s="15" t="n">
        <f aca="false">ROUND(IF(HYPOTHESES!$C$43=0,0,'BALANCE 2024'!$H$50*HYPOTHESES!D$43/HYPOTHESES!$C$43),0)</f>
        <v>42762672</v>
      </c>
      <c r="I50" s="20" t="n">
        <v>0</v>
      </c>
      <c r="J50" s="20" t="n">
        <f aca="false">(D50-E50)+(F50-G50)-(H50-I50)</f>
        <v>0</v>
      </c>
    </row>
    <row r="51" customFormat="false" ht="15" hidden="false" customHeight="false" outlineLevel="0" collapsed="false">
      <c r="A51" s="33" t="n">
        <v>605300</v>
      </c>
      <c r="B51" s="12" t="s">
        <v>271</v>
      </c>
      <c r="C51" s="13" t="s">
        <v>268</v>
      </c>
      <c r="D51" s="20" t="n">
        <v>0</v>
      </c>
      <c r="E51" s="20" t="n">
        <v>0</v>
      </c>
      <c r="F51" s="20" t="n">
        <f aca="false">MAX(0,(H51-I51)-(D51-E51))</f>
        <v>21229767</v>
      </c>
      <c r="G51" s="20" t="n">
        <f aca="false">MAX(0,(D51-E51)-(H51-I51))</f>
        <v>0</v>
      </c>
      <c r="H51" s="15" t="n">
        <f aca="false">ROUND(IF(HYPOTHESES!$C$43=0,0,'BALANCE 2024'!$H$51*HYPOTHESES!D$43/HYPOTHESES!$C$43),0)</f>
        <v>21229767</v>
      </c>
      <c r="I51" s="20" t="n">
        <v>0</v>
      </c>
      <c r="J51" s="20" t="n">
        <f aca="false">(D51-E51)+(F51-G51)-(H51-I51)</f>
        <v>0</v>
      </c>
    </row>
    <row r="52" customFormat="false" ht="15" hidden="false" customHeight="false" outlineLevel="0" collapsed="false">
      <c r="A52" s="33" t="n">
        <v>605500</v>
      </c>
      <c r="B52" s="12" t="s">
        <v>272</v>
      </c>
      <c r="C52" s="13" t="s">
        <v>268</v>
      </c>
      <c r="D52" s="20" t="n">
        <v>0</v>
      </c>
      <c r="E52" s="20" t="n">
        <v>0</v>
      </c>
      <c r="F52" s="20" t="n">
        <f aca="false">MAX(0,(H52-I52)-(D52-E52))</f>
        <v>13776049</v>
      </c>
      <c r="G52" s="20" t="n">
        <f aca="false">MAX(0,(D52-E52)-(H52-I52))</f>
        <v>0</v>
      </c>
      <c r="H52" s="15" t="n">
        <f aca="false">ROUND(IF(HYPOTHESES!$C$43=0,0,'BALANCE 2024'!$H$52*HYPOTHESES!D$43/HYPOTHESES!$C$43),0)</f>
        <v>13776049</v>
      </c>
      <c r="I52" s="20" t="n">
        <v>0</v>
      </c>
      <c r="J52" s="20" t="n">
        <f aca="false">(D52-E52)+(F52-G52)-(H52-I52)</f>
        <v>0</v>
      </c>
    </row>
    <row r="53" customFormat="false" ht="15" hidden="false" customHeight="false" outlineLevel="0" collapsed="false">
      <c r="A53" s="33" t="n">
        <v>605600</v>
      </c>
      <c r="B53" s="12" t="s">
        <v>273</v>
      </c>
      <c r="C53" s="13" t="s">
        <v>268</v>
      </c>
      <c r="D53" s="20" t="n">
        <v>0</v>
      </c>
      <c r="E53" s="20" t="n">
        <v>0</v>
      </c>
      <c r="F53" s="20" t="n">
        <f aca="false">MAX(0,(H53-I53)-(D53-E53))</f>
        <v>3950407</v>
      </c>
      <c r="G53" s="20" t="n">
        <f aca="false">MAX(0,(D53-E53)-(H53-I53))</f>
        <v>0</v>
      </c>
      <c r="H53" s="15" t="n">
        <f aca="false">ROUND(IF(HYPOTHESES!$C$43=0,0,'BALANCE 2024'!$H$53*HYPOTHESES!D$43/HYPOTHESES!$C$43),0)</f>
        <v>3950407</v>
      </c>
      <c r="I53" s="20" t="n">
        <v>0</v>
      </c>
      <c r="J53" s="20" t="n">
        <f aca="false">(D53-E53)+(F53-G53)-(H53-I53)</f>
        <v>0</v>
      </c>
    </row>
    <row r="54" customFormat="false" ht="15" hidden="false" customHeight="false" outlineLevel="0" collapsed="false">
      <c r="A54" s="33" t="n">
        <v>605700</v>
      </c>
      <c r="B54" s="12" t="s">
        <v>274</v>
      </c>
      <c r="C54" s="13" t="s">
        <v>268</v>
      </c>
      <c r="D54" s="20" t="n">
        <v>0</v>
      </c>
      <c r="E54" s="20" t="n">
        <v>0</v>
      </c>
      <c r="F54" s="20" t="n">
        <f aca="false">MAX(0,(H54-I54)-(D54-E54))</f>
        <v>85779542</v>
      </c>
      <c r="G54" s="20" t="n">
        <f aca="false">MAX(0,(D54-E54)-(H54-I54))</f>
        <v>0</v>
      </c>
      <c r="H54" s="15" t="n">
        <f aca="false">ROUND(IF(HYPOTHESES!$C$43=0,0,'BALANCE 2024'!$H$54*HYPOTHESES!D$43/HYPOTHESES!$C$43),0)</f>
        <v>85779542</v>
      </c>
      <c r="I54" s="20" t="n">
        <v>0</v>
      </c>
      <c r="J54" s="20" t="n">
        <f aca="false">(D54-E54)+(F54-G54)-(H54-I54)</f>
        <v>0</v>
      </c>
    </row>
    <row r="55" customFormat="false" ht="15" hidden="false" customHeight="false" outlineLevel="0" collapsed="false">
      <c r="A55" s="33" t="n">
        <v>605800</v>
      </c>
      <c r="B55" s="12" t="s">
        <v>275</v>
      </c>
      <c r="C55" s="13" t="s">
        <v>268</v>
      </c>
      <c r="D55" s="20" t="n">
        <v>0</v>
      </c>
      <c r="E55" s="20" t="n">
        <v>0</v>
      </c>
      <c r="F55" s="20" t="n">
        <f aca="false">MAX(0,(H55-I55)-(D55-E55))</f>
        <v>128669313</v>
      </c>
      <c r="G55" s="20" t="n">
        <f aca="false">MAX(0,(D55-E55)-(H55-I55))</f>
        <v>0</v>
      </c>
      <c r="H55" s="15" t="n">
        <f aca="false">ROUND(HYPOTHESES!D$43-(H48+H49+H50+H51+H52+H53+H54),0)</f>
        <v>128669313</v>
      </c>
      <c r="I55" s="20" t="n">
        <v>0</v>
      </c>
      <c r="J55" s="20" t="n">
        <f aca="false">(D55-E55)+(F55-G55)-(H55-I55)</f>
        <v>0</v>
      </c>
    </row>
    <row r="56" customFormat="false" ht="15" hidden="false" customHeight="false" outlineLevel="0" collapsed="false">
      <c r="A56" s="33" t="n">
        <v>616000</v>
      </c>
      <c r="B56" s="12" t="s">
        <v>276</v>
      </c>
      <c r="C56" s="13" t="s">
        <v>277</v>
      </c>
      <c r="D56" s="20" t="n">
        <v>0</v>
      </c>
      <c r="E56" s="20" t="n">
        <v>0</v>
      </c>
      <c r="F56" s="20" t="n">
        <f aca="false">MAX(0,(H56-I56)-(D56-E56))</f>
        <v>99569</v>
      </c>
      <c r="G56" s="20" t="n">
        <f aca="false">MAX(0,(D56-E56)-(H56-I56))</f>
        <v>0</v>
      </c>
      <c r="H56" s="15" t="n">
        <f aca="false">ROUND(IF(HYPOTHESES!$C$44=0,0,'BALANCE 2024'!$H$56*HYPOTHESES!D$44/HYPOTHESES!$C$44),0)</f>
        <v>99569</v>
      </c>
      <c r="I56" s="20" t="n">
        <v>0</v>
      </c>
      <c r="J56" s="20" t="n">
        <f aca="false">(D56-E56)+(F56-G56)-(H56-I56)</f>
        <v>0</v>
      </c>
    </row>
    <row r="57" customFormat="false" ht="15" hidden="false" customHeight="false" outlineLevel="0" collapsed="false">
      <c r="A57" s="33" t="n">
        <v>618200</v>
      </c>
      <c r="B57" s="12" t="s">
        <v>278</v>
      </c>
      <c r="C57" s="13" t="s">
        <v>277</v>
      </c>
      <c r="D57" s="20" t="n">
        <v>0</v>
      </c>
      <c r="E57" s="20" t="n">
        <v>0</v>
      </c>
      <c r="F57" s="20" t="n">
        <f aca="false">MAX(0,(H57-I57)-(D57-E57))</f>
        <v>1661464</v>
      </c>
      <c r="G57" s="20" t="n">
        <f aca="false">MAX(0,(D57-E57)-(H57-I57))</f>
        <v>0</v>
      </c>
      <c r="H57" s="15" t="n">
        <f aca="false">ROUND(IF(HYPOTHESES!$C$44=0,0,'BALANCE 2024'!$H$57*HYPOTHESES!D$44/HYPOTHESES!$C$44),0)</f>
        <v>1661464</v>
      </c>
      <c r="I57" s="20" t="n">
        <v>0</v>
      </c>
      <c r="J57" s="20" t="n">
        <f aca="false">(D57-E57)+(F57-G57)-(H57-I57)</f>
        <v>0</v>
      </c>
    </row>
    <row r="58" customFormat="false" ht="15" hidden="false" customHeight="false" outlineLevel="0" collapsed="false">
      <c r="A58" s="33" t="n">
        <v>618300</v>
      </c>
      <c r="B58" s="12" t="s">
        <v>279</v>
      </c>
      <c r="C58" s="13" t="s">
        <v>277</v>
      </c>
      <c r="D58" s="20" t="n">
        <v>0</v>
      </c>
      <c r="E58" s="20" t="n">
        <v>0</v>
      </c>
      <c r="F58" s="20" t="n">
        <f aca="false">MAX(0,(H58-I58)-(D58-E58))</f>
        <v>2289499</v>
      </c>
      <c r="G58" s="20" t="n">
        <f aca="false">MAX(0,(D58-E58)-(H58-I58))</f>
        <v>0</v>
      </c>
      <c r="H58" s="15" t="n">
        <f aca="false">ROUND(HYPOTHESES!D$44-(H56+H57),0)</f>
        <v>2289499</v>
      </c>
      <c r="I58" s="20" t="n">
        <v>0</v>
      </c>
      <c r="J58" s="20" t="n">
        <f aca="false">(D58-E58)+(F58-G58)-(H58-I58)</f>
        <v>0</v>
      </c>
    </row>
    <row r="59" customFormat="false" ht="15" hidden="false" customHeight="false" outlineLevel="0" collapsed="false">
      <c r="A59" s="33" t="n">
        <v>622200</v>
      </c>
      <c r="B59" s="12" t="s">
        <v>280</v>
      </c>
      <c r="C59" s="13" t="s">
        <v>281</v>
      </c>
      <c r="D59" s="20" t="n">
        <v>0</v>
      </c>
      <c r="E59" s="20" t="n">
        <v>0</v>
      </c>
      <c r="F59" s="20" t="n">
        <f aca="false">MAX(0,(H59-I59)-(D59-E59))</f>
        <v>17799094</v>
      </c>
      <c r="G59" s="20" t="n">
        <f aca="false">MAX(0,(D59-E59)-(H59-I59))</f>
        <v>0</v>
      </c>
      <c r="H59" s="15" t="n">
        <f aca="false">ROUND(IF(HYPOTHESES!$C$45=0,0,'BALANCE 2024'!$H$59*HYPOTHESES!D$45/HYPOTHESES!$C$45),0)</f>
        <v>17799094</v>
      </c>
      <c r="I59" s="20" t="n">
        <v>0</v>
      </c>
      <c r="J59" s="20" t="n">
        <f aca="false">(D59-E59)+(F59-G59)-(H59-I59)</f>
        <v>0</v>
      </c>
    </row>
    <row r="60" customFormat="false" ht="15" hidden="false" customHeight="false" outlineLevel="0" collapsed="false">
      <c r="A60" s="33" t="n">
        <v>624200</v>
      </c>
      <c r="B60" s="12" t="s">
        <v>282</v>
      </c>
      <c r="C60" s="13" t="s">
        <v>281</v>
      </c>
      <c r="D60" s="20" t="n">
        <v>0</v>
      </c>
      <c r="E60" s="20" t="n">
        <v>0</v>
      </c>
      <c r="F60" s="20" t="n">
        <f aca="false">MAX(0,(H60-I60)-(D60-E60))</f>
        <v>36596794</v>
      </c>
      <c r="G60" s="20" t="n">
        <f aca="false">MAX(0,(D60-E60)-(H60-I60))</f>
        <v>0</v>
      </c>
      <c r="H60" s="15" t="n">
        <f aca="false">ROUND(HYPOTHESES!D$45-(H59+H61+H62+H63+H64+H65+H66+H67),0)</f>
        <v>36596794</v>
      </c>
      <c r="I60" s="20" t="n">
        <v>0</v>
      </c>
      <c r="J60" s="20" t="n">
        <f aca="false">(D60-E60)+(F60-G60)-(H60-I60)</f>
        <v>0</v>
      </c>
    </row>
    <row r="61" customFormat="false" ht="15" hidden="false" customHeight="false" outlineLevel="0" collapsed="false">
      <c r="A61" s="33" t="n">
        <v>625800</v>
      </c>
      <c r="B61" s="12" t="s">
        <v>283</v>
      </c>
      <c r="C61" s="13" t="s">
        <v>281</v>
      </c>
      <c r="D61" s="20" t="n">
        <v>0</v>
      </c>
      <c r="E61" s="20" t="n">
        <v>0</v>
      </c>
      <c r="F61" s="20" t="n">
        <f aca="false">MAX(0,(H61-I61)-(D61-E61))</f>
        <v>4910803</v>
      </c>
      <c r="G61" s="20" t="n">
        <f aca="false">MAX(0,(D61-E61)-(H61-I61))</f>
        <v>0</v>
      </c>
      <c r="H61" s="15" t="n">
        <f aca="false">ROUND(IF(HYPOTHESES!$C$45=0,0,'BALANCE 2024'!$H$61*HYPOTHESES!D$45/HYPOTHESES!$C$45),0)</f>
        <v>4910803</v>
      </c>
      <c r="I61" s="20" t="n">
        <v>0</v>
      </c>
      <c r="J61" s="20" t="n">
        <f aca="false">(D61-E61)+(F61-G61)-(H61-I61)</f>
        <v>0</v>
      </c>
    </row>
    <row r="62" customFormat="false" ht="15" hidden="false" customHeight="false" outlineLevel="0" collapsed="false">
      <c r="A62" s="33" t="n">
        <v>626600</v>
      </c>
      <c r="B62" s="12" t="s">
        <v>284</v>
      </c>
      <c r="C62" s="13" t="s">
        <v>281</v>
      </c>
      <c r="D62" s="20" t="n">
        <v>0</v>
      </c>
      <c r="E62" s="20" t="n">
        <v>0</v>
      </c>
      <c r="F62" s="20" t="n">
        <f aca="false">MAX(0,(H62-I62)-(D62-E62))</f>
        <v>34239</v>
      </c>
      <c r="G62" s="20" t="n">
        <f aca="false">MAX(0,(D62-E62)-(H62-I62))</f>
        <v>0</v>
      </c>
      <c r="H62" s="15" t="n">
        <f aca="false">ROUND(IF(HYPOTHESES!$C$45=0,0,'BALANCE 2024'!$H$62*HYPOTHESES!D$45/HYPOTHESES!$C$45),0)</f>
        <v>34239</v>
      </c>
      <c r="I62" s="20" t="n">
        <v>0</v>
      </c>
      <c r="J62" s="20" t="n">
        <f aca="false">(D62-E62)+(F62-G62)-(H62-I62)</f>
        <v>0</v>
      </c>
    </row>
    <row r="63" customFormat="false" ht="15" hidden="false" customHeight="false" outlineLevel="0" collapsed="false">
      <c r="A63" s="33" t="n">
        <v>627700</v>
      </c>
      <c r="B63" s="12" t="s">
        <v>285</v>
      </c>
      <c r="C63" s="13" t="s">
        <v>281</v>
      </c>
      <c r="D63" s="20" t="n">
        <v>0</v>
      </c>
      <c r="E63" s="20" t="n">
        <v>0</v>
      </c>
      <c r="F63" s="20" t="n">
        <f aca="false">MAX(0,(H63-I63)-(D63-E63))</f>
        <v>62593</v>
      </c>
      <c r="G63" s="20" t="n">
        <f aca="false">MAX(0,(D63-E63)-(H63-I63))</f>
        <v>0</v>
      </c>
      <c r="H63" s="15" t="n">
        <f aca="false">ROUND(IF(HYPOTHESES!$C$45=0,0,'BALANCE 2024'!$H$63*HYPOTHESES!D$45/HYPOTHESES!$C$45),0)</f>
        <v>62593</v>
      </c>
      <c r="I63" s="20" t="n">
        <v>0</v>
      </c>
      <c r="J63" s="20" t="n">
        <f aca="false">(D63-E63)+(F63-G63)-(H63-I63)</f>
        <v>0</v>
      </c>
    </row>
    <row r="64" customFormat="false" ht="15" hidden="false" customHeight="false" outlineLevel="0" collapsed="false">
      <c r="A64" s="33" t="n">
        <v>628800</v>
      </c>
      <c r="B64" s="12" t="s">
        <v>286</v>
      </c>
      <c r="C64" s="13" t="s">
        <v>281</v>
      </c>
      <c r="D64" s="20" t="n">
        <v>0</v>
      </c>
      <c r="E64" s="20" t="n">
        <v>0</v>
      </c>
      <c r="F64" s="20" t="n">
        <f aca="false">MAX(0,(H64-I64)-(D64-E64))</f>
        <v>849605</v>
      </c>
      <c r="G64" s="20" t="n">
        <f aca="false">MAX(0,(D64-E64)-(H64-I64))</f>
        <v>0</v>
      </c>
      <c r="H64" s="15" t="n">
        <f aca="false">ROUND(IF(HYPOTHESES!$C$45=0,0,'BALANCE 2024'!$H$64*HYPOTHESES!D$45/HYPOTHESES!$C$45),0)</f>
        <v>849605</v>
      </c>
      <c r="I64" s="20" t="n">
        <v>0</v>
      </c>
      <c r="J64" s="20" t="n">
        <f aca="false">(D64-E64)+(F64-G64)-(H64-I64)</f>
        <v>0</v>
      </c>
    </row>
    <row r="65" customFormat="false" ht="15" hidden="false" customHeight="false" outlineLevel="0" collapsed="false">
      <c r="A65" s="33" t="n">
        <v>631800</v>
      </c>
      <c r="B65" s="12" t="s">
        <v>287</v>
      </c>
      <c r="C65" s="13" t="s">
        <v>281</v>
      </c>
      <c r="D65" s="20" t="n">
        <v>0</v>
      </c>
      <c r="E65" s="20" t="n">
        <v>0</v>
      </c>
      <c r="F65" s="20" t="n">
        <f aca="false">MAX(0,(H65-I65)-(D65-E65))</f>
        <v>24170860</v>
      </c>
      <c r="G65" s="20" t="n">
        <f aca="false">MAX(0,(D65-E65)-(H65-I65))</f>
        <v>0</v>
      </c>
      <c r="H65" s="15" t="n">
        <f aca="false">ROUND(IF(HYPOTHESES!$C$45=0,0,'BALANCE 2024'!$H$65*HYPOTHESES!D$45/HYPOTHESES!$C$45),0)</f>
        <v>24170860</v>
      </c>
      <c r="I65" s="20" t="n">
        <v>0</v>
      </c>
      <c r="J65" s="20" t="n">
        <f aca="false">(D65-E65)+(F65-G65)-(H65-I65)</f>
        <v>0</v>
      </c>
    </row>
    <row r="66" customFormat="false" ht="15" hidden="false" customHeight="false" outlineLevel="0" collapsed="false">
      <c r="A66" s="33" t="n">
        <v>632800</v>
      </c>
      <c r="B66" s="12" t="s">
        <v>288</v>
      </c>
      <c r="C66" s="13" t="s">
        <v>281</v>
      </c>
      <c r="D66" s="20" t="n">
        <v>0</v>
      </c>
      <c r="E66" s="20" t="n">
        <v>0</v>
      </c>
      <c r="F66" s="20" t="n">
        <f aca="false">MAX(0,(H66-I66)-(D66-E66))</f>
        <v>5085623</v>
      </c>
      <c r="G66" s="20" t="n">
        <f aca="false">MAX(0,(D66-E66)-(H66-I66))</f>
        <v>0</v>
      </c>
      <c r="H66" s="15" t="n">
        <f aca="false">ROUND(IF(HYPOTHESES!$C$45=0,0,'BALANCE 2024'!$H$66*HYPOTHESES!D$45/HYPOTHESES!$C$45),0)</f>
        <v>5085623</v>
      </c>
      <c r="I66" s="20" t="n">
        <v>0</v>
      </c>
      <c r="J66" s="20" t="n">
        <f aca="false">(D66-E66)+(F66-G66)-(H66-I66)</f>
        <v>0</v>
      </c>
    </row>
    <row r="67" customFormat="false" ht="15" hidden="false" customHeight="false" outlineLevel="0" collapsed="false">
      <c r="A67" s="33" t="n">
        <v>638800</v>
      </c>
      <c r="B67" s="12" t="s">
        <v>289</v>
      </c>
      <c r="C67" s="13" t="s">
        <v>281</v>
      </c>
      <c r="D67" s="20" t="n">
        <v>0</v>
      </c>
      <c r="E67" s="20" t="n">
        <v>0</v>
      </c>
      <c r="F67" s="20" t="n">
        <f aca="false">MAX(0,(H67-I67)-(D67-E67))</f>
        <v>24730400</v>
      </c>
      <c r="G67" s="20" t="n">
        <f aca="false">MAX(0,(D67-E67)-(H67-I67))</f>
        <v>0</v>
      </c>
      <c r="H67" s="15" t="n">
        <f aca="false">ROUND(IF(HYPOTHESES!$C$45=0,0,'BALANCE 2024'!$H$67*HYPOTHESES!D$45/HYPOTHESES!$C$45),0)</f>
        <v>24730400</v>
      </c>
      <c r="I67" s="20" t="n">
        <v>0</v>
      </c>
      <c r="J67" s="20" t="n">
        <f aca="false">(D67-E67)+(F67-G67)-(H67-I67)</f>
        <v>0</v>
      </c>
    </row>
    <row r="68" customFormat="false" ht="15" hidden="false" customHeight="false" outlineLevel="0" collapsed="false">
      <c r="A68" s="33" t="n">
        <v>641100</v>
      </c>
      <c r="B68" s="12" t="s">
        <v>290</v>
      </c>
      <c r="C68" s="13" t="s">
        <v>291</v>
      </c>
      <c r="D68" s="20" t="n">
        <v>0</v>
      </c>
      <c r="E68" s="20" t="n">
        <v>0</v>
      </c>
      <c r="F68" s="20" t="n">
        <f aca="false">MAX(0,(H68-I68)-(D68-E68))</f>
        <v>384995</v>
      </c>
      <c r="G68" s="20" t="n">
        <f aca="false">MAX(0,(D68-E68)-(H68-I68))</f>
        <v>0</v>
      </c>
      <c r="H68" s="15" t="n">
        <f aca="false">ROUND(IF(HYPOTHESES!$C$46=0,0,'BALANCE 2024'!$H$68*HYPOTHESES!D$46/HYPOTHESES!$C$46),0)</f>
        <v>384995</v>
      </c>
      <c r="I68" s="20" t="n">
        <v>0</v>
      </c>
      <c r="J68" s="20" t="n">
        <f aca="false">(D68-E68)+(F68-G68)-(H68-I68)</f>
        <v>0</v>
      </c>
    </row>
    <row r="69" customFormat="false" ht="15" hidden="false" customHeight="false" outlineLevel="0" collapsed="false">
      <c r="A69" s="33" t="n">
        <v>641201</v>
      </c>
      <c r="B69" s="12" t="s">
        <v>292</v>
      </c>
      <c r="C69" s="13" t="s">
        <v>291</v>
      </c>
      <c r="D69" s="20" t="n">
        <v>0</v>
      </c>
      <c r="E69" s="20" t="n">
        <v>0</v>
      </c>
      <c r="F69" s="20" t="n">
        <f aca="false">MAX(0,(H69-I69)-(D69-E69))</f>
        <v>9683843</v>
      </c>
      <c r="G69" s="20" t="n">
        <f aca="false">MAX(0,(D69-E69)-(H69-I69))</f>
        <v>0</v>
      </c>
      <c r="H69" s="15" t="n">
        <f aca="false">ROUND(HYPOTHESES!D$46-(H68+H70+H71+H72+H73+H74+H75+H76),0)</f>
        <v>9683843</v>
      </c>
      <c r="I69" s="20" t="n">
        <v>0</v>
      </c>
      <c r="J69" s="20" t="n">
        <f aca="false">(D69-E69)+(F69-G69)-(H69-I69)</f>
        <v>0</v>
      </c>
    </row>
    <row r="70" customFormat="false" ht="15" hidden="false" customHeight="false" outlineLevel="0" collapsed="false">
      <c r="A70" s="33" t="n">
        <v>641202</v>
      </c>
      <c r="B70" s="12" t="s">
        <v>293</v>
      </c>
      <c r="C70" s="13" t="s">
        <v>291</v>
      </c>
      <c r="D70" s="20" t="n">
        <v>0</v>
      </c>
      <c r="E70" s="20" t="n">
        <v>0</v>
      </c>
      <c r="F70" s="20" t="n">
        <f aca="false">MAX(0,(H70-I70)-(D70-E70))</f>
        <v>1656223</v>
      </c>
      <c r="G70" s="20" t="n">
        <f aca="false">MAX(0,(D70-E70)-(H70-I70))</f>
        <v>0</v>
      </c>
      <c r="H70" s="15" t="n">
        <f aca="false">ROUND(IF(HYPOTHESES!$C$46=0,0,'BALANCE 2024'!$H$70*HYPOTHESES!D$46/HYPOTHESES!$C$46),0)</f>
        <v>1656223</v>
      </c>
      <c r="I70" s="20" t="n">
        <v>0</v>
      </c>
      <c r="J70" s="20" t="n">
        <f aca="false">(D70-E70)+(F70-G70)-(H70-I70)</f>
        <v>0</v>
      </c>
    </row>
    <row r="71" customFormat="false" ht="15" hidden="false" customHeight="false" outlineLevel="0" collapsed="false">
      <c r="A71" s="33" t="n">
        <v>641300</v>
      </c>
      <c r="B71" s="12" t="s">
        <v>294</v>
      </c>
      <c r="C71" s="13" t="s">
        <v>291</v>
      </c>
      <c r="D71" s="20" t="n">
        <v>0</v>
      </c>
      <c r="E71" s="20" t="n">
        <v>0</v>
      </c>
      <c r="F71" s="20" t="n">
        <f aca="false">MAX(0,(H71-I71)-(D71-E71))</f>
        <v>883965</v>
      </c>
      <c r="G71" s="20" t="n">
        <f aca="false">MAX(0,(D71-E71)-(H71-I71))</f>
        <v>0</v>
      </c>
      <c r="H71" s="15" t="n">
        <f aca="false">ROUND(IF(HYPOTHESES!$C$46=0,0,'BALANCE 2024'!$H$71*HYPOTHESES!D$46/HYPOTHESES!$C$46),0)</f>
        <v>883965</v>
      </c>
      <c r="I71" s="20" t="n">
        <v>0</v>
      </c>
      <c r="J71" s="20" t="n">
        <f aca="false">(D71-E71)+(F71-G71)-(H71-I71)</f>
        <v>0</v>
      </c>
    </row>
    <row r="72" customFormat="false" ht="15" hidden="false" customHeight="false" outlineLevel="0" collapsed="false">
      <c r="A72" s="33" t="n">
        <v>641400</v>
      </c>
      <c r="B72" s="12" t="s">
        <v>295</v>
      </c>
      <c r="C72" s="13" t="s">
        <v>291</v>
      </c>
      <c r="D72" s="20" t="n">
        <v>0</v>
      </c>
      <c r="E72" s="20" t="n">
        <v>0</v>
      </c>
      <c r="F72" s="20" t="n">
        <f aca="false">MAX(0,(H72-I72)-(D72-E72))</f>
        <v>111291</v>
      </c>
      <c r="G72" s="20" t="n">
        <f aca="false">MAX(0,(D72-E72)-(H72-I72))</f>
        <v>0</v>
      </c>
      <c r="H72" s="15" t="n">
        <f aca="false">ROUND(IF(HYPOTHESES!$C$46=0,0,'BALANCE 2024'!$H$72*HYPOTHESES!D$46/HYPOTHESES!$C$46),0)</f>
        <v>111291</v>
      </c>
      <c r="I72" s="20" t="n">
        <v>0</v>
      </c>
      <c r="J72" s="20" t="n">
        <f aca="false">(D72-E72)+(F72-G72)-(H72-I72)</f>
        <v>0</v>
      </c>
    </row>
    <row r="73" customFormat="false" ht="15" hidden="false" customHeight="false" outlineLevel="0" collapsed="false">
      <c r="A73" s="33" t="n">
        <v>641500</v>
      </c>
      <c r="B73" s="12" t="s">
        <v>296</v>
      </c>
      <c r="C73" s="13" t="s">
        <v>291</v>
      </c>
      <c r="D73" s="20" t="n">
        <v>0</v>
      </c>
      <c r="E73" s="20" t="n">
        <v>0</v>
      </c>
      <c r="F73" s="20" t="n">
        <f aca="false">MAX(0,(H73-I73)-(D73-E73))</f>
        <v>333888</v>
      </c>
      <c r="G73" s="20" t="n">
        <f aca="false">MAX(0,(D73-E73)-(H73-I73))</f>
        <v>0</v>
      </c>
      <c r="H73" s="15" t="n">
        <f aca="false">ROUND(IF(HYPOTHESES!$C$46=0,0,'BALANCE 2024'!$H$73*HYPOTHESES!D$46/HYPOTHESES!$C$46),0)</f>
        <v>333888</v>
      </c>
      <c r="I73" s="20" t="n">
        <v>0</v>
      </c>
      <c r="J73" s="20" t="n">
        <f aca="false">(D73-E73)+(F73-G73)-(H73-I73)</f>
        <v>0</v>
      </c>
    </row>
    <row r="74" customFormat="false" ht="15" hidden="false" customHeight="false" outlineLevel="0" collapsed="false">
      <c r="A74" s="33" t="n">
        <v>641830</v>
      </c>
      <c r="B74" s="12" t="s">
        <v>297</v>
      </c>
      <c r="C74" s="13" t="s">
        <v>291</v>
      </c>
      <c r="D74" s="20" t="n">
        <v>0</v>
      </c>
      <c r="E74" s="20" t="n">
        <v>0</v>
      </c>
      <c r="F74" s="20" t="n">
        <f aca="false">MAX(0,(H74-I74)-(D74-E74))</f>
        <v>226383</v>
      </c>
      <c r="G74" s="20" t="n">
        <f aca="false">MAX(0,(D74-E74)-(H74-I74))</f>
        <v>0</v>
      </c>
      <c r="H74" s="15" t="n">
        <f aca="false">ROUND(IF(HYPOTHESES!$C$46=0,0,'BALANCE 2024'!$H$74*HYPOTHESES!D$46/HYPOTHESES!$C$46),0)</f>
        <v>226383</v>
      </c>
      <c r="I74" s="20" t="n">
        <v>0</v>
      </c>
      <c r="J74" s="20" t="n">
        <f aca="false">(D74-E74)+(F74-G74)-(H74-I74)</f>
        <v>0</v>
      </c>
    </row>
    <row r="75" customFormat="false" ht="15" hidden="false" customHeight="false" outlineLevel="0" collapsed="false">
      <c r="A75" s="33" t="n">
        <v>646200</v>
      </c>
      <c r="B75" s="12" t="s">
        <v>298</v>
      </c>
      <c r="C75" s="13" t="s">
        <v>291</v>
      </c>
      <c r="D75" s="20" t="n">
        <v>0</v>
      </c>
      <c r="E75" s="20" t="n">
        <v>0</v>
      </c>
      <c r="F75" s="20" t="n">
        <f aca="false">MAX(0,(H75-I75)-(D75-E75))</f>
        <v>1845461</v>
      </c>
      <c r="G75" s="20" t="n">
        <f aca="false">MAX(0,(D75-E75)-(H75-I75))</f>
        <v>0</v>
      </c>
      <c r="H75" s="15" t="n">
        <f aca="false">ROUND(IF(HYPOTHESES!$C$46=0,0,'BALANCE 2024'!$H$75*HYPOTHESES!D$46/HYPOTHESES!$C$46),0)</f>
        <v>1845461</v>
      </c>
      <c r="I75" s="20" t="n">
        <v>0</v>
      </c>
      <c r="J75" s="20" t="n">
        <f aca="false">(D75-E75)+(F75-G75)-(H75-I75)</f>
        <v>0</v>
      </c>
    </row>
    <row r="76" customFormat="false" ht="15" hidden="false" customHeight="false" outlineLevel="0" collapsed="false">
      <c r="A76" s="33" t="n">
        <v>648000</v>
      </c>
      <c r="B76" s="12" t="s">
        <v>299</v>
      </c>
      <c r="C76" s="13" t="s">
        <v>291</v>
      </c>
      <c r="D76" s="20" t="n">
        <v>0</v>
      </c>
      <c r="E76" s="20" t="n">
        <v>0</v>
      </c>
      <c r="F76" s="20" t="n">
        <f aca="false">MAX(0,(H76-I76)-(D76-E76))</f>
        <v>776041</v>
      </c>
      <c r="G76" s="20" t="n">
        <f aca="false">MAX(0,(D76-E76)-(H76-I76))</f>
        <v>0</v>
      </c>
      <c r="H76" s="15" t="n">
        <f aca="false">ROUND(IF(HYPOTHESES!$C$46=0,0,'BALANCE 2024'!$H$76*HYPOTHESES!D$46/HYPOTHESES!$C$46),0)</f>
        <v>776041</v>
      </c>
      <c r="I76" s="20" t="n">
        <v>0</v>
      </c>
      <c r="J76" s="20" t="n">
        <f aca="false">(D76-E76)+(F76-G76)-(H76-I76)</f>
        <v>0</v>
      </c>
    </row>
    <row r="77" customFormat="false" ht="15" hidden="false" customHeight="false" outlineLevel="0" collapsed="false">
      <c r="A77" s="33" t="n">
        <v>658800</v>
      </c>
      <c r="B77" s="12" t="s">
        <v>300</v>
      </c>
      <c r="C77" s="13" t="s">
        <v>301</v>
      </c>
      <c r="D77" s="20" t="n">
        <v>0</v>
      </c>
      <c r="E77" s="20" t="n">
        <v>0</v>
      </c>
      <c r="F77" s="20" t="n">
        <f aca="false">MAX(0,(H77-I77)-(D77-E77))</f>
        <v>1425187</v>
      </c>
      <c r="G77" s="20" t="n">
        <f aca="false">MAX(0,(D77-E77)-(H77-I77))</f>
        <v>0</v>
      </c>
      <c r="H77" s="15" t="n">
        <f aca="false">ROUND(HYPOTHESES!D$47,0)</f>
        <v>1425187</v>
      </c>
      <c r="I77" s="20" t="n">
        <v>0</v>
      </c>
      <c r="J77" s="20" t="n">
        <f aca="false">(D77-E77)+(F77-G77)-(H77-I77)</f>
        <v>0</v>
      </c>
    </row>
    <row r="78" customFormat="false" ht="15" hidden="false" customHeight="false" outlineLevel="0" collapsed="false">
      <c r="A78" s="33" t="n">
        <v>661100</v>
      </c>
      <c r="B78" s="12" t="s">
        <v>302</v>
      </c>
      <c r="C78" s="13" t="s">
        <v>303</v>
      </c>
      <c r="D78" s="20" t="n">
        <v>0</v>
      </c>
      <c r="E78" s="20" t="n">
        <v>0</v>
      </c>
      <c r="F78" s="20" t="n">
        <f aca="false">MAX(0,(H78-I78)-(D78-E78))</f>
        <v>63089886</v>
      </c>
      <c r="G78" s="20" t="n">
        <f aca="false">MAX(0,(D78-E78)-(H78-I78))</f>
        <v>0</v>
      </c>
      <c r="H78" s="15" t="n">
        <f aca="false">ROUND(HYPOTHESES!D$48-(H79+H80+H81+H82+H83),0)</f>
        <v>63089886</v>
      </c>
      <c r="I78" s="20" t="n">
        <v>0</v>
      </c>
      <c r="J78" s="20" t="n">
        <f aca="false">(D78-E78)+(F78-G78)-(H78-I78)</f>
        <v>0</v>
      </c>
    </row>
    <row r="79" customFormat="false" ht="15" hidden="false" customHeight="false" outlineLevel="0" collapsed="false">
      <c r="A79" s="33" t="n">
        <v>661200</v>
      </c>
      <c r="B79" s="12" t="s">
        <v>304</v>
      </c>
      <c r="C79" s="13" t="s">
        <v>303</v>
      </c>
      <c r="D79" s="20" t="n">
        <v>0</v>
      </c>
      <c r="E79" s="20" t="n">
        <v>0</v>
      </c>
      <c r="F79" s="20" t="n">
        <f aca="false">MAX(0,(H79-I79)-(D79-E79))</f>
        <v>21327567</v>
      </c>
      <c r="G79" s="20" t="n">
        <f aca="false">MAX(0,(D79-E79)-(H79-I79))</f>
        <v>0</v>
      </c>
      <c r="H79" s="15" t="n">
        <f aca="false">ROUND(IF(HYPOTHESES!$C$48=0,0,'BALANCE 2024'!$H$79*HYPOTHESES!D$48/HYPOTHESES!$C$48),0)</f>
        <v>21327567</v>
      </c>
      <c r="I79" s="20" t="n">
        <v>0</v>
      </c>
      <c r="J79" s="20" t="n">
        <f aca="false">(D79-E79)+(F79-G79)-(H79-I79)</f>
        <v>0</v>
      </c>
    </row>
    <row r="80" customFormat="false" ht="15" hidden="false" customHeight="false" outlineLevel="0" collapsed="false">
      <c r="A80" s="33" t="n">
        <v>661300</v>
      </c>
      <c r="B80" s="12" t="s">
        <v>305</v>
      </c>
      <c r="C80" s="13" t="s">
        <v>303</v>
      </c>
      <c r="D80" s="20" t="n">
        <v>0</v>
      </c>
      <c r="E80" s="20" t="n">
        <v>0</v>
      </c>
      <c r="F80" s="20" t="n">
        <f aca="false">MAX(0,(H80-I80)-(D80-E80))</f>
        <v>7037068</v>
      </c>
      <c r="G80" s="20" t="n">
        <f aca="false">MAX(0,(D80-E80)-(H80-I80))</f>
        <v>0</v>
      </c>
      <c r="H80" s="15" t="n">
        <f aca="false">ROUND(IF(HYPOTHESES!$C$48=0,0,'BALANCE 2024'!$H$80*HYPOTHESES!D$48/HYPOTHESES!$C$48),0)</f>
        <v>7037068</v>
      </c>
      <c r="I80" s="20" t="n">
        <v>0</v>
      </c>
      <c r="J80" s="20" t="n">
        <f aca="false">(D80-E80)+(F80-G80)-(H80-I80)</f>
        <v>0</v>
      </c>
    </row>
    <row r="81" customFormat="false" ht="15" hidden="false" customHeight="false" outlineLevel="0" collapsed="false">
      <c r="A81" s="33" t="n">
        <v>661400</v>
      </c>
      <c r="B81" s="12" t="s">
        <v>306</v>
      </c>
      <c r="C81" s="13" t="s">
        <v>303</v>
      </c>
      <c r="D81" s="20" t="n">
        <v>0</v>
      </c>
      <c r="E81" s="20" t="n">
        <v>0</v>
      </c>
      <c r="F81" s="20" t="n">
        <f aca="false">MAX(0,(H81-I81)-(D81-E81))</f>
        <v>7106530</v>
      </c>
      <c r="G81" s="20" t="n">
        <f aca="false">MAX(0,(D81-E81)-(H81-I81))</f>
        <v>0</v>
      </c>
      <c r="H81" s="15" t="n">
        <f aca="false">ROUND(IF(HYPOTHESES!$C$48=0,0,'BALANCE 2024'!$H$81*HYPOTHESES!D$48/HYPOTHESES!$C$48),0)</f>
        <v>7106530</v>
      </c>
      <c r="I81" s="20" t="n">
        <v>0</v>
      </c>
      <c r="J81" s="20" t="n">
        <f aca="false">(D81-E81)+(F81-G81)-(H81-I81)</f>
        <v>0</v>
      </c>
    </row>
    <row r="82" customFormat="false" ht="15" hidden="false" customHeight="false" outlineLevel="0" collapsed="false">
      <c r="A82" s="33" t="n">
        <v>663400</v>
      </c>
      <c r="B82" s="12" t="s">
        <v>307</v>
      </c>
      <c r="C82" s="13" t="s">
        <v>303</v>
      </c>
      <c r="D82" s="20" t="n">
        <v>0</v>
      </c>
      <c r="E82" s="20" t="n">
        <v>0</v>
      </c>
      <c r="F82" s="20" t="n">
        <f aca="false">MAX(0,(H82-I82)-(D82-E82))</f>
        <v>7360350</v>
      </c>
      <c r="G82" s="20" t="n">
        <f aca="false">MAX(0,(D82-E82)-(H82-I82))</f>
        <v>0</v>
      </c>
      <c r="H82" s="15" t="n">
        <f aca="false">ROUND(IF(HYPOTHESES!$C$48=0,0,'BALANCE 2024'!$H$82*HYPOTHESES!D$48/HYPOTHESES!$C$48),0)</f>
        <v>7360350</v>
      </c>
      <c r="I82" s="20" t="n">
        <v>0</v>
      </c>
      <c r="J82" s="20" t="n">
        <f aca="false">(D82-E82)+(F82-G82)-(H82-I82)</f>
        <v>0</v>
      </c>
    </row>
    <row r="83" customFormat="false" ht="15" hidden="false" customHeight="false" outlineLevel="0" collapsed="false">
      <c r="A83" s="33" t="n">
        <v>664104</v>
      </c>
      <c r="B83" s="12" t="s">
        <v>308</v>
      </c>
      <c r="C83" s="13" t="s">
        <v>303</v>
      </c>
      <c r="D83" s="20" t="n">
        <v>0</v>
      </c>
      <c r="E83" s="20" t="n">
        <v>0</v>
      </c>
      <c r="F83" s="20" t="n">
        <f aca="false">MAX(0,(H83-I83)-(D83-E83))</f>
        <v>7493502</v>
      </c>
      <c r="G83" s="20" t="n">
        <f aca="false">MAX(0,(D83-E83)-(H83-I83))</f>
        <v>0</v>
      </c>
      <c r="H83" s="15" t="n">
        <f aca="false">ROUND(IF(HYPOTHESES!$C$48=0,0,'BALANCE 2024'!$H$83*HYPOTHESES!D$48/HYPOTHESES!$C$48),0)</f>
        <v>7493502</v>
      </c>
      <c r="I83" s="20" t="n">
        <v>0</v>
      </c>
      <c r="J83" s="20" t="n">
        <f aca="false">(D83-E83)+(F83-G83)-(H83-I83)</f>
        <v>0</v>
      </c>
    </row>
    <row r="84" customFormat="false" ht="15" hidden="false" customHeight="false" outlineLevel="0" collapsed="false">
      <c r="A84" s="33" t="n">
        <v>671201</v>
      </c>
      <c r="B84" s="12" t="s">
        <v>309</v>
      </c>
      <c r="C84" s="13" t="s">
        <v>310</v>
      </c>
      <c r="D84" s="20" t="n">
        <v>0</v>
      </c>
      <c r="E84" s="20" t="n">
        <v>0</v>
      </c>
      <c r="F84" s="20" t="n">
        <f aca="false">MAX(0,(H84-I84)-(D84-E84))</f>
        <v>2379530</v>
      </c>
      <c r="G84" s="20" t="n">
        <f aca="false">MAX(0,(D84-E84)-(H84-I84))</f>
        <v>0</v>
      </c>
      <c r="H84" s="15" t="n">
        <f aca="false">ROUND('INVEST ET FINANCEMENT'!D$64,0)</f>
        <v>2379530</v>
      </c>
      <c r="I84" s="20" t="n">
        <v>0</v>
      </c>
      <c r="J84" s="20" t="n">
        <f aca="false">(D84-E84)+(F84-G84)-(H84-I84)</f>
        <v>0</v>
      </c>
    </row>
    <row r="85" customFormat="false" ht="15" hidden="false" customHeight="false" outlineLevel="0" collapsed="false">
      <c r="A85" s="33" t="n">
        <v>672301</v>
      </c>
      <c r="B85" s="12" t="s">
        <v>311</v>
      </c>
      <c r="C85" s="13" t="s">
        <v>310</v>
      </c>
      <c r="D85" s="20" t="n">
        <v>0</v>
      </c>
      <c r="E85" s="20" t="n">
        <v>0</v>
      </c>
      <c r="F85" s="20" t="n">
        <f aca="false">MAX(0,(H85-I85)-(D85-E85))</f>
        <v>637182</v>
      </c>
      <c r="G85" s="20" t="n">
        <f aca="false">MAX(0,(D85-E85)-(H85-I85))</f>
        <v>0</v>
      </c>
      <c r="H85" s="15" t="n">
        <f aca="false">ROUND('INVEST ET FINANCEMENT'!D$65,0)</f>
        <v>637182</v>
      </c>
      <c r="I85" s="20" t="n">
        <v>0</v>
      </c>
      <c r="J85" s="20" t="n">
        <f aca="false">(D85-E85)+(F85-G85)-(H85-I85)</f>
        <v>0</v>
      </c>
    </row>
    <row r="86" customFormat="false" ht="15" hidden="false" customHeight="false" outlineLevel="0" collapsed="false">
      <c r="A86" s="33" t="n">
        <v>681301</v>
      </c>
      <c r="B86" s="12" t="s">
        <v>312</v>
      </c>
      <c r="C86" s="13" t="s">
        <v>313</v>
      </c>
      <c r="D86" s="20" t="n">
        <v>0</v>
      </c>
      <c r="E86" s="20" t="n">
        <v>0</v>
      </c>
      <c r="F86" s="20" t="n">
        <f aca="false">MAX(0,(H86-I86)-(D86-E86))</f>
        <v>19282845</v>
      </c>
      <c r="G86" s="20" t="n">
        <f aca="false">MAX(0,(D86-E86)-(H86-I86))</f>
        <v>0</v>
      </c>
      <c r="H86" s="15" t="n">
        <f aca="false">ROUND('INVEST ET FINANCEMENT'!D$31,0)</f>
        <v>19282845</v>
      </c>
      <c r="I86" s="20" t="n">
        <v>0</v>
      </c>
      <c r="J86" s="20" t="n">
        <f aca="false">(D86-E86)+(F86-G86)-(H86-I86)</f>
        <v>0</v>
      </c>
    </row>
    <row r="87" customFormat="false" ht="15" hidden="false" customHeight="false" outlineLevel="0" collapsed="false">
      <c r="A87" s="33" t="n">
        <v>681302</v>
      </c>
      <c r="B87" s="12" t="s">
        <v>314</v>
      </c>
      <c r="C87" s="13" t="s">
        <v>313</v>
      </c>
      <c r="D87" s="20" t="n">
        <v>0</v>
      </c>
      <c r="E87" s="20" t="n">
        <v>0</v>
      </c>
      <c r="F87" s="20" t="n">
        <f aca="false">MAX(0,(H87-I87)-(D87-E87))</f>
        <v>28205053</v>
      </c>
      <c r="G87" s="20" t="n">
        <f aca="false">MAX(0,(D87-E87)-(H87-I87))</f>
        <v>0</v>
      </c>
      <c r="H87" s="15" t="n">
        <f aca="false">ROUND('INVEST ET FINANCEMENT'!D$34,0)</f>
        <v>28205053</v>
      </c>
      <c r="I87" s="20" t="n">
        <v>0</v>
      </c>
      <c r="J87" s="20" t="n">
        <f aca="false">(D87-E87)+(F87-G87)-(H87-I87)</f>
        <v>0</v>
      </c>
    </row>
    <row r="88" customFormat="false" ht="15" hidden="false" customHeight="false" outlineLevel="0" collapsed="false">
      <c r="A88" s="33" t="n">
        <v>681303</v>
      </c>
      <c r="B88" s="12" t="s">
        <v>315</v>
      </c>
      <c r="C88" s="13" t="s">
        <v>313</v>
      </c>
      <c r="D88" s="20" t="n">
        <v>0</v>
      </c>
      <c r="E88" s="20" t="n">
        <v>0</v>
      </c>
      <c r="F88" s="20" t="n">
        <f aca="false">MAX(0,(H88-I88)-(D88-E88))</f>
        <v>5399884</v>
      </c>
      <c r="G88" s="20" t="n">
        <f aca="false">MAX(0,(D88-E88)-(H88-I88))</f>
        <v>0</v>
      </c>
      <c r="H88" s="15" t="n">
        <f aca="false">ROUND('INVEST ET FINANCEMENT'!D$37,0)</f>
        <v>5399884</v>
      </c>
      <c r="I88" s="20" t="n">
        <v>0</v>
      </c>
      <c r="J88" s="20" t="n">
        <f aca="false">(D88-E88)+(F88-G88)-(H88-I88)</f>
        <v>0</v>
      </c>
    </row>
    <row r="89" customFormat="false" ht="15" hidden="false" customHeight="false" outlineLevel="0" collapsed="false">
      <c r="A89" s="33" t="n">
        <v>681304</v>
      </c>
      <c r="B89" s="12" t="s">
        <v>316</v>
      </c>
      <c r="C89" s="13" t="s">
        <v>313</v>
      </c>
      <c r="D89" s="20" t="n">
        <v>0</v>
      </c>
      <c r="E89" s="20" t="n">
        <v>0</v>
      </c>
      <c r="F89" s="20" t="n">
        <f aca="false">MAX(0,(H89-I89)-(D89-E89))</f>
        <v>18958378</v>
      </c>
      <c r="G89" s="20" t="n">
        <f aca="false">MAX(0,(D89-E89)-(H89-I89))</f>
        <v>0</v>
      </c>
      <c r="H89" s="15" t="n">
        <f aca="false">ROUND('INVEST ET FINANCEMENT'!D$40,0)</f>
        <v>18958378</v>
      </c>
      <c r="I89" s="20" t="n">
        <v>0</v>
      </c>
      <c r="J89" s="20" t="n">
        <f aca="false">(D89-E89)+(F89-G89)-(H89-I89)</f>
        <v>0</v>
      </c>
    </row>
    <row r="90" customFormat="false" ht="15" hidden="false" customHeight="false" outlineLevel="0" collapsed="false">
      <c r="A90" s="33" t="n">
        <v>691100</v>
      </c>
      <c r="B90" s="12" t="s">
        <v>317</v>
      </c>
      <c r="C90" s="13" t="s">
        <v>313</v>
      </c>
      <c r="D90" s="20" t="n">
        <v>0</v>
      </c>
      <c r="E90" s="20" t="n">
        <v>0</v>
      </c>
      <c r="F90" s="20" t="n">
        <f aca="false">MAX(0,(H90-I90)-(D90-E90))</f>
        <v>6059296</v>
      </c>
      <c r="G90" s="20" t="n">
        <f aca="false">MAX(0,(D90-E90)-(H90-I90))</f>
        <v>0</v>
      </c>
      <c r="H90" s="15" t="n">
        <f aca="false">ROUND(HYPOTHESES!D$50,0)</f>
        <v>6059296</v>
      </c>
      <c r="I90" s="20" t="n">
        <v>0</v>
      </c>
      <c r="J90" s="20" t="n">
        <f aca="false">(D90-E90)+(F90-G90)-(H90-I90)</f>
        <v>0</v>
      </c>
    </row>
    <row r="91" customFormat="false" ht="15" hidden="false" customHeight="false" outlineLevel="0" collapsed="false">
      <c r="A91" s="28" t="n">
        <v>705100</v>
      </c>
      <c r="B91" s="29" t="s">
        <v>318</v>
      </c>
      <c r="C91" s="30" t="s">
        <v>319</v>
      </c>
      <c r="D91" s="32" t="n">
        <v>0</v>
      </c>
      <c r="E91" s="32" t="n">
        <v>0</v>
      </c>
      <c r="F91" s="32" t="n">
        <f aca="false">MAX(0,(H91-I91)-(D91-E91))</f>
        <v>0</v>
      </c>
      <c r="G91" s="32" t="n">
        <f aca="false">MAX(0,(D91-E91)-(H91-I91))</f>
        <v>750098564</v>
      </c>
      <c r="H91" s="32" t="n">
        <v>0</v>
      </c>
      <c r="I91" s="37" t="n">
        <f aca="false">ROUND(HYPOTHESES!D$42,0)</f>
        <v>750098564</v>
      </c>
      <c r="J91" s="32" t="n">
        <f aca="false">(D91-E91)+(F91-G91)-(H91-I91)</f>
        <v>0</v>
      </c>
    </row>
    <row r="92" customFormat="false" ht="15" hidden="false" customHeight="false" outlineLevel="0" collapsed="false">
      <c r="A92" s="33" t="n">
        <v>771200</v>
      </c>
      <c r="B92" s="12" t="s">
        <v>320</v>
      </c>
      <c r="C92" s="13" t="s">
        <v>321</v>
      </c>
      <c r="D92" s="20" t="n">
        <v>0</v>
      </c>
      <c r="E92" s="20" t="n">
        <v>0</v>
      </c>
      <c r="F92" s="20" t="n">
        <f aca="false">MAX(0,(H92-I92)-(D92-E92))</f>
        <v>0</v>
      </c>
      <c r="G92" s="20" t="n">
        <f aca="false">MAX(0,(D92-E92)-(H92-I92))</f>
        <v>848594</v>
      </c>
      <c r="H92" s="20" t="n">
        <v>0</v>
      </c>
      <c r="I92" s="15" t="n">
        <f aca="false">ROUND(HYPOTHESES!D$51,0)</f>
        <v>848594</v>
      </c>
      <c r="J92" s="20" t="n">
        <f aca="false">(D92-E92)+(F92-G92)-(H92-I92)</f>
        <v>0</v>
      </c>
    </row>
    <row r="93" customFormat="false" ht="15" hidden="false" customHeight="false" outlineLevel="0" collapsed="false">
      <c r="A93" s="28" t="n">
        <v>891100</v>
      </c>
      <c r="B93" s="29" t="s">
        <v>322</v>
      </c>
      <c r="C93" s="30" t="s">
        <v>323</v>
      </c>
      <c r="D93" s="32" t="n">
        <v>0</v>
      </c>
      <c r="E93" s="32" t="n">
        <v>0</v>
      </c>
      <c r="F93" s="32" t="n">
        <f aca="false">MAX(0,(H93-I93)-(D93-E93))</f>
        <v>30838289</v>
      </c>
      <c r="G93" s="32" t="n">
        <f aca="false">MAX(0,(D93-E93)-(H93-I93))</f>
        <v>0</v>
      </c>
      <c r="H93" s="37" t="n">
        <f aca="false">ROUND(IF(HYPOTHESES!D$54&gt;=HYPOTHESES!D$55,HYPOTHESES!D$56,0),0)</f>
        <v>30838289</v>
      </c>
      <c r="I93" s="32" t="n">
        <v>0</v>
      </c>
      <c r="J93" s="32" t="n">
        <f aca="false">(D93-E93)+(F93-G93)-(H93-I93)</f>
        <v>0</v>
      </c>
    </row>
    <row r="94" customFormat="false" ht="15" hidden="false" customHeight="false" outlineLevel="0" collapsed="false">
      <c r="A94" s="33" t="n">
        <v>895000</v>
      </c>
      <c r="B94" s="12" t="s">
        <v>324</v>
      </c>
      <c r="C94" s="13" t="s">
        <v>323</v>
      </c>
      <c r="D94" s="20" t="n">
        <v>0</v>
      </c>
      <c r="E94" s="20" t="n">
        <v>0</v>
      </c>
      <c r="F94" s="20" t="n">
        <f aca="false">MAX(0,(H94-I94)-(D94-E94))</f>
        <v>0</v>
      </c>
      <c r="G94" s="20" t="n">
        <f aca="false">MAX(0,(D94-E94)-(H94-I94))</f>
        <v>0</v>
      </c>
      <c r="H94" s="15" t="n">
        <f aca="false">ROUND(IF(HYPOTHESES!D$54&lt;HYPOTHESES!D$55,HYPOTHESES!D$56,0),0)</f>
        <v>0</v>
      </c>
      <c r="I94" s="20" t="n">
        <v>0</v>
      </c>
      <c r="J94" s="20" t="n">
        <f aca="false">(D94-E94)+(F94-G94)-(H94-I94)</f>
        <v>0</v>
      </c>
    </row>
    <row r="96" customFormat="false" ht="15" hidden="false" customHeight="false" outlineLevel="0" collapsed="false">
      <c r="A96" s="34"/>
      <c r="B96" s="35" t="s">
        <v>325</v>
      </c>
      <c r="C96" s="34"/>
      <c r="D96" s="36" t="n">
        <f aca="false">SUM(D5:D94)</f>
        <v>1713224346</v>
      </c>
      <c r="E96" s="36" t="n">
        <f aca="false">SUM(E5:E94)</f>
        <v>1713224346</v>
      </c>
      <c r="F96" s="36" t="n">
        <f aca="false">SUM(F5:F94)</f>
        <v>3884530906</v>
      </c>
      <c r="G96" s="36" t="n">
        <f aca="false">SUM(G5:G94)</f>
        <v>3884530906</v>
      </c>
      <c r="H96" s="36" t="n">
        <f aca="false">SUM(H5:H94)</f>
        <v>2429245214</v>
      </c>
      <c r="I96" s="36" t="n">
        <f aca="false">SUM(I5:I94)</f>
        <v>2429245214</v>
      </c>
      <c r="J96" s="36" t="n">
        <f aca="false">SUM(J5:J94)</f>
        <v>0</v>
      </c>
    </row>
    <row r="97" customFormat="false" ht="15" hidden="false" customHeight="false" outlineLevel="0" collapsed="false">
      <c r="B97" s="4" t="s">
        <v>326</v>
      </c>
      <c r="D97" s="21" t="n">
        <f aca="false">D96-E96</f>
        <v>0</v>
      </c>
      <c r="F97" s="21" t="n">
        <f aca="false">F96-G96</f>
        <v>0</v>
      </c>
      <c r="H97" s="21" t="n">
        <f aca="false">H96-I96</f>
        <v>0</v>
      </c>
    </row>
    <row r="99" customFormat="false" ht="15" hidden="false" customHeight="false" outlineLevel="0" collapsed="false">
      <c r="B99" s="7" t="s">
        <v>329</v>
      </c>
      <c r="H99" s="20" t="n">
        <f aca="false">-(SUM(H5:H44)-SUM(I5:I44)+SUM(H47:H94)-SUM(I47:I94))</f>
        <v>154325995</v>
      </c>
    </row>
    <row r="100" customFormat="false" ht="15" hidden="false" customHeight="false" outlineLevel="0" collapsed="false">
      <c r="B100" s="7" t="s">
        <v>330</v>
      </c>
      <c r="H100" s="20" t="n">
        <f aca="false">ROUND((G26+HYPOTHESES!D$51+'INVEST ET FINANCEMENT'!D$47+'INVEST ET FINANCEMENT'!D$51+(D45-E45)+(D46-E46)-H99)/(1-HYPOTHESES!D$29*(1-HYPOTHESES!D$30)),0)</f>
        <v>901097419</v>
      </c>
    </row>
    <row r="101" customFormat="false" ht="15" hidden="false" customHeight="false" outlineLevel="0" collapsed="false">
      <c r="B101" s="7" t="s">
        <v>331</v>
      </c>
      <c r="H101" s="20" t="n">
        <f aca="false">ROUND(HYPOTHESES!D$29*H100,0)</f>
        <v>180219484</v>
      </c>
    </row>
  </sheetData>
  <mergeCells count="4">
    <mergeCell ref="A1:J1"/>
    <mergeCell ref="D3:E3"/>
    <mergeCell ref="F3:G3"/>
    <mergeCell ref="H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ignoredErrors>
    <ignoredError sqref="A1:Z400" formula="1" formulaRange="1" unlockedFormula="1" numberStoredAsText="1" emptyCellReferenc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J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6"/>
    <col collapsed="false" customWidth="true" hidden="false" outlineLevel="0" max="3" min="3" style="0" width="7"/>
    <col collapsed="false" customWidth="true" hidden="false" outlineLevel="0" max="9" min="4" style="0" width="15"/>
    <col collapsed="false" customWidth="true" hidden="false" outlineLevel="0" max="10" min="10" style="0" width="13"/>
  </cols>
  <sheetData>
    <row r="1" customFormat="false" ht="24" hidden="false" customHeight="true" outlineLevel="0" collapsed="false">
      <c r="A1" s="1" t="s">
        <v>332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328</v>
      </c>
    </row>
    <row r="3" customFormat="false" ht="15" hidden="false" customHeight="false" outlineLevel="0" collapsed="false">
      <c r="A3" s="25"/>
      <c r="B3" s="25"/>
      <c r="C3" s="25"/>
      <c r="D3" s="26" t="s">
        <v>196</v>
      </c>
      <c r="E3" s="26"/>
      <c r="F3" s="26" t="s">
        <v>197</v>
      </c>
      <c r="G3" s="26"/>
      <c r="H3" s="26" t="s">
        <v>198</v>
      </c>
      <c r="I3" s="26"/>
      <c r="J3" s="27" t="s">
        <v>199</v>
      </c>
    </row>
    <row r="4" customFormat="false" ht="15" hidden="false" customHeight="false" outlineLevel="0" collapsed="false">
      <c r="A4" s="8" t="s">
        <v>200</v>
      </c>
      <c r="B4" s="8" t="s">
        <v>201</v>
      </c>
      <c r="C4" s="8" t="s">
        <v>202</v>
      </c>
      <c r="D4" s="8" t="s">
        <v>203</v>
      </c>
      <c r="E4" s="8" t="s">
        <v>204</v>
      </c>
      <c r="F4" s="8" t="s">
        <v>203</v>
      </c>
      <c r="G4" s="8" t="s">
        <v>204</v>
      </c>
      <c r="H4" s="8" t="s">
        <v>203</v>
      </c>
      <c r="I4" s="8" t="s">
        <v>204</v>
      </c>
      <c r="J4" s="8" t="s">
        <v>205</v>
      </c>
    </row>
    <row r="5" customFormat="false" ht="15" hidden="false" customHeight="false" outlineLevel="0" collapsed="false">
      <c r="A5" s="28" t="n">
        <v>101000</v>
      </c>
      <c r="B5" s="29" t="s">
        <v>206</v>
      </c>
      <c r="C5" s="30" t="s">
        <v>207</v>
      </c>
      <c r="D5" s="37" t="n">
        <f aca="false">'BALANCE 2025'!H5</f>
        <v>0</v>
      </c>
      <c r="E5" s="37" t="n">
        <f aca="false">'BALANCE 2025'!I5</f>
        <v>10000000</v>
      </c>
      <c r="F5" s="37" t="n">
        <f aca="false">ROUND('INVEST ET FINANCEMENT'!E$51,0)+(H5-I5)-(D5-E5)</f>
        <v>0</v>
      </c>
      <c r="G5" s="37" t="n">
        <f aca="false">ROUND('INVEST ET FINANCEMENT'!E$51,0)</f>
        <v>0</v>
      </c>
      <c r="H5" s="32" t="n">
        <v>0</v>
      </c>
      <c r="I5" s="37" t="n">
        <f aca="false">ROUND(E5+'INVEST ET FINANCEMENT'!E$51,0)</f>
        <v>10000000</v>
      </c>
      <c r="J5" s="32" t="n">
        <f aca="false">(D5-E5)+(F5-G5)-(H5-I5)</f>
        <v>0</v>
      </c>
    </row>
    <row r="6" customFormat="false" ht="15" hidden="false" customHeight="false" outlineLevel="0" collapsed="false">
      <c r="A6" s="33" t="n">
        <v>111000</v>
      </c>
      <c r="B6" s="12" t="s">
        <v>208</v>
      </c>
      <c r="C6" s="13" t="s">
        <v>209</v>
      </c>
      <c r="D6" s="15" t="n">
        <f aca="false">'BALANCE 2025'!H6</f>
        <v>0</v>
      </c>
      <c r="E6" s="15" t="n">
        <f aca="false">'BALANCE 2025'!I6</f>
        <v>2000000</v>
      </c>
      <c r="F6" s="15" t="n">
        <f aca="false">ROUND(HYPOTHESES!E$58,0)+(H6-I6)-(D6-E6)</f>
        <v>0</v>
      </c>
      <c r="G6" s="15" t="n">
        <f aca="false">ROUND(HYPOTHESES!E$58,0)</f>
        <v>0</v>
      </c>
      <c r="H6" s="20" t="n">
        <v>0</v>
      </c>
      <c r="I6" s="15" t="n">
        <f aca="false">ROUND(E6+HYPOTHESES!E$58,0)</f>
        <v>2000000</v>
      </c>
      <c r="J6" s="20" t="n">
        <f aca="false">(D6-E6)+(F6-G6)-(H6-I6)</f>
        <v>0</v>
      </c>
    </row>
    <row r="7" customFormat="false" ht="15" hidden="false" customHeight="false" outlineLevel="0" collapsed="false">
      <c r="A7" s="33" t="n">
        <v>121000</v>
      </c>
      <c r="B7" s="12" t="s">
        <v>210</v>
      </c>
      <c r="C7" s="13" t="s">
        <v>211</v>
      </c>
      <c r="D7" s="15" t="n">
        <f aca="false">'BALANCE 2025'!H7</f>
        <v>0</v>
      </c>
      <c r="E7" s="15" t="n">
        <f aca="false">'BALANCE 2025'!I7</f>
        <v>844498728</v>
      </c>
      <c r="F7" s="20" t="n">
        <f aca="false">MAX(0,(H7-I7)-(D7-E7))</f>
        <v>0</v>
      </c>
      <c r="G7" s="20" t="n">
        <f aca="false">MAX(0,(D7-E7)-(H7-I7))</f>
        <v>92514868</v>
      </c>
      <c r="H7" s="15" t="n">
        <f aca="false">ROUND(MAX(0,-(E7-D7+HYPOTHESES!E$60)),0)</f>
        <v>0</v>
      </c>
      <c r="I7" s="15" t="n">
        <f aca="false">ROUND(MAX(0,(E7-D7+HYPOTHESES!E$60)),0)</f>
        <v>937013596</v>
      </c>
      <c r="J7" s="20" t="n">
        <f aca="false">(D7-E7)+(F7-G7)-(H7-I7)</f>
        <v>0</v>
      </c>
    </row>
    <row r="8" customFormat="false" ht="15" hidden="false" customHeight="false" outlineLevel="0" collapsed="false">
      <c r="A8" s="33" t="n">
        <v>130100</v>
      </c>
      <c r="B8" s="12" t="s">
        <v>212</v>
      </c>
      <c r="C8" s="13" t="s">
        <v>213</v>
      </c>
      <c r="D8" s="15" t="n">
        <f aca="false">MAX(0,-(SUM('BALANCE 2025'!I48:I94)-SUM('BALANCE 2025'!H48:H94)))</f>
        <v>0</v>
      </c>
      <c r="E8" s="15" t="n">
        <f aca="false">MAX(0,(SUM('BALANCE 2025'!I48:I94)-SUM('BALANCE 2025'!H48:H94)))</f>
        <v>92514868</v>
      </c>
      <c r="F8" s="20" t="n">
        <f aca="false">MAX(0,(H8-I8)-(D8-E8))</f>
        <v>92514868</v>
      </c>
      <c r="G8" s="20" t="n">
        <f aca="false">MAX(0,(D8-E8)-(H8-I8))</f>
        <v>0</v>
      </c>
      <c r="H8" s="20" t="n">
        <v>0</v>
      </c>
      <c r="I8" s="20" t="n">
        <v>0</v>
      </c>
      <c r="J8" s="20" t="n">
        <f aca="false">(D8-E8)+(F8-G8)-(H8-I8)</f>
        <v>0</v>
      </c>
    </row>
    <row r="9" customFormat="false" ht="15" hidden="false" customHeight="false" outlineLevel="0" collapsed="false">
      <c r="A9" s="33" t="n">
        <v>162002</v>
      </c>
      <c r="B9" s="12" t="s">
        <v>214</v>
      </c>
      <c r="C9" s="13" t="s">
        <v>172</v>
      </c>
      <c r="D9" s="15" t="n">
        <f aca="false">'BALANCE 2025'!H9</f>
        <v>0</v>
      </c>
      <c r="E9" s="15" t="n">
        <f aca="false">'BALANCE 2025'!I9</f>
        <v>0</v>
      </c>
      <c r="F9" s="15" t="n">
        <f aca="false">ROUND('INVEST ET FINANCEMENT'!E$47,0)+(H9-I9)-(D9-E9)</f>
        <v>0</v>
      </c>
      <c r="G9" s="15" t="n">
        <f aca="false">ROUND('INVEST ET FINANCEMENT'!E$47,0)</f>
        <v>0</v>
      </c>
      <c r="H9" s="20" t="n">
        <v>0</v>
      </c>
      <c r="I9" s="15" t="n">
        <f aca="false">ROUND(E9+'INVEST ET FINANCEMENT'!E$47-'INVEST ET FINANCEMENT'!E$48,0)</f>
        <v>0</v>
      </c>
      <c r="J9" s="20" t="n">
        <f aca="false">(D9-E9)+(F9-G9)-(H9-I9)</f>
        <v>0</v>
      </c>
    </row>
    <row r="10" customFormat="false" ht="15" hidden="false" customHeight="false" outlineLevel="0" collapsed="false">
      <c r="A10" s="33" t="n">
        <v>173060</v>
      </c>
      <c r="B10" s="12" t="s">
        <v>215</v>
      </c>
      <c r="C10" s="13" t="s">
        <v>175</v>
      </c>
      <c r="D10" s="15" t="n">
        <f aca="false">'BALANCE 2025'!H10</f>
        <v>0</v>
      </c>
      <c r="E10" s="15" t="n">
        <f aca="false">'BALANCE 2025'!I10</f>
        <v>0</v>
      </c>
      <c r="F10" s="15" t="n">
        <f aca="false">ROUND('INVEST ET FINANCEMENT'!E$49,0)</f>
        <v>0</v>
      </c>
      <c r="G10" s="15" t="n">
        <f aca="false">ROUND('INVEST ET FINANCEMENT'!E$49,0)+(D10-E10)-(H10-I10)</f>
        <v>0</v>
      </c>
      <c r="H10" s="20" t="n">
        <v>0</v>
      </c>
      <c r="I10" s="15" t="n">
        <f aca="false">ROUND(E10-'INVEST ET FINANCEMENT'!E$49,0)</f>
        <v>0</v>
      </c>
      <c r="J10" s="20" t="n">
        <f aca="false">(D10-E10)+(F10-G10)-(H10-I10)</f>
        <v>0</v>
      </c>
    </row>
    <row r="11" customFormat="false" ht="15" hidden="false" customHeight="false" outlineLevel="0" collapsed="false">
      <c r="A11" s="33" t="n">
        <v>196100</v>
      </c>
      <c r="B11" s="12" t="s">
        <v>216</v>
      </c>
      <c r="C11" s="13" t="s">
        <v>217</v>
      </c>
      <c r="D11" s="15" t="n">
        <f aca="false">'BALANCE 2025'!H11</f>
        <v>0</v>
      </c>
      <c r="E11" s="15" t="n">
        <f aca="false">'BALANCE 2025'!I11</f>
        <v>27333192</v>
      </c>
      <c r="F11" s="15" t="n">
        <f aca="false">ROUND(HYPOTHESES!E$20,0)+(H11-I11)-(D11-E11)</f>
        <v>0</v>
      </c>
      <c r="G11" s="15" t="n">
        <f aca="false">ROUND(HYPOTHESES!E$20,0)</f>
        <v>6059296</v>
      </c>
      <c r="H11" s="20" t="n">
        <v>0</v>
      </c>
      <c r="I11" s="15" t="n">
        <f aca="false">ROUND(E11+HYPOTHESES!E$20,0)</f>
        <v>33392488</v>
      </c>
      <c r="J11" s="20" t="n">
        <f aca="false">(D11-E11)+(F11-G11)-(H11-I11)</f>
        <v>0</v>
      </c>
    </row>
    <row r="12" customFormat="false" ht="15" hidden="false" customHeight="false" outlineLevel="0" collapsed="false">
      <c r="A12" s="28" t="n">
        <v>234100</v>
      </c>
      <c r="B12" s="29" t="s">
        <v>218</v>
      </c>
      <c r="C12" s="30" t="s">
        <v>219</v>
      </c>
      <c r="D12" s="37" t="n">
        <f aca="false">'BALANCE 2025'!H12</f>
        <v>103601492</v>
      </c>
      <c r="E12" s="37" t="n">
        <f aca="false">'BALANCE 2025'!I12</f>
        <v>0</v>
      </c>
      <c r="F12" s="37" t="n">
        <f aca="false">ROUND('INVEST ET FINANCEMENT'!E$9,0)</f>
        <v>0</v>
      </c>
      <c r="G12" s="37" t="n">
        <f aca="false">ROUND('INVEST ET FINANCEMENT'!E$9,0)+(D12-E12)-(H12-I12)</f>
        <v>0</v>
      </c>
      <c r="H12" s="37" t="n">
        <f aca="false">ROUND(D12+'INVEST ET FINANCEMENT'!E$9,0)</f>
        <v>103601492</v>
      </c>
      <c r="I12" s="32" t="n">
        <v>0</v>
      </c>
      <c r="J12" s="32" t="n">
        <f aca="false">(D12-E12)+(F12-G12)-(H12-I12)</f>
        <v>0</v>
      </c>
    </row>
    <row r="13" customFormat="false" ht="15" hidden="false" customHeight="false" outlineLevel="0" collapsed="false">
      <c r="A13" s="33" t="n">
        <v>241100</v>
      </c>
      <c r="B13" s="12" t="s">
        <v>220</v>
      </c>
      <c r="C13" s="13" t="s">
        <v>221</v>
      </c>
      <c r="D13" s="15" t="n">
        <f aca="false">'BALANCE 2025'!H13</f>
        <v>313845268</v>
      </c>
      <c r="E13" s="15" t="n">
        <f aca="false">'BALANCE 2025'!I13</f>
        <v>0</v>
      </c>
      <c r="F13" s="15" t="n">
        <f aca="false">ROUND('INVEST ET FINANCEMENT'!E$10,0)</f>
        <v>30000000</v>
      </c>
      <c r="G13" s="15" t="n">
        <f aca="false">ROUND('INVEST ET FINANCEMENT'!E$10,0)+(D13-E13)-(H13-I13)</f>
        <v>0</v>
      </c>
      <c r="H13" s="15" t="n">
        <f aca="false">ROUND(D13+'INVEST ET FINANCEMENT'!E$10,0)</f>
        <v>343845268</v>
      </c>
      <c r="I13" s="20" t="n">
        <v>0</v>
      </c>
      <c r="J13" s="20" t="n">
        <f aca="false">(D13-E13)+(F13-G13)-(H13-I13)</f>
        <v>0</v>
      </c>
    </row>
    <row r="14" customFormat="false" ht="15" hidden="false" customHeight="false" outlineLevel="0" collapsed="false">
      <c r="A14" s="33" t="n">
        <v>244100</v>
      </c>
      <c r="B14" s="12" t="s">
        <v>222</v>
      </c>
      <c r="C14" s="13" t="s">
        <v>221</v>
      </c>
      <c r="D14" s="15" t="n">
        <f aca="false">'BALANCE 2025'!H14</f>
        <v>9306956</v>
      </c>
      <c r="E14" s="15" t="n">
        <f aca="false">'BALANCE 2025'!I14</f>
        <v>0</v>
      </c>
      <c r="F14" s="20" t="n">
        <f aca="false">MAX(0,(H14-I14)-(D14-E14))</f>
        <v>0</v>
      </c>
      <c r="G14" s="20" t="n">
        <f aca="false">MAX(0,(D14-E14)-(H14-I14))</f>
        <v>0</v>
      </c>
      <c r="H14" s="20" t="n">
        <f aca="false">ROUND(D14,0)</f>
        <v>9306956</v>
      </c>
      <c r="I14" s="20" t="n">
        <v>0</v>
      </c>
      <c r="J14" s="20" t="n">
        <f aca="false">(D14-E14)+(F14-G14)-(H14-I14)</f>
        <v>0</v>
      </c>
    </row>
    <row r="15" customFormat="false" ht="15" hidden="false" customHeight="false" outlineLevel="0" collapsed="false">
      <c r="A15" s="33" t="n">
        <v>244200</v>
      </c>
      <c r="B15" s="12" t="s">
        <v>223</v>
      </c>
      <c r="C15" s="13" t="s">
        <v>221</v>
      </c>
      <c r="D15" s="15" t="n">
        <f aca="false">'BALANCE 2025'!H15</f>
        <v>13910459</v>
      </c>
      <c r="E15" s="15" t="n">
        <f aca="false">'BALANCE 2025'!I15</f>
        <v>0</v>
      </c>
      <c r="F15" s="15" t="n">
        <f aca="false">ROUND('INVEST ET FINANCEMENT'!E$11,0)</f>
        <v>5000000</v>
      </c>
      <c r="G15" s="15" t="n">
        <f aca="false">ROUND('INVEST ET FINANCEMENT'!E$11,0)+(D15-E15)-(H15-I15)</f>
        <v>0</v>
      </c>
      <c r="H15" s="15" t="n">
        <f aca="false">ROUND(D15+'INVEST ET FINANCEMENT'!E$11,0)</f>
        <v>18910459</v>
      </c>
      <c r="I15" s="20" t="n">
        <v>0</v>
      </c>
      <c r="J15" s="20" t="n">
        <f aca="false">(D15-E15)+(F15-G15)-(H15-I15)</f>
        <v>0</v>
      </c>
    </row>
    <row r="16" customFormat="false" ht="15" hidden="false" customHeight="false" outlineLevel="0" collapsed="false">
      <c r="A16" s="33" t="n">
        <v>245100</v>
      </c>
      <c r="B16" s="12" t="s">
        <v>224</v>
      </c>
      <c r="C16" s="13" t="s">
        <v>225</v>
      </c>
      <c r="D16" s="15" t="n">
        <f aca="false">'BALANCE 2025'!H16</f>
        <v>423638205</v>
      </c>
      <c r="E16" s="15" t="n">
        <f aca="false">'BALANCE 2025'!I16</f>
        <v>0</v>
      </c>
      <c r="F16" s="15" t="n">
        <f aca="false">ROUND('INVEST ET FINANCEMENT'!E$12,0)</f>
        <v>0</v>
      </c>
      <c r="G16" s="15" t="n">
        <f aca="false">ROUND('INVEST ET FINANCEMENT'!E$12,0)+(D16-E16)-(H16-I16)</f>
        <v>0</v>
      </c>
      <c r="H16" s="15" t="n">
        <f aca="false">ROUND(D16+'INVEST ET FINANCEMENT'!E$12,0)</f>
        <v>423638205</v>
      </c>
      <c r="I16" s="20" t="n">
        <v>0</v>
      </c>
      <c r="J16" s="20" t="n">
        <f aca="false">(D16-E16)+(F16-G16)-(H16-I16)</f>
        <v>0</v>
      </c>
    </row>
    <row r="17" customFormat="false" ht="15" hidden="false" customHeight="false" outlineLevel="0" collapsed="false">
      <c r="A17" s="33" t="n">
        <v>245600</v>
      </c>
      <c r="B17" s="12" t="s">
        <v>226</v>
      </c>
      <c r="C17" s="13" t="s">
        <v>225</v>
      </c>
      <c r="D17" s="15" t="n">
        <f aca="false">'BALANCE 2025'!H17</f>
        <v>28619694</v>
      </c>
      <c r="E17" s="15" t="n">
        <f aca="false">'BALANCE 2025'!I17</f>
        <v>0</v>
      </c>
      <c r="F17" s="20" t="n">
        <f aca="false">MAX(0,(H17-I17)-(D17-E17))</f>
        <v>0</v>
      </c>
      <c r="G17" s="20" t="n">
        <f aca="false">MAX(0,(D17-E17)-(H17-I17))</f>
        <v>0</v>
      </c>
      <c r="H17" s="20" t="n">
        <f aca="false">ROUND(D17,0)</f>
        <v>28619694</v>
      </c>
      <c r="I17" s="20" t="n">
        <v>0</v>
      </c>
      <c r="J17" s="20" t="n">
        <f aca="false">(D17-E17)+(F17-G17)-(H17-I17)</f>
        <v>0</v>
      </c>
    </row>
    <row r="18" customFormat="false" ht="15" hidden="false" customHeight="false" outlineLevel="0" collapsed="false">
      <c r="A18" s="33" t="n">
        <v>271800</v>
      </c>
      <c r="B18" s="12" t="s">
        <v>227</v>
      </c>
      <c r="C18" s="13" t="s">
        <v>228</v>
      </c>
      <c r="D18" s="15" t="n">
        <f aca="false">'BALANCE 2025'!H18</f>
        <v>25000000</v>
      </c>
      <c r="E18" s="15" t="n">
        <f aca="false">'BALANCE 2025'!I18</f>
        <v>0</v>
      </c>
      <c r="F18" s="20" t="n">
        <f aca="false">MAX(0,(H18-I18)-(D18-E18))</f>
        <v>0</v>
      </c>
      <c r="G18" s="20" t="n">
        <f aca="false">MAX(0,(D18-E18)-(H18-I18))</f>
        <v>0</v>
      </c>
      <c r="H18" s="20" t="n">
        <f aca="false">ROUND(D18,0)</f>
        <v>25000000</v>
      </c>
      <c r="I18" s="20" t="n">
        <v>0</v>
      </c>
      <c r="J18" s="20" t="n">
        <f aca="false">(D18-E18)+(F18-G18)-(H18-I18)</f>
        <v>0</v>
      </c>
    </row>
    <row r="19" customFormat="false" ht="15" hidden="false" customHeight="false" outlineLevel="0" collapsed="false">
      <c r="A19" s="33" t="n">
        <v>275100</v>
      </c>
      <c r="B19" s="12" t="s">
        <v>229</v>
      </c>
      <c r="C19" s="13" t="s">
        <v>228</v>
      </c>
      <c r="D19" s="15" t="n">
        <f aca="false">'BALANCE 2025'!H19</f>
        <v>231420138</v>
      </c>
      <c r="E19" s="15" t="n">
        <f aca="false">'BALANCE 2025'!I19</f>
        <v>0</v>
      </c>
      <c r="F19" s="15" t="n">
        <f aca="false">ROUND('INVEST ET FINANCEMENT'!E$13,0)</f>
        <v>0</v>
      </c>
      <c r="G19" s="15" t="n">
        <f aca="false">ROUND('INVEST ET FINANCEMENT'!E$13,0)+(D19-E19)-(H19-I19)</f>
        <v>0</v>
      </c>
      <c r="H19" s="15" t="n">
        <f aca="false">ROUND(D19+'INVEST ET FINANCEMENT'!E$13,0)</f>
        <v>231420138</v>
      </c>
      <c r="I19" s="20" t="n">
        <v>0</v>
      </c>
      <c r="J19" s="20" t="n">
        <f aca="false">(D19-E19)+(F19-G19)-(H19-I19)</f>
        <v>0</v>
      </c>
    </row>
    <row r="20" customFormat="false" ht="15" hidden="false" customHeight="false" outlineLevel="0" collapsed="false">
      <c r="A20" s="33" t="n">
        <v>283400</v>
      </c>
      <c r="B20" s="12" t="s">
        <v>230</v>
      </c>
      <c r="C20" s="13" t="s">
        <v>219</v>
      </c>
      <c r="D20" s="15" t="n">
        <f aca="false">'BALANCE 2025'!H20</f>
        <v>0</v>
      </c>
      <c r="E20" s="15" t="n">
        <f aca="false">'BALANCE 2025'!I20</f>
        <v>61219321</v>
      </c>
      <c r="F20" s="15" t="n">
        <f aca="false">ROUND('INVEST ET FINANCEMENT'!E$31,0)+(H20-I20)-(D20-E20)</f>
        <v>0</v>
      </c>
      <c r="G20" s="15" t="n">
        <f aca="false">ROUND('INVEST ET FINANCEMENT'!E$31,0)</f>
        <v>19282845</v>
      </c>
      <c r="H20" s="20" t="n">
        <v>0</v>
      </c>
      <c r="I20" s="15" t="n">
        <f aca="false">ROUND(E20+'INVEST ET FINANCEMENT'!E$31,0)</f>
        <v>80502166</v>
      </c>
      <c r="J20" s="20" t="n">
        <f aca="false">(D20-E20)+(F20-G20)-(H20-I20)</f>
        <v>0</v>
      </c>
    </row>
    <row r="21" customFormat="false" ht="15" hidden="false" customHeight="false" outlineLevel="0" collapsed="false">
      <c r="A21" s="33" t="n">
        <v>284100</v>
      </c>
      <c r="B21" s="12" t="s">
        <v>231</v>
      </c>
      <c r="C21" s="13" t="s">
        <v>221</v>
      </c>
      <c r="D21" s="15" t="n">
        <f aca="false">'BALANCE 2025'!H21</f>
        <v>0</v>
      </c>
      <c r="E21" s="15" t="n">
        <f aca="false">'BALANCE 2025'!I21</f>
        <v>84188817</v>
      </c>
      <c r="F21" s="15" t="n">
        <f aca="false">ROUND('INVEST ET FINANCEMENT'!E$34,0)+(H21-I21)-(D21-E21)</f>
        <v>0</v>
      </c>
      <c r="G21" s="15" t="n">
        <f aca="false">ROUND('INVEST ET FINANCEMENT'!E$34,0)</f>
        <v>50854932</v>
      </c>
      <c r="H21" s="20" t="n">
        <v>0</v>
      </c>
      <c r="I21" s="15" t="n">
        <f aca="false">ROUND(E21+'INVEST ET FINANCEMENT'!E$34,0)</f>
        <v>135043749</v>
      </c>
      <c r="J21" s="20" t="n">
        <f aca="false">(D21-E21)+(F21-G21)-(H21-I21)</f>
        <v>0</v>
      </c>
    </row>
    <row r="22" customFormat="false" ht="15" hidden="false" customHeight="false" outlineLevel="0" collapsed="false">
      <c r="A22" s="33" t="n">
        <v>284400</v>
      </c>
      <c r="B22" s="12" t="s">
        <v>232</v>
      </c>
      <c r="C22" s="13" t="s">
        <v>221</v>
      </c>
      <c r="D22" s="15" t="n">
        <f aca="false">'BALANCE 2025'!H22</f>
        <v>0</v>
      </c>
      <c r="E22" s="15" t="n">
        <f aca="false">'BALANCE 2025'!I22</f>
        <v>18108242</v>
      </c>
      <c r="F22" s="15" t="n">
        <f aca="false">ROUND('INVEST ET FINANCEMENT'!E$37,0)+(H22-I22)-(D22-E22)</f>
        <v>0</v>
      </c>
      <c r="G22" s="15" t="n">
        <f aca="false">ROUND('INVEST ET FINANCEMENT'!E$37,0)</f>
        <v>7609173</v>
      </c>
      <c r="H22" s="20" t="n">
        <v>0</v>
      </c>
      <c r="I22" s="15" t="n">
        <f aca="false">ROUND(E22+'INVEST ET FINANCEMENT'!E$37,0)</f>
        <v>25717415</v>
      </c>
      <c r="J22" s="20" t="n">
        <f aca="false">(D22-E22)+(F22-G22)-(H22-I22)</f>
        <v>0</v>
      </c>
    </row>
    <row r="23" customFormat="false" ht="15" hidden="false" customHeight="false" outlineLevel="0" collapsed="false">
      <c r="A23" s="33" t="n">
        <v>284500</v>
      </c>
      <c r="B23" s="12" t="s">
        <v>233</v>
      </c>
      <c r="C23" s="13" t="s">
        <v>225</v>
      </c>
      <c r="D23" s="15" t="n">
        <f aca="false">'BALANCE 2025'!H23</f>
        <v>0</v>
      </c>
      <c r="E23" s="15" t="n">
        <f aca="false">'BALANCE 2025'!I23</f>
        <v>381867454</v>
      </c>
      <c r="F23" s="15" t="n">
        <f aca="false">ROUND('INVEST ET FINANCEMENT'!E$40,0)+(H23-I23)-(D23-E23)</f>
        <v>0</v>
      </c>
      <c r="G23" s="15" t="n">
        <f aca="false">ROUND('INVEST ET FINANCEMENT'!E$40,0)</f>
        <v>15958378</v>
      </c>
      <c r="H23" s="20" t="n">
        <v>0</v>
      </c>
      <c r="I23" s="15" t="n">
        <f aca="false">ROUND(E23+'INVEST ET FINANCEMENT'!E$40,0)</f>
        <v>397825832</v>
      </c>
      <c r="J23" s="20" t="n">
        <f aca="false">(D23-E23)+(F23-G23)-(H23-I23)</f>
        <v>0</v>
      </c>
    </row>
    <row r="24" customFormat="false" ht="15" hidden="false" customHeight="false" outlineLevel="0" collapsed="false">
      <c r="A24" s="28" t="n">
        <v>401100</v>
      </c>
      <c r="B24" s="29" t="s">
        <v>234</v>
      </c>
      <c r="C24" s="30" t="s">
        <v>235</v>
      </c>
      <c r="D24" s="37" t="n">
        <f aca="false">'BALANCE 2025'!H24</f>
        <v>0</v>
      </c>
      <c r="E24" s="37" t="n">
        <f aca="false">'BALANCE 2025'!I24</f>
        <v>77709524</v>
      </c>
      <c r="F24" s="37" t="n">
        <f aca="false">ROUND(HYPOTHESES!E$49*(1+HYPOTHESES!E$10),0)+(H24-I24)-(D24-E24)</f>
        <v>511451366</v>
      </c>
      <c r="G24" s="37" t="n">
        <f aca="false">ROUND(HYPOTHESES!E$49*(1+HYPOTHESES!E$10),0)</f>
        <v>515336842</v>
      </c>
      <c r="H24" s="32" t="n">
        <v>0</v>
      </c>
      <c r="I24" s="37" t="n">
        <f aca="false">ROUND(HYPOTHESES!E$49*(1+HYPOTHESES!E$10)*HYPOTHESES!E$23/360,0)</f>
        <v>81595000</v>
      </c>
      <c r="J24" s="32" t="n">
        <f aca="false">(D24-E24)+(F24-G24)-(H24-I24)</f>
        <v>0</v>
      </c>
    </row>
    <row r="25" customFormat="false" ht="15" hidden="false" customHeight="false" outlineLevel="0" collapsed="false">
      <c r="A25" s="33" t="n">
        <v>409100</v>
      </c>
      <c r="B25" s="12" t="s">
        <v>236</v>
      </c>
      <c r="C25" s="13" t="s">
        <v>237</v>
      </c>
      <c r="D25" s="15" t="n">
        <f aca="false">'BALANCE 2025'!H25</f>
        <v>0</v>
      </c>
      <c r="E25" s="15" t="n">
        <f aca="false">'BALANCE 2025'!I25</f>
        <v>0</v>
      </c>
      <c r="F25" s="20" t="n">
        <f aca="false">MAX(0,(H25-I25)-(D25-E25))</f>
        <v>0</v>
      </c>
      <c r="G25" s="20" t="n">
        <f aca="false">MAX(0,(D25-E25)-(H25-I25))</f>
        <v>0</v>
      </c>
      <c r="H25" s="20" t="n">
        <f aca="false">ROUND(D25,0)</f>
        <v>0</v>
      </c>
      <c r="I25" s="20" t="n">
        <f aca="false">ROUND(E25,0)</f>
        <v>0</v>
      </c>
      <c r="J25" s="20" t="n">
        <f aca="false">(D25-E25)+(F25-G25)-(H25-I25)</f>
        <v>0</v>
      </c>
    </row>
    <row r="26" customFormat="false" ht="15" hidden="false" customHeight="false" outlineLevel="0" collapsed="false">
      <c r="A26" s="33" t="n">
        <v>411100</v>
      </c>
      <c r="B26" s="12" t="s">
        <v>238</v>
      </c>
      <c r="C26" s="13" t="s">
        <v>239</v>
      </c>
      <c r="D26" s="15" t="n">
        <f aca="false">'BALANCE 2025'!H26</f>
        <v>467144717</v>
      </c>
      <c r="E26" s="15" t="n">
        <f aca="false">'BALANCE 2025'!I26</f>
        <v>0</v>
      </c>
      <c r="F26" s="15" t="n">
        <f aca="false">ROUND(HYPOTHESES!E$42*(1+HYPOTHESES!E$10),0)</f>
        <v>929372121</v>
      </c>
      <c r="G26" s="15" t="n">
        <f aca="false">ROUND(HYPOTHESES!E$42*(1+HYPOTHESES!E$10),0)+(D26-E26)-(H26-I26)</f>
        <v>887943761</v>
      </c>
      <c r="H26" s="15" t="n">
        <f aca="false">ROUND(HYPOTHESES!E$42*(1+HYPOTHESES!E$10)*HYPOTHESES!E$22/360,0)</f>
        <v>508573077</v>
      </c>
      <c r="I26" s="20" t="n">
        <v>0</v>
      </c>
      <c r="J26" s="20" t="n">
        <f aca="false">(D26-E26)+(F26-G26)-(H26-I26)</f>
        <v>0</v>
      </c>
    </row>
    <row r="27" customFormat="false" ht="15" hidden="false" customHeight="false" outlineLevel="0" collapsed="false">
      <c r="A27" s="33" t="n">
        <v>422000</v>
      </c>
      <c r="B27" s="12" t="s">
        <v>240</v>
      </c>
      <c r="C27" s="13" t="s">
        <v>241</v>
      </c>
      <c r="D27" s="15" t="n">
        <f aca="false">'BALANCE 2025'!H27</f>
        <v>0</v>
      </c>
      <c r="E27" s="15" t="n">
        <f aca="false">'BALANCE 2025'!I27</f>
        <v>11924471</v>
      </c>
      <c r="F27" s="15" t="n">
        <f aca="false">ROUND(IF(HYPOTHESES!$C$48=0,0,'BALANCE 2024'!$G$27*HYPOTHESES!E$48/HYPOTHESES!$C$48),0)+(H27-I27)-(D27-E27)</f>
        <v>90686947</v>
      </c>
      <c r="G27" s="15" t="n">
        <f aca="false">ROUND(IF(HYPOTHESES!$C$48=0,0,'BALANCE 2024'!$G$27*HYPOTHESES!E$48/HYPOTHESES!$C$48),0)</f>
        <v>91283171</v>
      </c>
      <c r="H27" s="20" t="n">
        <v>0</v>
      </c>
      <c r="I27" s="15" t="n">
        <f aca="false">ROUND(IF(HYPOTHESES!$C$48=0,0,'BALANCE 2024'!$I$27*HYPOTHESES!E$48/HYPOTHESES!$C$48),0)</f>
        <v>12520695</v>
      </c>
      <c r="J27" s="20" t="n">
        <f aca="false">(D27-E27)+(F27-G27)-(H27-I27)</f>
        <v>0</v>
      </c>
    </row>
    <row r="28" customFormat="false" ht="15" hidden="false" customHeight="false" outlineLevel="0" collapsed="false">
      <c r="A28" s="33" t="n">
        <v>431301</v>
      </c>
      <c r="B28" s="12" t="s">
        <v>242</v>
      </c>
      <c r="C28" s="13" t="s">
        <v>241</v>
      </c>
      <c r="D28" s="15" t="n">
        <f aca="false">'BALANCE 2025'!H28</f>
        <v>0</v>
      </c>
      <c r="E28" s="15" t="n">
        <f aca="false">'BALANCE 2025'!I28</f>
        <v>5198049</v>
      </c>
      <c r="F28" s="15" t="n">
        <f aca="false">ROUND(IF(HYPOTHESES!$C$48=0,0,'BALANCE 2024'!$G$28*HYPOTHESES!E$48/HYPOTHESES!$C$48),0)+(H28-I28)-(D28-E28)</f>
        <v>7608275</v>
      </c>
      <c r="G28" s="15" t="n">
        <f aca="false">ROUND(IF(HYPOTHESES!$C$48=0,0,'BALANCE 2024'!$G$28*HYPOTHESES!E$48/HYPOTHESES!$C$48),0)</f>
        <v>7868177</v>
      </c>
      <c r="H28" s="20" t="n">
        <v>0</v>
      </c>
      <c r="I28" s="15" t="n">
        <f aca="false">ROUND(IF(HYPOTHESES!$C$48=0,0,'BALANCE 2024'!$I$28*HYPOTHESES!E$48/HYPOTHESES!$C$48),0)</f>
        <v>5457951</v>
      </c>
      <c r="J28" s="20" t="n">
        <f aca="false">(D28-E28)+(F28-G28)-(H28-I28)</f>
        <v>0</v>
      </c>
    </row>
    <row r="29" customFormat="false" ht="15" hidden="false" customHeight="false" outlineLevel="0" collapsed="false">
      <c r="A29" s="33" t="n">
        <v>431302</v>
      </c>
      <c r="B29" s="12" t="s">
        <v>243</v>
      </c>
      <c r="C29" s="13" t="s">
        <v>241</v>
      </c>
      <c r="D29" s="15" t="n">
        <f aca="false">'BALANCE 2025'!H29</f>
        <v>0</v>
      </c>
      <c r="E29" s="15" t="n">
        <f aca="false">'BALANCE 2025'!I29</f>
        <v>1286206</v>
      </c>
      <c r="F29" s="15" t="n">
        <f aca="false">ROUND(IF(HYPOTHESES!$C$48=0,0,'BALANCE 2024'!$G$29*HYPOTHESES!E$48/HYPOTHESES!$C$48),0)+(H29-I29)-(D29-E29)</f>
        <v>12806638</v>
      </c>
      <c r="G29" s="15" t="n">
        <f aca="false">ROUND(IF(HYPOTHESES!$C$48=0,0,'BALANCE 2024'!$G$29*HYPOTHESES!E$48/HYPOTHESES!$C$48),0)</f>
        <v>12870948</v>
      </c>
      <c r="H29" s="20" t="n">
        <v>0</v>
      </c>
      <c r="I29" s="15" t="n">
        <f aca="false">ROUND(IF(HYPOTHESES!$C$48=0,0,'BALANCE 2024'!$I$29*HYPOTHESES!E$48/HYPOTHESES!$C$48),0)</f>
        <v>1350516</v>
      </c>
      <c r="J29" s="20" t="n">
        <f aca="false">(D29-E29)+(F29-G29)-(H29-I29)</f>
        <v>0</v>
      </c>
    </row>
    <row r="30" customFormat="false" ht="15" hidden="false" customHeight="false" outlineLevel="0" collapsed="false">
      <c r="A30" s="33" t="n">
        <v>431802</v>
      </c>
      <c r="B30" s="12" t="s">
        <v>244</v>
      </c>
      <c r="C30" s="13" t="s">
        <v>241</v>
      </c>
      <c r="D30" s="15" t="n">
        <f aca="false">'BALANCE 2025'!H30</f>
        <v>0</v>
      </c>
      <c r="E30" s="15" t="n">
        <f aca="false">'BALANCE 2025'!I30</f>
        <v>173224</v>
      </c>
      <c r="F30" s="15" t="n">
        <f aca="false">ROUND(IF(HYPOTHESES!$C$48=0,0,'BALANCE 2024'!$G$30*HYPOTHESES!E$48/HYPOTHESES!$C$48),0)+(H30-I30)-(D30-E30)</f>
        <v>426706</v>
      </c>
      <c r="G30" s="15" t="n">
        <f aca="false">ROUND(IF(HYPOTHESES!$C$48=0,0,'BALANCE 2024'!$G$30*HYPOTHESES!E$48/HYPOTHESES!$C$48),0)</f>
        <v>435367</v>
      </c>
      <c r="H30" s="20" t="n">
        <v>0</v>
      </c>
      <c r="I30" s="15" t="n">
        <f aca="false">ROUND(IF(HYPOTHESES!$C$48=0,0,'BALANCE 2024'!$I$30*HYPOTHESES!E$48/HYPOTHESES!$C$48),0)</f>
        <v>181885</v>
      </c>
      <c r="J30" s="20" t="n">
        <f aca="false">(D30-E30)+(F30-G30)-(H30-I30)</f>
        <v>0</v>
      </c>
    </row>
    <row r="31" customFormat="false" ht="15" hidden="false" customHeight="false" outlineLevel="0" collapsed="false">
      <c r="A31" s="33" t="n">
        <v>433300</v>
      </c>
      <c r="B31" s="12" t="s">
        <v>245</v>
      </c>
      <c r="C31" s="13" t="s">
        <v>241</v>
      </c>
      <c r="D31" s="15" t="n">
        <f aca="false">'BALANCE 2025'!H31</f>
        <v>0</v>
      </c>
      <c r="E31" s="15" t="n">
        <f aca="false">'BALANCE 2025'!I31</f>
        <v>0</v>
      </c>
      <c r="F31" s="15" t="n">
        <f aca="false">ROUND(IF(HYPOTHESES!$C$48=0,0,'BALANCE 2024'!$G$31*HYPOTHESES!E$48/HYPOTHESES!$C$48),0)+(H31-I31)-(D31-E31)</f>
        <v>0</v>
      </c>
      <c r="G31" s="15" t="n">
        <f aca="false">ROUND(IF(HYPOTHESES!$C$48=0,0,'BALANCE 2024'!$G$31*HYPOTHESES!E$48/HYPOTHESES!$C$48),0)</f>
        <v>0</v>
      </c>
      <c r="H31" s="20" t="n">
        <v>0</v>
      </c>
      <c r="I31" s="15" t="n">
        <f aca="false">ROUND(IF(HYPOTHESES!$C$48=0,0,'BALANCE 2024'!$I$31*HYPOTHESES!E$48/HYPOTHESES!$C$48),0)</f>
        <v>0</v>
      </c>
      <c r="J31" s="20" t="n">
        <f aca="false">(D31-E31)+(F31-G31)-(H31-I31)</f>
        <v>0</v>
      </c>
    </row>
    <row r="32" customFormat="false" ht="15" hidden="false" customHeight="false" outlineLevel="0" collapsed="false">
      <c r="A32" s="33" t="n">
        <v>441000</v>
      </c>
      <c r="B32" s="12" t="s">
        <v>246</v>
      </c>
      <c r="C32" s="13" t="s">
        <v>241</v>
      </c>
      <c r="D32" s="15" t="n">
        <f aca="false">'BALANCE 2025'!H32</f>
        <v>0</v>
      </c>
      <c r="E32" s="15" t="n">
        <f aca="false">'BALANCE 2025'!I32</f>
        <v>30838289</v>
      </c>
      <c r="F32" s="15" t="n">
        <f aca="false">ROUND(HYPOTHESES!E$56,0)+(H32-I32)-(D32-E32)</f>
        <v>30838289</v>
      </c>
      <c r="G32" s="15" t="n">
        <f aca="false">ROUND(HYPOTHESES!E$56,0)</f>
        <v>28670509</v>
      </c>
      <c r="H32" s="20" t="n">
        <v>0</v>
      </c>
      <c r="I32" s="15" t="n">
        <f aca="false">ROUND(HYPOTHESES!E$56,0)</f>
        <v>28670509</v>
      </c>
      <c r="J32" s="20" t="n">
        <f aca="false">(D32-E32)+(F32-G32)-(H32-I32)</f>
        <v>0</v>
      </c>
    </row>
    <row r="33" customFormat="false" ht="15" hidden="false" customHeight="false" outlineLevel="0" collapsed="false">
      <c r="A33" s="33" t="n">
        <v>442800</v>
      </c>
      <c r="B33" s="12" t="s">
        <v>247</v>
      </c>
      <c r="C33" s="13" t="s">
        <v>241</v>
      </c>
      <c r="D33" s="15" t="n">
        <f aca="false">'BALANCE 2025'!H33</f>
        <v>0</v>
      </c>
      <c r="E33" s="15" t="n">
        <f aca="false">'BALANCE 2025'!I33</f>
        <v>776041</v>
      </c>
      <c r="F33" s="15" t="n">
        <f aca="false">ROUND(IF(HYPOTHESES!$C$46=0,0,'BALANCE 2024'!$G$33*HYPOTHESES!E$46/HYPOTHESES!$C$46),0)+(H33-I33)-(D33-E33)</f>
        <v>776041</v>
      </c>
      <c r="G33" s="15" t="n">
        <f aca="false">ROUND(IF(HYPOTHESES!$C$46=0,0,'BALANCE 2024'!$G$33*HYPOTHESES!E$46/HYPOTHESES!$C$46),0)</f>
        <v>814843</v>
      </c>
      <c r="H33" s="20" t="n">
        <v>0</v>
      </c>
      <c r="I33" s="15" t="n">
        <f aca="false">ROUND(IF(HYPOTHESES!$C$46=0,0,'BALANCE 2024'!$I$33*HYPOTHESES!E$46/HYPOTHESES!$C$46),0)</f>
        <v>814843</v>
      </c>
      <c r="J33" s="20" t="n">
        <f aca="false">(D33-E33)+(F33-G33)-(H33-I33)</f>
        <v>0</v>
      </c>
    </row>
    <row r="34" customFormat="false" ht="15" hidden="false" customHeight="false" outlineLevel="0" collapsed="false">
      <c r="A34" s="33" t="n">
        <v>442801</v>
      </c>
      <c r="B34" s="12" t="s">
        <v>248</v>
      </c>
      <c r="C34" s="13" t="s">
        <v>241</v>
      </c>
      <c r="D34" s="15" t="n">
        <f aca="false">'BALANCE 2025'!H34</f>
        <v>0</v>
      </c>
      <c r="E34" s="15" t="n">
        <f aca="false">'BALANCE 2025'!I34</f>
        <v>111291</v>
      </c>
      <c r="F34" s="15" t="n">
        <f aca="false">ROUND(IF(HYPOTHESES!$C$46=0,0,'BALANCE 2024'!$G$34*HYPOTHESES!E$46/HYPOTHESES!$C$46),0)+(H34-I34)-(D34-E34)</f>
        <v>111291</v>
      </c>
      <c r="G34" s="15" t="n">
        <f aca="false">ROUND(IF(HYPOTHESES!$C$46=0,0,'BALANCE 2024'!$G$34*HYPOTHESES!E$46/HYPOTHESES!$C$46),0)</f>
        <v>116856</v>
      </c>
      <c r="H34" s="20" t="n">
        <v>0</v>
      </c>
      <c r="I34" s="15" t="n">
        <f aca="false">ROUND(IF(HYPOTHESES!$C$46=0,0,'BALANCE 2024'!$I$34*HYPOTHESES!E$46/HYPOTHESES!$C$46),0)</f>
        <v>116856</v>
      </c>
      <c r="J34" s="20" t="n">
        <f aca="false">(D34-E34)+(F34-G34)-(H34-I34)</f>
        <v>0</v>
      </c>
    </row>
    <row r="35" customFormat="false" ht="15" hidden="false" customHeight="false" outlineLevel="0" collapsed="false">
      <c r="A35" s="33" t="n">
        <v>442802</v>
      </c>
      <c r="B35" s="12" t="s">
        <v>249</v>
      </c>
      <c r="C35" s="13" t="s">
        <v>241</v>
      </c>
      <c r="D35" s="15" t="n">
        <f aca="false">'BALANCE 2025'!H35</f>
        <v>0</v>
      </c>
      <c r="E35" s="15" t="n">
        <f aca="false">'BALANCE 2025'!I35</f>
        <v>166945</v>
      </c>
      <c r="F35" s="15" t="n">
        <f aca="false">ROUND(IF(HYPOTHESES!$C$46=0,0,'BALANCE 2024'!$G$35*HYPOTHESES!E$46/HYPOTHESES!$C$46),0)+(H35-I35)-(D35-E35)</f>
        <v>166945</v>
      </c>
      <c r="G35" s="15" t="n">
        <f aca="false">ROUND(IF(HYPOTHESES!$C$46=0,0,'BALANCE 2024'!$G$35*HYPOTHESES!E$46/HYPOTHESES!$C$46),0)</f>
        <v>175292</v>
      </c>
      <c r="H35" s="20" t="n">
        <v>0</v>
      </c>
      <c r="I35" s="15" t="n">
        <f aca="false">ROUND(IF(HYPOTHESES!$C$46=0,0,'BALANCE 2024'!$I$35*HYPOTHESES!E$46/HYPOTHESES!$C$46),0)</f>
        <v>175292</v>
      </c>
      <c r="J35" s="20" t="n">
        <f aca="false">(D35-E35)+(F35-G35)-(H35-I35)</f>
        <v>0</v>
      </c>
    </row>
    <row r="36" customFormat="false" ht="15" hidden="false" customHeight="false" outlineLevel="0" collapsed="false">
      <c r="A36" s="33" t="n">
        <v>442803</v>
      </c>
      <c r="B36" s="12" t="s">
        <v>250</v>
      </c>
      <c r="C36" s="13" t="s">
        <v>241</v>
      </c>
      <c r="D36" s="15" t="n">
        <f aca="false">'BALANCE 2025'!H36</f>
        <v>0</v>
      </c>
      <c r="E36" s="15" t="n">
        <f aca="false">'BALANCE 2025'!I36</f>
        <v>166944</v>
      </c>
      <c r="F36" s="15" t="n">
        <f aca="false">ROUND(IF(HYPOTHESES!$C$46=0,0,'BALANCE 2024'!$G$36*HYPOTHESES!E$46/HYPOTHESES!$C$46),0)+(H36-I36)-(D36-E36)</f>
        <v>166944</v>
      </c>
      <c r="G36" s="15" t="n">
        <f aca="false">ROUND(IF(HYPOTHESES!$C$46=0,0,'BALANCE 2024'!$G$36*HYPOTHESES!E$46/HYPOTHESES!$C$46),0)</f>
        <v>175291</v>
      </c>
      <c r="H36" s="20" t="n">
        <v>0</v>
      </c>
      <c r="I36" s="15" t="n">
        <f aca="false">ROUND(IF(HYPOTHESES!$C$46=0,0,'BALANCE 2024'!$I$36*HYPOTHESES!E$46/HYPOTHESES!$C$46),0)</f>
        <v>175291</v>
      </c>
      <c r="J36" s="20" t="n">
        <f aca="false">(D36-E36)+(F36-G36)-(H36-I36)</f>
        <v>0</v>
      </c>
    </row>
    <row r="37" customFormat="false" ht="15" hidden="false" customHeight="false" outlineLevel="0" collapsed="false">
      <c r="A37" s="33" t="n">
        <v>442820</v>
      </c>
      <c r="B37" s="12" t="s">
        <v>251</v>
      </c>
      <c r="C37" s="13" t="s">
        <v>241</v>
      </c>
      <c r="D37" s="15" t="n">
        <f aca="false">'BALANCE 2025'!H37</f>
        <v>0</v>
      </c>
      <c r="E37" s="15" t="n">
        <f aca="false">'BALANCE 2025'!I37</f>
        <v>393134</v>
      </c>
      <c r="F37" s="15" t="n">
        <f aca="false">ROUND(IF(HYPOTHESES!$C$46=0,0,'BALANCE 2024'!$G$37*HYPOTHESES!E$46/HYPOTHESES!$C$46),0)+(H37-I37)-(D37-E37)</f>
        <v>908507</v>
      </c>
      <c r="G37" s="15" t="n">
        <f aca="false">ROUND(IF(HYPOTHESES!$C$46=0,0,'BALANCE 2024'!$G$37*HYPOTHESES!E$46/HYPOTHESES!$C$46),0)</f>
        <v>928163</v>
      </c>
      <c r="H37" s="20" t="n">
        <v>0</v>
      </c>
      <c r="I37" s="15" t="n">
        <f aca="false">ROUND(IF(HYPOTHESES!$C$46=0,0,'BALANCE 2024'!$I$37*HYPOTHESES!E$46/HYPOTHESES!$C$46),0)</f>
        <v>412790</v>
      </c>
      <c r="J37" s="20" t="n">
        <f aca="false">(D37-E37)+(F37-G37)-(H37-I37)</f>
        <v>0</v>
      </c>
    </row>
    <row r="38" customFormat="false" ht="15" hidden="false" customHeight="false" outlineLevel="0" collapsed="false">
      <c r="A38" s="33" t="n">
        <v>442840</v>
      </c>
      <c r="B38" s="12" t="s">
        <v>252</v>
      </c>
      <c r="C38" s="13" t="s">
        <v>241</v>
      </c>
      <c r="D38" s="15" t="n">
        <f aca="false">'BALANCE 2025'!H38</f>
        <v>0</v>
      </c>
      <c r="E38" s="15" t="n">
        <f aca="false">'BALANCE 2025'!I38</f>
        <v>5347156</v>
      </c>
      <c r="F38" s="15" t="n">
        <f aca="false">ROUND(IF(HYPOTHESES!$C$46=0,0,'BALANCE 2024'!$G$38*HYPOTHESES!E$46/HYPOTHESES!$C$46),0)+(H38-I38)-(D38-E38)</f>
        <v>9900676</v>
      </c>
      <c r="G38" s="15" t="n">
        <f aca="false">ROUND(IF(HYPOTHESES!$C$46=0,0,'BALANCE 2024'!$G$38*HYPOTHESES!E$46/HYPOTHESES!$C$46),0)</f>
        <v>10168034</v>
      </c>
      <c r="H38" s="20" t="n">
        <v>0</v>
      </c>
      <c r="I38" s="15" t="n">
        <f aca="false">ROUND(IF(HYPOTHESES!$C$46=0,0,'BALANCE 2024'!$I$38*HYPOTHESES!E$46/HYPOTHESES!$C$46),0)</f>
        <v>5614514</v>
      </c>
      <c r="J38" s="20" t="n">
        <f aca="false">(D38-E38)+(F38-G38)-(H38-I38)</f>
        <v>0</v>
      </c>
    </row>
    <row r="39" customFormat="false" ht="15" hidden="false" customHeight="false" outlineLevel="0" collapsed="false">
      <c r="A39" s="33" t="n">
        <v>443300</v>
      </c>
      <c r="B39" s="12" t="s">
        <v>253</v>
      </c>
      <c r="C39" s="13" t="s">
        <v>241</v>
      </c>
      <c r="D39" s="15" t="n">
        <f aca="false">'BALANCE 2025'!H39</f>
        <v>0</v>
      </c>
      <c r="E39" s="15" t="n">
        <f aca="false">'BALANCE 2025'!I39</f>
        <v>53860553</v>
      </c>
      <c r="F39" s="15" t="n">
        <f aca="false">ROUND(HYPOTHESES!E$42*HYPOTHESES!E$10,0)+(H39-I39)-(D39-E39)</f>
        <v>136992049</v>
      </c>
      <c r="G39" s="15" t="n">
        <f aca="false">ROUND(HYPOTHESES!E$42*HYPOTHESES!E$10,0)</f>
        <v>141768629</v>
      </c>
      <c r="H39" s="20" t="n">
        <v>0</v>
      </c>
      <c r="I39" s="15" t="n">
        <f aca="false">ROUND(IF('BALANCE 2024'!$H$26=0,0,'BALANCE 2024'!$I$39*H26/'BALANCE 2024'!$H$26),0)</f>
        <v>58637133</v>
      </c>
      <c r="J39" s="20" t="n">
        <f aca="false">(D39-E39)+(F39-G39)-(H39-I39)</f>
        <v>0</v>
      </c>
    </row>
    <row r="40" customFormat="false" ht="15" hidden="false" customHeight="false" outlineLevel="0" collapsed="false">
      <c r="A40" s="33" t="n">
        <v>446000</v>
      </c>
      <c r="B40" s="12" t="s">
        <v>254</v>
      </c>
      <c r="C40" s="13" t="s">
        <v>241</v>
      </c>
      <c r="D40" s="15" t="n">
        <f aca="false">'BALANCE 2025'!H40</f>
        <v>0</v>
      </c>
      <c r="E40" s="15" t="n">
        <f aca="false">'BALANCE 2025'!I40</f>
        <v>213886</v>
      </c>
      <c r="F40" s="15" t="n">
        <f aca="false">ROUND(IF(HYPOTHESES!$C$46=0,0,'BALANCE 2024'!$G$40*HYPOTHESES!E$46/HYPOTHESES!$C$46),0)+(H40-I40)-(D40-E40)</f>
        <v>227007</v>
      </c>
      <c r="G40" s="15" t="n">
        <f aca="false">ROUND(IF(HYPOTHESES!$C$46=0,0,'BALANCE 2024'!$G$40*HYPOTHESES!E$46/HYPOTHESES!$C$46),0)</f>
        <v>237702</v>
      </c>
      <c r="H40" s="20" t="n">
        <v>0</v>
      </c>
      <c r="I40" s="15" t="n">
        <f aca="false">ROUND(IF(HYPOTHESES!$C$46=0,0,'BALANCE 2024'!$I$40*HYPOTHESES!E$46/HYPOTHESES!$C$46),0)</f>
        <v>224581</v>
      </c>
      <c r="J40" s="20" t="n">
        <f aca="false">(D40-E40)+(F40-G40)-(H40-I40)</f>
        <v>0</v>
      </c>
    </row>
    <row r="41" customFormat="false" ht="15" hidden="false" customHeight="false" outlineLevel="0" collapsed="false">
      <c r="A41" s="33" t="n">
        <v>447201</v>
      </c>
      <c r="B41" s="12" t="s">
        <v>255</v>
      </c>
      <c r="C41" s="13" t="s">
        <v>241</v>
      </c>
      <c r="D41" s="15" t="n">
        <f aca="false">'BALANCE 2025'!H41</f>
        <v>0</v>
      </c>
      <c r="E41" s="15" t="n">
        <f aca="false">'BALANCE 2025'!I41</f>
        <v>1745354</v>
      </c>
      <c r="F41" s="15" t="n">
        <f aca="false">ROUND(IF(HYPOTHESES!$C$48=0,0,'BALANCE 2024'!$G$41*HYPOTHESES!E$48/HYPOTHESES!$C$48),0)+(H41-I41)-(D41-E41)</f>
        <v>6540718</v>
      </c>
      <c r="G41" s="15" t="n">
        <f aca="false">ROUND(IF(HYPOTHESES!$C$48=0,0,'BALANCE 2024'!$G$41*HYPOTHESES!E$48/HYPOTHESES!$C$48),0)</f>
        <v>6627986</v>
      </c>
      <c r="H41" s="20" t="n">
        <v>0</v>
      </c>
      <c r="I41" s="15" t="n">
        <f aca="false">ROUND(IF(HYPOTHESES!$C$48=0,0,'BALANCE 2024'!$I$41*HYPOTHESES!E$48/HYPOTHESES!$C$48),0)</f>
        <v>1832622</v>
      </c>
      <c r="J41" s="20" t="n">
        <f aca="false">(D41-E41)+(F41-G41)-(H41-I41)</f>
        <v>0</v>
      </c>
    </row>
    <row r="42" customFormat="false" ht="15" hidden="false" customHeight="false" outlineLevel="0" collapsed="false">
      <c r="A42" s="33" t="n">
        <v>462100</v>
      </c>
      <c r="B42" s="12" t="s">
        <v>256</v>
      </c>
      <c r="C42" s="13" t="s">
        <v>257</v>
      </c>
      <c r="D42" s="15" t="n">
        <f aca="false">'BALANCE 2025'!H42</f>
        <v>0</v>
      </c>
      <c r="E42" s="15" t="n">
        <f aca="false">'BALANCE 2025'!I42</f>
        <v>0</v>
      </c>
      <c r="F42" s="15" t="n">
        <f aca="false">ROUND('INVEST ET FINANCEMENT'!E$53,0)+(H42-I42)-(D42-E42)</f>
        <v>0</v>
      </c>
      <c r="G42" s="15" t="n">
        <f aca="false">ROUND('INVEST ET FINANCEMENT'!E$53,0)</f>
        <v>0</v>
      </c>
      <c r="H42" s="20" t="n">
        <v>0</v>
      </c>
      <c r="I42" s="15" t="n">
        <f aca="false">ROUND('INVEST ET FINANCEMENT'!E$54,0)</f>
        <v>0</v>
      </c>
      <c r="J42" s="20" t="n">
        <f aca="false">(D42-E42)+(F42-G42)-(H42-I42)</f>
        <v>0</v>
      </c>
    </row>
    <row r="43" customFormat="false" ht="15" hidden="false" customHeight="false" outlineLevel="0" collapsed="false">
      <c r="A43" s="33" t="n">
        <v>471200</v>
      </c>
      <c r="B43" s="12" t="s">
        <v>258</v>
      </c>
      <c r="C43" s="13" t="s">
        <v>259</v>
      </c>
      <c r="D43" s="15" t="n">
        <f aca="false">'BALANCE 2025'!H43</f>
        <v>-0</v>
      </c>
      <c r="E43" s="15" t="n">
        <f aca="false">'BALANCE 2025'!I43</f>
        <v>0</v>
      </c>
      <c r="F43" s="20" t="n">
        <f aca="false">MAX(0,(H43-I43)-(D43-E43))</f>
        <v>0</v>
      </c>
      <c r="G43" s="20" t="n">
        <f aca="false">MAX(0,(D43-E43)-(H43-I43))</f>
        <v>0</v>
      </c>
      <c r="H43" s="15" t="n">
        <f aca="false">ROUND(MAX(0,-(E43-D43+HYPOTHESES!E$31)),0)</f>
        <v>-0</v>
      </c>
      <c r="I43" s="15" t="n">
        <f aca="false">ROUND(MAX(0,(E43-D43+HYPOTHESES!E$31)),0)</f>
        <v>0</v>
      </c>
      <c r="J43" s="20" t="n">
        <f aca="false">(D43-E43)+(F43-G43)-(H43-I43)</f>
        <v>0</v>
      </c>
    </row>
    <row r="44" customFormat="false" ht="15" hidden="false" customHeight="false" outlineLevel="0" collapsed="false">
      <c r="A44" s="33" t="n">
        <v>481200</v>
      </c>
      <c r="B44" s="12" t="s">
        <v>260</v>
      </c>
      <c r="C44" s="13" t="s">
        <v>261</v>
      </c>
      <c r="D44" s="15" t="n">
        <f aca="false">'BALANCE 2025'!H44</f>
        <v>0</v>
      </c>
      <c r="E44" s="15" t="n">
        <f aca="false">'BALANCE 2025'!I44</f>
        <v>59171235</v>
      </c>
      <c r="F44" s="15" t="n">
        <f aca="false">ROUND('INVEST ET FINANCEMENT'!E$41,0)+(H44-I44)-(D44-E44)</f>
        <v>81435124</v>
      </c>
      <c r="G44" s="15" t="n">
        <f aca="false">ROUND('INVEST ET FINANCEMENT'!E$41,0)</f>
        <v>35000000</v>
      </c>
      <c r="H44" s="20" t="n">
        <v>0</v>
      </c>
      <c r="I44" s="15" t="n">
        <f aca="false">ROUND(HYPOTHESES!E$28,0)</f>
        <v>12736111</v>
      </c>
      <c r="J44" s="20" t="n">
        <f aca="false">(D44-E44)+(F44-G44)-(H44-I44)</f>
        <v>0</v>
      </c>
    </row>
    <row r="45" customFormat="false" ht="15" hidden="false" customHeight="false" outlineLevel="0" collapsed="false">
      <c r="A45" s="28" t="n">
        <v>521101</v>
      </c>
      <c r="B45" s="29" t="s">
        <v>262</v>
      </c>
      <c r="C45" s="30" t="s">
        <v>263</v>
      </c>
      <c r="D45" s="37" t="n">
        <f aca="false">'BALANCE 2025'!H45</f>
        <v>146978107</v>
      </c>
      <c r="E45" s="37" t="n">
        <f aca="false">'BALANCE 2025'!I45</f>
        <v>0</v>
      </c>
      <c r="F45" s="37" t="n">
        <f aca="false">ROUND(G26+HYPOTHESES!E$51+'INVEST ET FINANCEMENT'!E$47+'INVEST ET FINANCEMENT'!E$51,0)</f>
        <v>888792355</v>
      </c>
      <c r="G45" s="37" t="n">
        <f aca="false">ROUND(G26+HYPOTHESES!E$51+'INVEST ET FINANCEMENT'!E$47+'INVEST ET FINANCEMENT'!E$51,0)+(D45-E45)-(H45-I45)</f>
        <v>819649576</v>
      </c>
      <c r="H45" s="32" t="n">
        <f aca="false">ROUND(MAX(0,(H99-(H46-I46))),0)</f>
        <v>216120886</v>
      </c>
      <c r="I45" s="32" t="n">
        <f aca="false">ROUND(MAX(0,-(H99-(H46-I46))),0)</f>
        <v>0</v>
      </c>
      <c r="J45" s="32" t="n">
        <f aca="false">(D45-E45)+(F45-G45)-(H45-I45)</f>
        <v>0</v>
      </c>
    </row>
    <row r="46" customFormat="false" ht="15" hidden="false" customHeight="false" outlineLevel="0" collapsed="false">
      <c r="A46" s="33" t="n">
        <v>571101</v>
      </c>
      <c r="B46" s="12" t="s">
        <v>264</v>
      </c>
      <c r="C46" s="13" t="s">
        <v>265</v>
      </c>
      <c r="D46" s="15" t="n">
        <f aca="false">'BALANCE 2025'!H46</f>
        <v>7347888</v>
      </c>
      <c r="E46" s="15" t="n">
        <f aca="false">'BALANCE 2025'!I46</f>
        <v>0</v>
      </c>
      <c r="F46" s="20" t="n">
        <f aca="false">ROUND(H101,0)</f>
        <v>163929915</v>
      </c>
      <c r="G46" s="20" t="n">
        <f aca="false">ROUND(H101,0)+(D46-E46)-(H46-I46)</f>
        <v>162290616</v>
      </c>
      <c r="H46" s="15" t="n">
        <f aca="false">ROUND(MAX(0,((D46-E46)+H101*(1-HYPOTHESES!E$30))),0)</f>
        <v>8987187</v>
      </c>
      <c r="I46" s="15" t="n">
        <f aca="false">ROUND(MAX(0,-((D46-E46)+H101*(1-HYPOTHESES!E$30))),0)</f>
        <v>0</v>
      </c>
      <c r="J46" s="20" t="n">
        <f aca="false">(D46-E46)+(F46-G46)-(H46-I46)</f>
        <v>0</v>
      </c>
    </row>
    <row r="47" customFormat="false" ht="15" hidden="false" customHeight="false" outlineLevel="0" collapsed="false">
      <c r="A47" s="33" t="n">
        <v>585000</v>
      </c>
      <c r="B47" s="12" t="s">
        <v>266</v>
      </c>
      <c r="C47" s="13" t="s">
        <v>265</v>
      </c>
      <c r="D47" s="15" t="n">
        <f aca="false">'BALANCE 2025'!H47</f>
        <v>0</v>
      </c>
      <c r="E47" s="15" t="n">
        <f aca="false">'BALANCE 2025'!I47</f>
        <v>0</v>
      </c>
      <c r="F47" s="20" t="n">
        <f aca="false">ROUND(H101,0)</f>
        <v>163929915</v>
      </c>
      <c r="G47" s="20" t="n">
        <f aca="false">ROUND(H101,0)+(D47-E47)-(H47-I47)</f>
        <v>163929915</v>
      </c>
      <c r="H47" s="20" t="n">
        <f aca="false">ROUND(D47,0)</f>
        <v>0</v>
      </c>
      <c r="I47" s="20" t="n">
        <f aca="false">ROUND(E47,0)</f>
        <v>0</v>
      </c>
      <c r="J47" s="20" t="n">
        <f aca="false">(D47-E47)+(F47-G47)-(H47-I47)</f>
        <v>0</v>
      </c>
    </row>
    <row r="48" customFormat="false" ht="15" hidden="false" customHeight="false" outlineLevel="0" collapsed="false">
      <c r="A48" s="28" t="n">
        <v>604300</v>
      </c>
      <c r="B48" s="29" t="s">
        <v>267</v>
      </c>
      <c r="C48" s="30" t="s">
        <v>268</v>
      </c>
      <c r="D48" s="32" t="n">
        <v>0</v>
      </c>
      <c r="E48" s="32" t="n">
        <v>0</v>
      </c>
      <c r="F48" s="32" t="n">
        <f aca="false">MAX(0,(H48-I48)-(D48-E48))</f>
        <v>1404953</v>
      </c>
      <c r="G48" s="32" t="n">
        <f aca="false">MAX(0,(D48-E48)-(H48-I48))</f>
        <v>0</v>
      </c>
      <c r="H48" s="37" t="n">
        <f aca="false">ROUND(IF(HYPOTHESES!$C$43=0,0,'BALANCE 2024'!$H$48*HYPOTHESES!E$43/HYPOTHESES!$C$43),0)</f>
        <v>1404953</v>
      </c>
      <c r="I48" s="32" t="n">
        <v>0</v>
      </c>
      <c r="J48" s="32" t="n">
        <f aca="false">(D48-E48)+(F48-G48)-(H48-I48)</f>
        <v>0</v>
      </c>
    </row>
    <row r="49" customFormat="false" ht="15" hidden="false" customHeight="false" outlineLevel="0" collapsed="false">
      <c r="A49" s="33" t="n">
        <v>605100</v>
      </c>
      <c r="B49" s="12" t="s">
        <v>269</v>
      </c>
      <c r="C49" s="13" t="s">
        <v>268</v>
      </c>
      <c r="D49" s="20" t="n">
        <v>0</v>
      </c>
      <c r="E49" s="20" t="n">
        <v>0</v>
      </c>
      <c r="F49" s="20" t="n">
        <f aca="false">MAX(0,(H49-I49)-(D49-E49))</f>
        <v>139974</v>
      </c>
      <c r="G49" s="20" t="n">
        <f aca="false">MAX(0,(D49-E49)-(H49-I49))</f>
        <v>0</v>
      </c>
      <c r="H49" s="15" t="n">
        <f aca="false">ROUND(IF(HYPOTHESES!$C$43=0,0,'BALANCE 2024'!$H$49*HYPOTHESES!E$43/HYPOTHESES!$C$43),0)</f>
        <v>139974</v>
      </c>
      <c r="I49" s="20" t="n">
        <v>0</v>
      </c>
      <c r="J49" s="20" t="n">
        <f aca="false">(D49-E49)+(F49-G49)-(H49-I49)</f>
        <v>0</v>
      </c>
    </row>
    <row r="50" customFormat="false" ht="15" hidden="false" customHeight="false" outlineLevel="0" collapsed="false">
      <c r="A50" s="33" t="n">
        <v>605200</v>
      </c>
      <c r="B50" s="12" t="s">
        <v>270</v>
      </c>
      <c r="C50" s="13" t="s">
        <v>268</v>
      </c>
      <c r="D50" s="20" t="n">
        <v>0</v>
      </c>
      <c r="E50" s="20" t="n">
        <v>0</v>
      </c>
      <c r="F50" s="20" t="n">
        <f aca="false">MAX(0,(H50-I50)-(D50-E50))</f>
        <v>44900806</v>
      </c>
      <c r="G50" s="20" t="n">
        <f aca="false">MAX(0,(D50-E50)-(H50-I50))</f>
        <v>0</v>
      </c>
      <c r="H50" s="15" t="n">
        <f aca="false">ROUND(IF(HYPOTHESES!$C$43=0,0,'BALANCE 2024'!$H$50*HYPOTHESES!E$43/HYPOTHESES!$C$43),0)</f>
        <v>44900806</v>
      </c>
      <c r="I50" s="20" t="n">
        <v>0</v>
      </c>
      <c r="J50" s="20" t="n">
        <f aca="false">(D50-E50)+(F50-G50)-(H50-I50)</f>
        <v>0</v>
      </c>
    </row>
    <row r="51" customFormat="false" ht="15" hidden="false" customHeight="false" outlineLevel="0" collapsed="false">
      <c r="A51" s="33" t="n">
        <v>605300</v>
      </c>
      <c r="B51" s="12" t="s">
        <v>271</v>
      </c>
      <c r="C51" s="13" t="s">
        <v>268</v>
      </c>
      <c r="D51" s="20" t="n">
        <v>0</v>
      </c>
      <c r="E51" s="20" t="n">
        <v>0</v>
      </c>
      <c r="F51" s="20" t="n">
        <f aca="false">MAX(0,(H51-I51)-(D51-E51))</f>
        <v>22291255</v>
      </c>
      <c r="G51" s="20" t="n">
        <f aca="false">MAX(0,(D51-E51)-(H51-I51))</f>
        <v>0</v>
      </c>
      <c r="H51" s="15" t="n">
        <f aca="false">ROUND(IF(HYPOTHESES!$C$43=0,0,'BALANCE 2024'!$H$51*HYPOTHESES!E$43/HYPOTHESES!$C$43),0)</f>
        <v>22291255</v>
      </c>
      <c r="I51" s="20" t="n">
        <v>0</v>
      </c>
      <c r="J51" s="20" t="n">
        <f aca="false">(D51-E51)+(F51-G51)-(H51-I51)</f>
        <v>0</v>
      </c>
    </row>
    <row r="52" customFormat="false" ht="15" hidden="false" customHeight="false" outlineLevel="0" collapsed="false">
      <c r="A52" s="33" t="n">
        <v>605500</v>
      </c>
      <c r="B52" s="12" t="s">
        <v>272</v>
      </c>
      <c r="C52" s="13" t="s">
        <v>268</v>
      </c>
      <c r="D52" s="20" t="n">
        <v>0</v>
      </c>
      <c r="E52" s="20" t="n">
        <v>0</v>
      </c>
      <c r="F52" s="20" t="n">
        <f aca="false">MAX(0,(H52-I52)-(D52-E52))</f>
        <v>14464851</v>
      </c>
      <c r="G52" s="20" t="n">
        <f aca="false">MAX(0,(D52-E52)-(H52-I52))</f>
        <v>0</v>
      </c>
      <c r="H52" s="15" t="n">
        <f aca="false">ROUND(IF(HYPOTHESES!$C$43=0,0,'BALANCE 2024'!$H$52*HYPOTHESES!E$43/HYPOTHESES!$C$43),0)</f>
        <v>14464851</v>
      </c>
      <c r="I52" s="20" t="n">
        <v>0</v>
      </c>
      <c r="J52" s="20" t="n">
        <f aca="false">(D52-E52)+(F52-G52)-(H52-I52)</f>
        <v>0</v>
      </c>
    </row>
    <row r="53" customFormat="false" ht="15" hidden="false" customHeight="false" outlineLevel="0" collapsed="false">
      <c r="A53" s="33" t="n">
        <v>605600</v>
      </c>
      <c r="B53" s="12" t="s">
        <v>273</v>
      </c>
      <c r="C53" s="13" t="s">
        <v>268</v>
      </c>
      <c r="D53" s="20" t="n">
        <v>0</v>
      </c>
      <c r="E53" s="20" t="n">
        <v>0</v>
      </c>
      <c r="F53" s="20" t="n">
        <f aca="false">MAX(0,(H53-I53)-(D53-E53))</f>
        <v>4147927</v>
      </c>
      <c r="G53" s="20" t="n">
        <f aca="false">MAX(0,(D53-E53)-(H53-I53))</f>
        <v>0</v>
      </c>
      <c r="H53" s="15" t="n">
        <f aca="false">ROUND(IF(HYPOTHESES!$C$43=0,0,'BALANCE 2024'!$H$53*HYPOTHESES!E$43/HYPOTHESES!$C$43),0)</f>
        <v>4147927</v>
      </c>
      <c r="I53" s="20" t="n">
        <v>0</v>
      </c>
      <c r="J53" s="20" t="n">
        <f aca="false">(D53-E53)+(F53-G53)-(H53-I53)</f>
        <v>0</v>
      </c>
    </row>
    <row r="54" customFormat="false" ht="15" hidden="false" customHeight="false" outlineLevel="0" collapsed="false">
      <c r="A54" s="33" t="n">
        <v>605700</v>
      </c>
      <c r="B54" s="12" t="s">
        <v>274</v>
      </c>
      <c r="C54" s="13" t="s">
        <v>268</v>
      </c>
      <c r="D54" s="20" t="n">
        <v>0</v>
      </c>
      <c r="E54" s="20" t="n">
        <v>0</v>
      </c>
      <c r="F54" s="20" t="n">
        <f aca="false">MAX(0,(H54-I54)-(D54-E54))</f>
        <v>90068520</v>
      </c>
      <c r="G54" s="20" t="n">
        <f aca="false">MAX(0,(D54-E54)-(H54-I54))</f>
        <v>0</v>
      </c>
      <c r="H54" s="15" t="n">
        <f aca="false">ROUND(IF(HYPOTHESES!$C$43=0,0,'BALANCE 2024'!$H$54*HYPOTHESES!E$43/HYPOTHESES!$C$43),0)</f>
        <v>90068520</v>
      </c>
      <c r="I54" s="20" t="n">
        <v>0</v>
      </c>
      <c r="J54" s="20" t="n">
        <f aca="false">(D54-E54)+(F54-G54)-(H54-I54)</f>
        <v>0</v>
      </c>
    </row>
    <row r="55" customFormat="false" ht="15" hidden="false" customHeight="false" outlineLevel="0" collapsed="false">
      <c r="A55" s="33" t="n">
        <v>605800</v>
      </c>
      <c r="B55" s="12" t="s">
        <v>275</v>
      </c>
      <c r="C55" s="13" t="s">
        <v>268</v>
      </c>
      <c r="D55" s="20" t="n">
        <v>0</v>
      </c>
      <c r="E55" s="20" t="n">
        <v>0</v>
      </c>
      <c r="F55" s="20" t="n">
        <f aca="false">MAX(0,(H55-I55)-(D55-E55))</f>
        <v>135102780</v>
      </c>
      <c r="G55" s="20" t="n">
        <f aca="false">MAX(0,(D55-E55)-(H55-I55))</f>
        <v>0</v>
      </c>
      <c r="H55" s="15" t="n">
        <f aca="false">ROUND(HYPOTHESES!E$43-(H48+H49+H50+H51+H52+H53+H54),0)</f>
        <v>135102780</v>
      </c>
      <c r="I55" s="20" t="n">
        <v>0</v>
      </c>
      <c r="J55" s="20" t="n">
        <f aca="false">(D55-E55)+(F55-G55)-(H55-I55)</f>
        <v>0</v>
      </c>
    </row>
    <row r="56" customFormat="false" ht="15" hidden="false" customHeight="false" outlineLevel="0" collapsed="false">
      <c r="A56" s="33" t="n">
        <v>616000</v>
      </c>
      <c r="B56" s="12" t="s">
        <v>276</v>
      </c>
      <c r="C56" s="13" t="s">
        <v>277</v>
      </c>
      <c r="D56" s="20" t="n">
        <v>0</v>
      </c>
      <c r="E56" s="20" t="n">
        <v>0</v>
      </c>
      <c r="F56" s="20" t="n">
        <f aca="false">MAX(0,(H56-I56)-(D56-E56))</f>
        <v>104548</v>
      </c>
      <c r="G56" s="20" t="n">
        <f aca="false">MAX(0,(D56-E56)-(H56-I56))</f>
        <v>0</v>
      </c>
      <c r="H56" s="15" t="n">
        <f aca="false">ROUND(IF(HYPOTHESES!$C$44=0,0,'BALANCE 2024'!$H$56*HYPOTHESES!E$44/HYPOTHESES!$C$44),0)</f>
        <v>104548</v>
      </c>
      <c r="I56" s="20" t="n">
        <v>0</v>
      </c>
      <c r="J56" s="20" t="n">
        <f aca="false">(D56-E56)+(F56-G56)-(H56-I56)</f>
        <v>0</v>
      </c>
    </row>
    <row r="57" customFormat="false" ht="15" hidden="false" customHeight="false" outlineLevel="0" collapsed="false">
      <c r="A57" s="33" t="n">
        <v>618200</v>
      </c>
      <c r="B57" s="12" t="s">
        <v>278</v>
      </c>
      <c r="C57" s="13" t="s">
        <v>277</v>
      </c>
      <c r="D57" s="20" t="n">
        <v>0</v>
      </c>
      <c r="E57" s="20" t="n">
        <v>0</v>
      </c>
      <c r="F57" s="20" t="n">
        <f aca="false">MAX(0,(H57-I57)-(D57-E57))</f>
        <v>1744538</v>
      </c>
      <c r="G57" s="20" t="n">
        <f aca="false">MAX(0,(D57-E57)-(H57-I57))</f>
        <v>0</v>
      </c>
      <c r="H57" s="15" t="n">
        <f aca="false">ROUND(IF(HYPOTHESES!$C$44=0,0,'BALANCE 2024'!$H$57*HYPOTHESES!E$44/HYPOTHESES!$C$44),0)</f>
        <v>1744538</v>
      </c>
      <c r="I57" s="20" t="n">
        <v>0</v>
      </c>
      <c r="J57" s="20" t="n">
        <f aca="false">(D57-E57)+(F57-G57)-(H57-I57)</f>
        <v>0</v>
      </c>
    </row>
    <row r="58" customFormat="false" ht="15" hidden="false" customHeight="false" outlineLevel="0" collapsed="false">
      <c r="A58" s="33" t="n">
        <v>618300</v>
      </c>
      <c r="B58" s="12" t="s">
        <v>279</v>
      </c>
      <c r="C58" s="13" t="s">
        <v>277</v>
      </c>
      <c r="D58" s="20" t="n">
        <v>0</v>
      </c>
      <c r="E58" s="20" t="n">
        <v>0</v>
      </c>
      <c r="F58" s="20" t="n">
        <f aca="false">MAX(0,(H58-I58)-(D58-E58))</f>
        <v>2403973</v>
      </c>
      <c r="G58" s="20" t="n">
        <f aca="false">MAX(0,(D58-E58)-(H58-I58))</f>
        <v>0</v>
      </c>
      <c r="H58" s="15" t="n">
        <f aca="false">ROUND(HYPOTHESES!E$44-(H56+H57),0)</f>
        <v>2403973</v>
      </c>
      <c r="I58" s="20" t="n">
        <v>0</v>
      </c>
      <c r="J58" s="20" t="n">
        <f aca="false">(D58-E58)+(F58-G58)-(H58-I58)</f>
        <v>0</v>
      </c>
    </row>
    <row r="59" customFormat="false" ht="15" hidden="false" customHeight="false" outlineLevel="0" collapsed="false">
      <c r="A59" s="33" t="n">
        <v>622200</v>
      </c>
      <c r="B59" s="12" t="s">
        <v>280</v>
      </c>
      <c r="C59" s="13" t="s">
        <v>281</v>
      </c>
      <c r="D59" s="20" t="n">
        <v>0</v>
      </c>
      <c r="E59" s="20" t="n">
        <v>0</v>
      </c>
      <c r="F59" s="20" t="n">
        <f aca="false">MAX(0,(H59-I59)-(D59-E59))</f>
        <v>18689049</v>
      </c>
      <c r="G59" s="20" t="n">
        <f aca="false">MAX(0,(D59-E59)-(H59-I59))</f>
        <v>0</v>
      </c>
      <c r="H59" s="15" t="n">
        <f aca="false">ROUND(IF(HYPOTHESES!$C$45=0,0,'BALANCE 2024'!$H$59*HYPOTHESES!E$45/HYPOTHESES!$C$45),0)</f>
        <v>18689049</v>
      </c>
      <c r="I59" s="20" t="n">
        <v>0</v>
      </c>
      <c r="J59" s="20" t="n">
        <f aca="false">(D59-E59)+(F59-G59)-(H59-I59)</f>
        <v>0</v>
      </c>
    </row>
    <row r="60" customFormat="false" ht="15" hidden="false" customHeight="false" outlineLevel="0" collapsed="false">
      <c r="A60" s="33" t="n">
        <v>624200</v>
      </c>
      <c r="B60" s="12" t="s">
        <v>282</v>
      </c>
      <c r="C60" s="13" t="s">
        <v>281</v>
      </c>
      <c r="D60" s="20" t="n">
        <v>0</v>
      </c>
      <c r="E60" s="20" t="n">
        <v>0</v>
      </c>
      <c r="F60" s="20" t="n">
        <f aca="false">MAX(0,(H60-I60)-(D60-E60))</f>
        <v>38426632</v>
      </c>
      <c r="G60" s="20" t="n">
        <f aca="false">MAX(0,(D60-E60)-(H60-I60))</f>
        <v>0</v>
      </c>
      <c r="H60" s="15" t="n">
        <f aca="false">ROUND(HYPOTHESES!E$45-(H59+H61+H62+H63+H64+H65+H66+H67),0)</f>
        <v>38426632</v>
      </c>
      <c r="I60" s="20" t="n">
        <v>0</v>
      </c>
      <c r="J60" s="20" t="n">
        <f aca="false">(D60-E60)+(F60-G60)-(H60-I60)</f>
        <v>0</v>
      </c>
    </row>
    <row r="61" customFormat="false" ht="15" hidden="false" customHeight="false" outlineLevel="0" collapsed="false">
      <c r="A61" s="33" t="n">
        <v>625800</v>
      </c>
      <c r="B61" s="12" t="s">
        <v>283</v>
      </c>
      <c r="C61" s="13" t="s">
        <v>281</v>
      </c>
      <c r="D61" s="20" t="n">
        <v>0</v>
      </c>
      <c r="E61" s="20" t="n">
        <v>0</v>
      </c>
      <c r="F61" s="20" t="n">
        <f aca="false">MAX(0,(H61-I61)-(D61-E61))</f>
        <v>5156343</v>
      </c>
      <c r="G61" s="20" t="n">
        <f aca="false">MAX(0,(D61-E61)-(H61-I61))</f>
        <v>0</v>
      </c>
      <c r="H61" s="15" t="n">
        <f aca="false">ROUND(IF(HYPOTHESES!$C$45=0,0,'BALANCE 2024'!$H$61*HYPOTHESES!E$45/HYPOTHESES!$C$45),0)</f>
        <v>5156343</v>
      </c>
      <c r="I61" s="20" t="n">
        <v>0</v>
      </c>
      <c r="J61" s="20" t="n">
        <f aca="false">(D61-E61)+(F61-G61)-(H61-I61)</f>
        <v>0</v>
      </c>
    </row>
    <row r="62" customFormat="false" ht="15" hidden="false" customHeight="false" outlineLevel="0" collapsed="false">
      <c r="A62" s="33" t="n">
        <v>626600</v>
      </c>
      <c r="B62" s="12" t="s">
        <v>284</v>
      </c>
      <c r="C62" s="13" t="s">
        <v>281</v>
      </c>
      <c r="D62" s="20" t="n">
        <v>0</v>
      </c>
      <c r="E62" s="20" t="n">
        <v>0</v>
      </c>
      <c r="F62" s="20" t="n">
        <f aca="false">MAX(0,(H62-I62)-(D62-E62))</f>
        <v>35951</v>
      </c>
      <c r="G62" s="20" t="n">
        <f aca="false">MAX(0,(D62-E62)-(H62-I62))</f>
        <v>0</v>
      </c>
      <c r="H62" s="15" t="n">
        <f aca="false">ROUND(IF(HYPOTHESES!$C$45=0,0,'BALANCE 2024'!$H$62*HYPOTHESES!E$45/HYPOTHESES!$C$45),0)</f>
        <v>35951</v>
      </c>
      <c r="I62" s="20" t="n">
        <v>0</v>
      </c>
      <c r="J62" s="20" t="n">
        <f aca="false">(D62-E62)+(F62-G62)-(H62-I62)</f>
        <v>0</v>
      </c>
    </row>
    <row r="63" customFormat="false" ht="15" hidden="false" customHeight="false" outlineLevel="0" collapsed="false">
      <c r="A63" s="33" t="n">
        <v>627700</v>
      </c>
      <c r="B63" s="12" t="s">
        <v>285</v>
      </c>
      <c r="C63" s="13" t="s">
        <v>281</v>
      </c>
      <c r="D63" s="20" t="n">
        <v>0</v>
      </c>
      <c r="E63" s="20" t="n">
        <v>0</v>
      </c>
      <c r="F63" s="20" t="n">
        <f aca="false">MAX(0,(H63-I63)-(D63-E63))</f>
        <v>65723</v>
      </c>
      <c r="G63" s="20" t="n">
        <f aca="false">MAX(0,(D63-E63)-(H63-I63))</f>
        <v>0</v>
      </c>
      <c r="H63" s="15" t="n">
        <f aca="false">ROUND(IF(HYPOTHESES!$C$45=0,0,'BALANCE 2024'!$H$63*HYPOTHESES!E$45/HYPOTHESES!$C$45),0)</f>
        <v>65723</v>
      </c>
      <c r="I63" s="20" t="n">
        <v>0</v>
      </c>
      <c r="J63" s="20" t="n">
        <f aca="false">(D63-E63)+(F63-G63)-(H63-I63)</f>
        <v>0</v>
      </c>
    </row>
    <row r="64" customFormat="false" ht="15" hidden="false" customHeight="false" outlineLevel="0" collapsed="false">
      <c r="A64" s="33" t="n">
        <v>628800</v>
      </c>
      <c r="B64" s="12" t="s">
        <v>286</v>
      </c>
      <c r="C64" s="13" t="s">
        <v>281</v>
      </c>
      <c r="D64" s="20" t="n">
        <v>0</v>
      </c>
      <c r="E64" s="20" t="n">
        <v>0</v>
      </c>
      <c r="F64" s="20" t="n">
        <f aca="false">MAX(0,(H64-I64)-(D64-E64))</f>
        <v>892086</v>
      </c>
      <c r="G64" s="20" t="n">
        <f aca="false">MAX(0,(D64-E64)-(H64-I64))</f>
        <v>0</v>
      </c>
      <c r="H64" s="15" t="n">
        <f aca="false">ROUND(IF(HYPOTHESES!$C$45=0,0,'BALANCE 2024'!$H$64*HYPOTHESES!E$45/HYPOTHESES!$C$45),0)</f>
        <v>892086</v>
      </c>
      <c r="I64" s="20" t="n">
        <v>0</v>
      </c>
      <c r="J64" s="20" t="n">
        <f aca="false">(D64-E64)+(F64-G64)-(H64-I64)</f>
        <v>0</v>
      </c>
    </row>
    <row r="65" customFormat="false" ht="15" hidden="false" customHeight="false" outlineLevel="0" collapsed="false">
      <c r="A65" s="33" t="n">
        <v>631800</v>
      </c>
      <c r="B65" s="12" t="s">
        <v>287</v>
      </c>
      <c r="C65" s="13" t="s">
        <v>281</v>
      </c>
      <c r="D65" s="20" t="n">
        <v>0</v>
      </c>
      <c r="E65" s="20" t="n">
        <v>0</v>
      </c>
      <c r="F65" s="20" t="n">
        <f aca="false">MAX(0,(H65-I65)-(D65-E65))</f>
        <v>25379403</v>
      </c>
      <c r="G65" s="20" t="n">
        <f aca="false">MAX(0,(D65-E65)-(H65-I65))</f>
        <v>0</v>
      </c>
      <c r="H65" s="15" t="n">
        <f aca="false">ROUND(IF(HYPOTHESES!$C$45=0,0,'BALANCE 2024'!$H$65*HYPOTHESES!E$45/HYPOTHESES!$C$45),0)</f>
        <v>25379403</v>
      </c>
      <c r="I65" s="20" t="n">
        <v>0</v>
      </c>
      <c r="J65" s="20" t="n">
        <f aca="false">(D65-E65)+(F65-G65)-(H65-I65)</f>
        <v>0</v>
      </c>
    </row>
    <row r="66" customFormat="false" ht="15" hidden="false" customHeight="false" outlineLevel="0" collapsed="false">
      <c r="A66" s="33" t="n">
        <v>632800</v>
      </c>
      <c r="B66" s="12" t="s">
        <v>288</v>
      </c>
      <c r="C66" s="13" t="s">
        <v>281</v>
      </c>
      <c r="D66" s="20" t="n">
        <v>0</v>
      </c>
      <c r="E66" s="20" t="n">
        <v>0</v>
      </c>
      <c r="F66" s="20" t="n">
        <f aca="false">MAX(0,(H66-I66)-(D66-E66))</f>
        <v>5339905</v>
      </c>
      <c r="G66" s="20" t="n">
        <f aca="false">MAX(0,(D66-E66)-(H66-I66))</f>
        <v>0</v>
      </c>
      <c r="H66" s="15" t="n">
        <f aca="false">ROUND(IF(HYPOTHESES!$C$45=0,0,'BALANCE 2024'!$H$66*HYPOTHESES!E$45/HYPOTHESES!$C$45),0)</f>
        <v>5339905</v>
      </c>
      <c r="I66" s="20" t="n">
        <v>0</v>
      </c>
      <c r="J66" s="20" t="n">
        <f aca="false">(D66-E66)+(F66-G66)-(H66-I66)</f>
        <v>0</v>
      </c>
    </row>
    <row r="67" customFormat="false" ht="15" hidden="false" customHeight="false" outlineLevel="0" collapsed="false">
      <c r="A67" s="33" t="n">
        <v>638800</v>
      </c>
      <c r="B67" s="12" t="s">
        <v>289</v>
      </c>
      <c r="C67" s="13" t="s">
        <v>281</v>
      </c>
      <c r="D67" s="20" t="n">
        <v>0</v>
      </c>
      <c r="E67" s="20" t="n">
        <v>0</v>
      </c>
      <c r="F67" s="20" t="n">
        <f aca="false">MAX(0,(H67-I67)-(D67-E67))</f>
        <v>25966920</v>
      </c>
      <c r="G67" s="20" t="n">
        <f aca="false">MAX(0,(D67-E67)-(H67-I67))</f>
        <v>0</v>
      </c>
      <c r="H67" s="15" t="n">
        <f aca="false">ROUND(IF(HYPOTHESES!$C$45=0,0,'BALANCE 2024'!$H$67*HYPOTHESES!E$45/HYPOTHESES!$C$45),0)</f>
        <v>25966920</v>
      </c>
      <c r="I67" s="20" t="n">
        <v>0</v>
      </c>
      <c r="J67" s="20" t="n">
        <f aca="false">(D67-E67)+(F67-G67)-(H67-I67)</f>
        <v>0</v>
      </c>
    </row>
    <row r="68" customFormat="false" ht="15" hidden="false" customHeight="false" outlineLevel="0" collapsed="false">
      <c r="A68" s="33" t="n">
        <v>641100</v>
      </c>
      <c r="B68" s="12" t="s">
        <v>290</v>
      </c>
      <c r="C68" s="13" t="s">
        <v>291</v>
      </c>
      <c r="D68" s="20" t="n">
        <v>0</v>
      </c>
      <c r="E68" s="20" t="n">
        <v>0</v>
      </c>
      <c r="F68" s="20" t="n">
        <f aca="false">MAX(0,(H68-I68)-(D68-E68))</f>
        <v>404245</v>
      </c>
      <c r="G68" s="20" t="n">
        <f aca="false">MAX(0,(D68-E68)-(H68-I68))</f>
        <v>0</v>
      </c>
      <c r="H68" s="15" t="n">
        <f aca="false">ROUND(IF(HYPOTHESES!$C$46=0,0,'BALANCE 2024'!$H$68*HYPOTHESES!E$46/HYPOTHESES!$C$46),0)</f>
        <v>404245</v>
      </c>
      <c r="I68" s="20" t="n">
        <v>0</v>
      </c>
      <c r="J68" s="20" t="n">
        <f aca="false">(D68-E68)+(F68-G68)-(H68-I68)</f>
        <v>0</v>
      </c>
    </row>
    <row r="69" customFormat="false" ht="15" hidden="false" customHeight="false" outlineLevel="0" collapsed="false">
      <c r="A69" s="33" t="n">
        <v>641201</v>
      </c>
      <c r="B69" s="12" t="s">
        <v>292</v>
      </c>
      <c r="C69" s="13" t="s">
        <v>291</v>
      </c>
      <c r="D69" s="20" t="n">
        <v>0</v>
      </c>
      <c r="E69" s="20" t="n">
        <v>0</v>
      </c>
      <c r="F69" s="20" t="n">
        <f aca="false">MAX(0,(H69-I69)-(D69-E69))</f>
        <v>10168034</v>
      </c>
      <c r="G69" s="20" t="n">
        <f aca="false">MAX(0,(D69-E69)-(H69-I69))</f>
        <v>0</v>
      </c>
      <c r="H69" s="15" t="n">
        <f aca="false">ROUND(HYPOTHESES!E$46-(H68+H70+H71+H72+H73+H74+H75+H76),0)</f>
        <v>10168034</v>
      </c>
      <c r="I69" s="20" t="n">
        <v>0</v>
      </c>
      <c r="J69" s="20" t="n">
        <f aca="false">(D69-E69)+(F69-G69)-(H69-I69)</f>
        <v>0</v>
      </c>
    </row>
    <row r="70" customFormat="false" ht="15" hidden="false" customHeight="false" outlineLevel="0" collapsed="false">
      <c r="A70" s="33" t="n">
        <v>641202</v>
      </c>
      <c r="B70" s="12" t="s">
        <v>293</v>
      </c>
      <c r="C70" s="13" t="s">
        <v>291</v>
      </c>
      <c r="D70" s="20" t="n">
        <v>0</v>
      </c>
      <c r="E70" s="20" t="n">
        <v>0</v>
      </c>
      <c r="F70" s="20" t="n">
        <f aca="false">MAX(0,(H70-I70)-(D70-E70))</f>
        <v>1739034</v>
      </c>
      <c r="G70" s="20" t="n">
        <f aca="false">MAX(0,(D70-E70)-(H70-I70))</f>
        <v>0</v>
      </c>
      <c r="H70" s="15" t="n">
        <f aca="false">ROUND(IF(HYPOTHESES!$C$46=0,0,'BALANCE 2024'!$H$70*HYPOTHESES!E$46/HYPOTHESES!$C$46),0)</f>
        <v>1739034</v>
      </c>
      <c r="I70" s="20" t="n">
        <v>0</v>
      </c>
      <c r="J70" s="20" t="n">
        <f aca="false">(D70-E70)+(F70-G70)-(H70-I70)</f>
        <v>0</v>
      </c>
    </row>
    <row r="71" customFormat="false" ht="15" hidden="false" customHeight="false" outlineLevel="0" collapsed="false">
      <c r="A71" s="33" t="n">
        <v>641300</v>
      </c>
      <c r="B71" s="12" t="s">
        <v>294</v>
      </c>
      <c r="C71" s="13" t="s">
        <v>291</v>
      </c>
      <c r="D71" s="20" t="n">
        <v>0</v>
      </c>
      <c r="E71" s="20" t="n">
        <v>0</v>
      </c>
      <c r="F71" s="20" t="n">
        <f aca="false">MAX(0,(H71-I71)-(D71-E71))</f>
        <v>928163</v>
      </c>
      <c r="G71" s="20" t="n">
        <f aca="false">MAX(0,(D71-E71)-(H71-I71))</f>
        <v>0</v>
      </c>
      <c r="H71" s="15" t="n">
        <f aca="false">ROUND(IF(HYPOTHESES!$C$46=0,0,'BALANCE 2024'!$H$71*HYPOTHESES!E$46/HYPOTHESES!$C$46),0)</f>
        <v>928163</v>
      </c>
      <c r="I71" s="20" t="n">
        <v>0</v>
      </c>
      <c r="J71" s="20" t="n">
        <f aca="false">(D71-E71)+(F71-G71)-(H71-I71)</f>
        <v>0</v>
      </c>
    </row>
    <row r="72" customFormat="false" ht="15" hidden="false" customHeight="false" outlineLevel="0" collapsed="false">
      <c r="A72" s="33" t="n">
        <v>641400</v>
      </c>
      <c r="B72" s="12" t="s">
        <v>295</v>
      </c>
      <c r="C72" s="13" t="s">
        <v>291</v>
      </c>
      <c r="D72" s="20" t="n">
        <v>0</v>
      </c>
      <c r="E72" s="20" t="n">
        <v>0</v>
      </c>
      <c r="F72" s="20" t="n">
        <f aca="false">MAX(0,(H72-I72)-(D72-E72))</f>
        <v>116856</v>
      </c>
      <c r="G72" s="20" t="n">
        <f aca="false">MAX(0,(D72-E72)-(H72-I72))</f>
        <v>0</v>
      </c>
      <c r="H72" s="15" t="n">
        <f aca="false">ROUND(IF(HYPOTHESES!$C$46=0,0,'BALANCE 2024'!$H$72*HYPOTHESES!E$46/HYPOTHESES!$C$46),0)</f>
        <v>116856</v>
      </c>
      <c r="I72" s="20" t="n">
        <v>0</v>
      </c>
      <c r="J72" s="20" t="n">
        <f aca="false">(D72-E72)+(F72-G72)-(H72-I72)</f>
        <v>0</v>
      </c>
    </row>
    <row r="73" customFormat="false" ht="15" hidden="false" customHeight="false" outlineLevel="0" collapsed="false">
      <c r="A73" s="33" t="n">
        <v>641500</v>
      </c>
      <c r="B73" s="12" t="s">
        <v>296</v>
      </c>
      <c r="C73" s="13" t="s">
        <v>291</v>
      </c>
      <c r="D73" s="20" t="n">
        <v>0</v>
      </c>
      <c r="E73" s="20" t="n">
        <v>0</v>
      </c>
      <c r="F73" s="20" t="n">
        <f aca="false">MAX(0,(H73-I73)-(D73-E73))</f>
        <v>350583</v>
      </c>
      <c r="G73" s="20" t="n">
        <f aca="false">MAX(0,(D73-E73)-(H73-I73))</f>
        <v>0</v>
      </c>
      <c r="H73" s="15" t="n">
        <f aca="false">ROUND(IF(HYPOTHESES!$C$46=0,0,'BALANCE 2024'!$H$73*HYPOTHESES!E$46/HYPOTHESES!$C$46),0)</f>
        <v>350583</v>
      </c>
      <c r="I73" s="20" t="n">
        <v>0</v>
      </c>
      <c r="J73" s="20" t="n">
        <f aca="false">(D73-E73)+(F73-G73)-(H73-I73)</f>
        <v>0</v>
      </c>
    </row>
    <row r="74" customFormat="false" ht="15" hidden="false" customHeight="false" outlineLevel="0" collapsed="false">
      <c r="A74" s="33" t="n">
        <v>641830</v>
      </c>
      <c r="B74" s="12" t="s">
        <v>297</v>
      </c>
      <c r="C74" s="13" t="s">
        <v>291</v>
      </c>
      <c r="D74" s="20" t="n">
        <v>0</v>
      </c>
      <c r="E74" s="20" t="n">
        <v>0</v>
      </c>
      <c r="F74" s="20" t="n">
        <f aca="false">MAX(0,(H74-I74)-(D74-E74))</f>
        <v>237702</v>
      </c>
      <c r="G74" s="20" t="n">
        <f aca="false">MAX(0,(D74-E74)-(H74-I74))</f>
        <v>0</v>
      </c>
      <c r="H74" s="15" t="n">
        <f aca="false">ROUND(IF(HYPOTHESES!$C$46=0,0,'BALANCE 2024'!$H$74*HYPOTHESES!E$46/HYPOTHESES!$C$46),0)</f>
        <v>237702</v>
      </c>
      <c r="I74" s="20" t="n">
        <v>0</v>
      </c>
      <c r="J74" s="20" t="n">
        <f aca="false">(D74-E74)+(F74-G74)-(H74-I74)</f>
        <v>0</v>
      </c>
    </row>
    <row r="75" customFormat="false" ht="15" hidden="false" customHeight="false" outlineLevel="0" collapsed="false">
      <c r="A75" s="33" t="n">
        <v>646200</v>
      </c>
      <c r="B75" s="12" t="s">
        <v>298</v>
      </c>
      <c r="C75" s="13" t="s">
        <v>291</v>
      </c>
      <c r="D75" s="20" t="n">
        <v>0</v>
      </c>
      <c r="E75" s="20" t="n">
        <v>0</v>
      </c>
      <c r="F75" s="20" t="n">
        <f aca="false">MAX(0,(H75-I75)-(D75-E75))</f>
        <v>1937734</v>
      </c>
      <c r="G75" s="20" t="n">
        <f aca="false">MAX(0,(D75-E75)-(H75-I75))</f>
        <v>0</v>
      </c>
      <c r="H75" s="15" t="n">
        <f aca="false">ROUND(IF(HYPOTHESES!$C$46=0,0,'BALANCE 2024'!$H$75*HYPOTHESES!E$46/HYPOTHESES!$C$46),0)</f>
        <v>1937734</v>
      </c>
      <c r="I75" s="20" t="n">
        <v>0</v>
      </c>
      <c r="J75" s="20" t="n">
        <f aca="false">(D75-E75)+(F75-G75)-(H75-I75)</f>
        <v>0</v>
      </c>
    </row>
    <row r="76" customFormat="false" ht="15" hidden="false" customHeight="false" outlineLevel="0" collapsed="false">
      <c r="A76" s="33" t="n">
        <v>648000</v>
      </c>
      <c r="B76" s="12" t="s">
        <v>299</v>
      </c>
      <c r="C76" s="13" t="s">
        <v>291</v>
      </c>
      <c r="D76" s="20" t="n">
        <v>0</v>
      </c>
      <c r="E76" s="20" t="n">
        <v>0</v>
      </c>
      <c r="F76" s="20" t="n">
        <f aca="false">MAX(0,(H76-I76)-(D76-E76))</f>
        <v>814843</v>
      </c>
      <c r="G76" s="20" t="n">
        <f aca="false">MAX(0,(D76-E76)-(H76-I76))</f>
        <v>0</v>
      </c>
      <c r="H76" s="15" t="n">
        <f aca="false">ROUND(IF(HYPOTHESES!$C$46=0,0,'BALANCE 2024'!$H$76*HYPOTHESES!E$46/HYPOTHESES!$C$46),0)</f>
        <v>814843</v>
      </c>
      <c r="I76" s="20" t="n">
        <v>0</v>
      </c>
      <c r="J76" s="20" t="n">
        <f aca="false">(D76-E76)+(F76-G76)-(H76-I76)</f>
        <v>0</v>
      </c>
    </row>
    <row r="77" customFormat="false" ht="15" hidden="false" customHeight="false" outlineLevel="0" collapsed="false">
      <c r="A77" s="33" t="n">
        <v>658800</v>
      </c>
      <c r="B77" s="12" t="s">
        <v>300</v>
      </c>
      <c r="C77" s="13" t="s">
        <v>301</v>
      </c>
      <c r="D77" s="20" t="n">
        <v>0</v>
      </c>
      <c r="E77" s="20" t="n">
        <v>0</v>
      </c>
      <c r="F77" s="20" t="n">
        <f aca="false">MAX(0,(H77-I77)-(D77-E77))</f>
        <v>1496447</v>
      </c>
      <c r="G77" s="20" t="n">
        <f aca="false">MAX(0,(D77-E77)-(H77-I77))</f>
        <v>0</v>
      </c>
      <c r="H77" s="15" t="n">
        <f aca="false">ROUND(HYPOTHESES!E$47,0)</f>
        <v>1496447</v>
      </c>
      <c r="I77" s="20" t="n">
        <v>0</v>
      </c>
      <c r="J77" s="20" t="n">
        <f aca="false">(D77-E77)+(F77-G77)-(H77-I77)</f>
        <v>0</v>
      </c>
    </row>
    <row r="78" customFormat="false" ht="15" hidden="false" customHeight="false" outlineLevel="0" collapsed="false">
      <c r="A78" s="33" t="n">
        <v>661100</v>
      </c>
      <c r="B78" s="12" t="s">
        <v>302</v>
      </c>
      <c r="C78" s="13" t="s">
        <v>303</v>
      </c>
      <c r="D78" s="20" t="n">
        <v>0</v>
      </c>
      <c r="E78" s="20" t="n">
        <v>0</v>
      </c>
      <c r="F78" s="20" t="n">
        <f aca="false">MAX(0,(H78-I78)-(D78-E78))</f>
        <v>66244380</v>
      </c>
      <c r="G78" s="20" t="n">
        <f aca="false">MAX(0,(D78-E78)-(H78-I78))</f>
        <v>0</v>
      </c>
      <c r="H78" s="15" t="n">
        <f aca="false">ROUND(HYPOTHESES!E$48-(H79+H80+H81+H82+H83),0)</f>
        <v>66244380</v>
      </c>
      <c r="I78" s="20" t="n">
        <v>0</v>
      </c>
      <c r="J78" s="20" t="n">
        <f aca="false">(D78-E78)+(F78-G78)-(H78-I78)</f>
        <v>0</v>
      </c>
    </row>
    <row r="79" customFormat="false" ht="15" hidden="false" customHeight="false" outlineLevel="0" collapsed="false">
      <c r="A79" s="33" t="n">
        <v>661200</v>
      </c>
      <c r="B79" s="12" t="s">
        <v>304</v>
      </c>
      <c r="C79" s="13" t="s">
        <v>303</v>
      </c>
      <c r="D79" s="20" t="n">
        <v>0</v>
      </c>
      <c r="E79" s="20" t="n">
        <v>0</v>
      </c>
      <c r="F79" s="20" t="n">
        <f aca="false">MAX(0,(H79-I79)-(D79-E79))</f>
        <v>22393945</v>
      </c>
      <c r="G79" s="20" t="n">
        <f aca="false">MAX(0,(D79-E79)-(H79-I79))</f>
        <v>0</v>
      </c>
      <c r="H79" s="15" t="n">
        <f aca="false">ROUND(IF(HYPOTHESES!$C$48=0,0,'BALANCE 2024'!$H$79*HYPOTHESES!E$48/HYPOTHESES!$C$48),0)</f>
        <v>22393945</v>
      </c>
      <c r="I79" s="20" t="n">
        <v>0</v>
      </c>
      <c r="J79" s="20" t="n">
        <f aca="false">(D79-E79)+(F79-G79)-(H79-I79)</f>
        <v>0</v>
      </c>
    </row>
    <row r="80" customFormat="false" ht="15" hidden="false" customHeight="false" outlineLevel="0" collapsed="false">
      <c r="A80" s="33" t="n">
        <v>661300</v>
      </c>
      <c r="B80" s="12" t="s">
        <v>305</v>
      </c>
      <c r="C80" s="13" t="s">
        <v>303</v>
      </c>
      <c r="D80" s="20" t="n">
        <v>0</v>
      </c>
      <c r="E80" s="20" t="n">
        <v>0</v>
      </c>
      <c r="F80" s="20" t="n">
        <f aca="false">MAX(0,(H80-I80)-(D80-E80))</f>
        <v>7388922</v>
      </c>
      <c r="G80" s="20" t="n">
        <f aca="false">MAX(0,(D80-E80)-(H80-I80))</f>
        <v>0</v>
      </c>
      <c r="H80" s="15" t="n">
        <f aca="false">ROUND(IF(HYPOTHESES!$C$48=0,0,'BALANCE 2024'!$H$80*HYPOTHESES!E$48/HYPOTHESES!$C$48),0)</f>
        <v>7388922</v>
      </c>
      <c r="I80" s="20" t="n">
        <v>0</v>
      </c>
      <c r="J80" s="20" t="n">
        <f aca="false">(D80-E80)+(F80-G80)-(H80-I80)</f>
        <v>0</v>
      </c>
    </row>
    <row r="81" customFormat="false" ht="15" hidden="false" customHeight="false" outlineLevel="0" collapsed="false">
      <c r="A81" s="33" t="n">
        <v>661400</v>
      </c>
      <c r="B81" s="12" t="s">
        <v>306</v>
      </c>
      <c r="C81" s="13" t="s">
        <v>303</v>
      </c>
      <c r="D81" s="20" t="n">
        <v>0</v>
      </c>
      <c r="E81" s="20" t="n">
        <v>0</v>
      </c>
      <c r="F81" s="20" t="n">
        <f aca="false">MAX(0,(H81-I81)-(D81-E81))</f>
        <v>7461856</v>
      </c>
      <c r="G81" s="20" t="n">
        <f aca="false">MAX(0,(D81-E81)-(H81-I81))</f>
        <v>0</v>
      </c>
      <c r="H81" s="15" t="n">
        <f aca="false">ROUND(IF(HYPOTHESES!$C$48=0,0,'BALANCE 2024'!$H$81*HYPOTHESES!E$48/HYPOTHESES!$C$48),0)</f>
        <v>7461856</v>
      </c>
      <c r="I81" s="20" t="n">
        <v>0</v>
      </c>
      <c r="J81" s="20" t="n">
        <f aca="false">(D81-E81)+(F81-G81)-(H81-I81)</f>
        <v>0</v>
      </c>
    </row>
    <row r="82" customFormat="false" ht="15" hidden="false" customHeight="false" outlineLevel="0" collapsed="false">
      <c r="A82" s="33" t="n">
        <v>663400</v>
      </c>
      <c r="B82" s="12" t="s">
        <v>307</v>
      </c>
      <c r="C82" s="13" t="s">
        <v>303</v>
      </c>
      <c r="D82" s="20" t="n">
        <v>0</v>
      </c>
      <c r="E82" s="20" t="n">
        <v>0</v>
      </c>
      <c r="F82" s="20" t="n">
        <f aca="false">MAX(0,(H82-I82)-(D82-E82))</f>
        <v>7728368</v>
      </c>
      <c r="G82" s="20" t="n">
        <f aca="false">MAX(0,(D82-E82)-(H82-I82))</f>
        <v>0</v>
      </c>
      <c r="H82" s="15" t="n">
        <f aca="false">ROUND(IF(HYPOTHESES!$C$48=0,0,'BALANCE 2024'!$H$82*HYPOTHESES!E$48/HYPOTHESES!$C$48),0)</f>
        <v>7728368</v>
      </c>
      <c r="I82" s="20" t="n">
        <v>0</v>
      </c>
      <c r="J82" s="20" t="n">
        <f aca="false">(D82-E82)+(F82-G82)-(H82-I82)</f>
        <v>0</v>
      </c>
    </row>
    <row r="83" customFormat="false" ht="15" hidden="false" customHeight="false" outlineLevel="0" collapsed="false">
      <c r="A83" s="33" t="n">
        <v>664104</v>
      </c>
      <c r="B83" s="12" t="s">
        <v>308</v>
      </c>
      <c r="C83" s="13" t="s">
        <v>303</v>
      </c>
      <c r="D83" s="20" t="n">
        <v>0</v>
      </c>
      <c r="E83" s="20" t="n">
        <v>0</v>
      </c>
      <c r="F83" s="20" t="n">
        <f aca="false">MAX(0,(H83-I83)-(D83-E83))</f>
        <v>7868177</v>
      </c>
      <c r="G83" s="20" t="n">
        <f aca="false">MAX(0,(D83-E83)-(H83-I83))</f>
        <v>0</v>
      </c>
      <c r="H83" s="15" t="n">
        <f aca="false">ROUND(IF(HYPOTHESES!$C$48=0,0,'BALANCE 2024'!$H$83*HYPOTHESES!E$48/HYPOTHESES!$C$48),0)</f>
        <v>7868177</v>
      </c>
      <c r="I83" s="20" t="n">
        <v>0</v>
      </c>
      <c r="J83" s="20" t="n">
        <f aca="false">(D83-E83)+(F83-G83)-(H83-I83)</f>
        <v>0</v>
      </c>
    </row>
    <row r="84" customFormat="false" ht="15" hidden="false" customHeight="false" outlineLevel="0" collapsed="false">
      <c r="A84" s="33" t="n">
        <v>671201</v>
      </c>
      <c r="B84" s="12" t="s">
        <v>309</v>
      </c>
      <c r="C84" s="13" t="s">
        <v>310</v>
      </c>
      <c r="D84" s="20" t="n">
        <v>0</v>
      </c>
      <c r="E84" s="20" t="n">
        <v>0</v>
      </c>
      <c r="F84" s="20" t="n">
        <f aca="false">MAX(0,(H84-I84)-(D84-E84))</f>
        <v>0</v>
      </c>
      <c r="G84" s="20" t="n">
        <f aca="false">MAX(0,(D84-E84)-(H84-I84))</f>
        <v>0</v>
      </c>
      <c r="H84" s="15" t="n">
        <f aca="false">ROUND('INVEST ET FINANCEMENT'!E$64,0)</f>
        <v>0</v>
      </c>
      <c r="I84" s="20" t="n">
        <v>0</v>
      </c>
      <c r="J84" s="20" t="n">
        <f aca="false">(D84-E84)+(F84-G84)-(H84-I84)</f>
        <v>0</v>
      </c>
    </row>
    <row r="85" customFormat="false" ht="15" hidden="false" customHeight="false" outlineLevel="0" collapsed="false">
      <c r="A85" s="33" t="n">
        <v>672301</v>
      </c>
      <c r="B85" s="12" t="s">
        <v>311</v>
      </c>
      <c r="C85" s="13" t="s">
        <v>310</v>
      </c>
      <c r="D85" s="20" t="n">
        <v>0</v>
      </c>
      <c r="E85" s="20" t="n">
        <v>0</v>
      </c>
      <c r="F85" s="20" t="n">
        <f aca="false">MAX(0,(H85-I85)-(D85-E85))</f>
        <v>0</v>
      </c>
      <c r="G85" s="20" t="n">
        <f aca="false">MAX(0,(D85-E85)-(H85-I85))</f>
        <v>0</v>
      </c>
      <c r="H85" s="15" t="n">
        <f aca="false">ROUND('INVEST ET FINANCEMENT'!E$65,0)</f>
        <v>0</v>
      </c>
      <c r="I85" s="20" t="n">
        <v>0</v>
      </c>
      <c r="J85" s="20" t="n">
        <f aca="false">(D85-E85)+(F85-G85)-(H85-I85)</f>
        <v>0</v>
      </c>
    </row>
    <row r="86" customFormat="false" ht="15" hidden="false" customHeight="false" outlineLevel="0" collapsed="false">
      <c r="A86" s="33" t="n">
        <v>681301</v>
      </c>
      <c r="B86" s="12" t="s">
        <v>312</v>
      </c>
      <c r="C86" s="13" t="s">
        <v>313</v>
      </c>
      <c r="D86" s="20" t="n">
        <v>0</v>
      </c>
      <c r="E86" s="20" t="n">
        <v>0</v>
      </c>
      <c r="F86" s="20" t="n">
        <f aca="false">MAX(0,(H86-I86)-(D86-E86))</f>
        <v>19282845</v>
      </c>
      <c r="G86" s="20" t="n">
        <f aca="false">MAX(0,(D86-E86)-(H86-I86))</f>
        <v>0</v>
      </c>
      <c r="H86" s="15" t="n">
        <f aca="false">ROUND('INVEST ET FINANCEMENT'!E$31,0)</f>
        <v>19282845</v>
      </c>
      <c r="I86" s="20" t="n">
        <v>0</v>
      </c>
      <c r="J86" s="20" t="n">
        <f aca="false">(D86-E86)+(F86-G86)-(H86-I86)</f>
        <v>0</v>
      </c>
    </row>
    <row r="87" customFormat="false" ht="15" hidden="false" customHeight="false" outlineLevel="0" collapsed="false">
      <c r="A87" s="33" t="n">
        <v>681302</v>
      </c>
      <c r="B87" s="12" t="s">
        <v>314</v>
      </c>
      <c r="C87" s="13" t="s">
        <v>313</v>
      </c>
      <c r="D87" s="20" t="n">
        <v>0</v>
      </c>
      <c r="E87" s="20" t="n">
        <v>0</v>
      </c>
      <c r="F87" s="20" t="n">
        <f aca="false">MAX(0,(H87-I87)-(D87-E87))</f>
        <v>50854932</v>
      </c>
      <c r="G87" s="20" t="n">
        <f aca="false">MAX(0,(D87-E87)-(H87-I87))</f>
        <v>0</v>
      </c>
      <c r="H87" s="15" t="n">
        <f aca="false">ROUND('INVEST ET FINANCEMENT'!E$34,0)</f>
        <v>50854932</v>
      </c>
      <c r="I87" s="20" t="n">
        <v>0</v>
      </c>
      <c r="J87" s="20" t="n">
        <f aca="false">(D87-E87)+(F87-G87)-(H87-I87)</f>
        <v>0</v>
      </c>
    </row>
    <row r="88" customFormat="false" ht="15" hidden="false" customHeight="false" outlineLevel="0" collapsed="false">
      <c r="A88" s="33" t="n">
        <v>681303</v>
      </c>
      <c r="B88" s="12" t="s">
        <v>315</v>
      </c>
      <c r="C88" s="13" t="s">
        <v>313</v>
      </c>
      <c r="D88" s="20" t="n">
        <v>0</v>
      </c>
      <c r="E88" s="20" t="n">
        <v>0</v>
      </c>
      <c r="F88" s="20" t="n">
        <f aca="false">MAX(0,(H88-I88)-(D88-E88))</f>
        <v>7609173</v>
      </c>
      <c r="G88" s="20" t="n">
        <f aca="false">MAX(0,(D88-E88)-(H88-I88))</f>
        <v>0</v>
      </c>
      <c r="H88" s="15" t="n">
        <f aca="false">ROUND('INVEST ET FINANCEMENT'!E$37,0)</f>
        <v>7609173</v>
      </c>
      <c r="I88" s="20" t="n">
        <v>0</v>
      </c>
      <c r="J88" s="20" t="n">
        <f aca="false">(D88-E88)+(F88-G88)-(H88-I88)</f>
        <v>0</v>
      </c>
    </row>
    <row r="89" customFormat="false" ht="15" hidden="false" customHeight="false" outlineLevel="0" collapsed="false">
      <c r="A89" s="33" t="n">
        <v>681304</v>
      </c>
      <c r="B89" s="12" t="s">
        <v>316</v>
      </c>
      <c r="C89" s="13" t="s">
        <v>313</v>
      </c>
      <c r="D89" s="20" t="n">
        <v>0</v>
      </c>
      <c r="E89" s="20" t="n">
        <v>0</v>
      </c>
      <c r="F89" s="20" t="n">
        <f aca="false">MAX(0,(H89-I89)-(D89-E89))</f>
        <v>15958378</v>
      </c>
      <c r="G89" s="20" t="n">
        <f aca="false">MAX(0,(D89-E89)-(H89-I89))</f>
        <v>0</v>
      </c>
      <c r="H89" s="15" t="n">
        <f aca="false">ROUND('INVEST ET FINANCEMENT'!E$40,0)</f>
        <v>15958378</v>
      </c>
      <c r="I89" s="20" t="n">
        <v>0</v>
      </c>
      <c r="J89" s="20" t="n">
        <f aca="false">(D89-E89)+(F89-G89)-(H89-I89)</f>
        <v>0</v>
      </c>
    </row>
    <row r="90" customFormat="false" ht="15" hidden="false" customHeight="false" outlineLevel="0" collapsed="false">
      <c r="A90" s="33" t="n">
        <v>691100</v>
      </c>
      <c r="B90" s="12" t="s">
        <v>317</v>
      </c>
      <c r="C90" s="13" t="s">
        <v>313</v>
      </c>
      <c r="D90" s="20" t="n">
        <v>0</v>
      </c>
      <c r="E90" s="20" t="n">
        <v>0</v>
      </c>
      <c r="F90" s="20" t="n">
        <f aca="false">MAX(0,(H90-I90)-(D90-E90))</f>
        <v>6059296</v>
      </c>
      <c r="G90" s="20" t="n">
        <f aca="false">MAX(0,(D90-E90)-(H90-I90))</f>
        <v>0</v>
      </c>
      <c r="H90" s="15" t="n">
        <f aca="false">ROUND(HYPOTHESES!E$50,0)</f>
        <v>6059296</v>
      </c>
      <c r="I90" s="20" t="n">
        <v>0</v>
      </c>
      <c r="J90" s="20" t="n">
        <f aca="false">(D90-E90)+(F90-G90)-(H90-I90)</f>
        <v>0</v>
      </c>
    </row>
    <row r="91" customFormat="false" ht="15" hidden="false" customHeight="false" outlineLevel="0" collapsed="false">
      <c r="A91" s="28" t="n">
        <v>705100</v>
      </c>
      <c r="B91" s="29" t="s">
        <v>318</v>
      </c>
      <c r="C91" s="30" t="s">
        <v>319</v>
      </c>
      <c r="D91" s="32" t="n">
        <v>0</v>
      </c>
      <c r="E91" s="32" t="n">
        <v>0</v>
      </c>
      <c r="F91" s="32" t="n">
        <f aca="false">MAX(0,(H91-I91)-(D91-E91))</f>
        <v>0</v>
      </c>
      <c r="G91" s="32" t="n">
        <f aca="false">MAX(0,(D91-E91)-(H91-I91))</f>
        <v>787603492</v>
      </c>
      <c r="H91" s="32" t="n">
        <v>0</v>
      </c>
      <c r="I91" s="37" t="n">
        <f aca="false">ROUND(HYPOTHESES!E$42,0)</f>
        <v>787603492</v>
      </c>
      <c r="J91" s="32" t="n">
        <f aca="false">(D91-E91)+(F91-G91)-(H91-I91)</f>
        <v>0</v>
      </c>
    </row>
    <row r="92" customFormat="false" ht="15" hidden="false" customHeight="false" outlineLevel="0" collapsed="false">
      <c r="A92" s="33" t="n">
        <v>771200</v>
      </c>
      <c r="B92" s="12" t="s">
        <v>320</v>
      </c>
      <c r="C92" s="13" t="s">
        <v>321</v>
      </c>
      <c r="D92" s="20" t="n">
        <v>0</v>
      </c>
      <c r="E92" s="20" t="n">
        <v>0</v>
      </c>
      <c r="F92" s="20" t="n">
        <f aca="false">MAX(0,(H92-I92)-(D92-E92))</f>
        <v>0</v>
      </c>
      <c r="G92" s="20" t="n">
        <f aca="false">MAX(0,(D92-E92)-(H92-I92))</f>
        <v>848594</v>
      </c>
      <c r="H92" s="20" t="n">
        <v>0</v>
      </c>
      <c r="I92" s="15" t="n">
        <f aca="false">ROUND(HYPOTHESES!E$51,0)</f>
        <v>848594</v>
      </c>
      <c r="J92" s="20" t="n">
        <f aca="false">(D92-E92)+(F92-G92)-(H92-I92)</f>
        <v>0</v>
      </c>
    </row>
    <row r="93" customFormat="false" ht="15" hidden="false" customHeight="false" outlineLevel="0" collapsed="false">
      <c r="A93" s="28" t="n">
        <v>891100</v>
      </c>
      <c r="B93" s="29" t="s">
        <v>322</v>
      </c>
      <c r="C93" s="30" t="s">
        <v>323</v>
      </c>
      <c r="D93" s="32" t="n">
        <v>0</v>
      </c>
      <c r="E93" s="32" t="n">
        <v>0</v>
      </c>
      <c r="F93" s="32" t="n">
        <f aca="false">MAX(0,(H93-I93)-(D93-E93))</f>
        <v>28670509</v>
      </c>
      <c r="G93" s="32" t="n">
        <f aca="false">MAX(0,(D93-E93)-(H93-I93))</f>
        <v>0</v>
      </c>
      <c r="H93" s="37" t="n">
        <f aca="false">ROUND(IF(HYPOTHESES!E$54&gt;=HYPOTHESES!E$55,HYPOTHESES!E$56,0),0)</f>
        <v>28670509</v>
      </c>
      <c r="I93" s="32" t="n">
        <v>0</v>
      </c>
      <c r="J93" s="32" t="n">
        <f aca="false">(D93-E93)+(F93-G93)-(H93-I93)</f>
        <v>0</v>
      </c>
    </row>
    <row r="94" customFormat="false" ht="15" hidden="false" customHeight="false" outlineLevel="0" collapsed="false">
      <c r="A94" s="33" t="n">
        <v>895000</v>
      </c>
      <c r="B94" s="12" t="s">
        <v>324</v>
      </c>
      <c r="C94" s="13" t="s">
        <v>323</v>
      </c>
      <c r="D94" s="20" t="n">
        <v>0</v>
      </c>
      <c r="E94" s="20" t="n">
        <v>0</v>
      </c>
      <c r="F94" s="20" t="n">
        <f aca="false">MAX(0,(H94-I94)-(D94-E94))</f>
        <v>0</v>
      </c>
      <c r="G94" s="20" t="n">
        <f aca="false">MAX(0,(D94-E94)-(H94-I94))</f>
        <v>0</v>
      </c>
      <c r="H94" s="15" t="n">
        <f aca="false">ROUND(IF(HYPOTHESES!E$54&lt;HYPOTHESES!E$55,HYPOTHESES!E$56,0),0)</f>
        <v>0</v>
      </c>
      <c r="I94" s="20" t="n">
        <v>0</v>
      </c>
      <c r="J94" s="20" t="n">
        <f aca="false">(D94-E94)+(F94-G94)-(H94-I94)</f>
        <v>0</v>
      </c>
    </row>
    <row r="96" customFormat="false" ht="15" hidden="false" customHeight="false" outlineLevel="0" collapsed="false">
      <c r="A96" s="34"/>
      <c r="B96" s="35" t="s">
        <v>325</v>
      </c>
      <c r="C96" s="34"/>
      <c r="D96" s="36" t="n">
        <f aca="false">SUM(D5:D94)</f>
        <v>1770812924</v>
      </c>
      <c r="E96" s="36" t="n">
        <f aca="false">SUM(E5:E94)</f>
        <v>1770812924</v>
      </c>
      <c r="F96" s="36" t="n">
        <f aca="false">SUM(F5:F94)</f>
        <v>3867023256</v>
      </c>
      <c r="G96" s="36" t="n">
        <f aca="false">SUM(G5:G94)</f>
        <v>3867023256</v>
      </c>
      <c r="H96" s="36" t="n">
        <f aca="false">SUM(H5:H94)</f>
        <v>2620463921</v>
      </c>
      <c r="I96" s="36" t="n">
        <f aca="false">SUM(I5:I94)</f>
        <v>2620463921</v>
      </c>
      <c r="J96" s="36" t="n">
        <f aca="false">SUM(J5:J94)</f>
        <v>0</v>
      </c>
    </row>
    <row r="97" customFormat="false" ht="15" hidden="false" customHeight="false" outlineLevel="0" collapsed="false">
      <c r="B97" s="4" t="s">
        <v>326</v>
      </c>
      <c r="D97" s="21" t="n">
        <f aca="false">D96-E96</f>
        <v>0</v>
      </c>
      <c r="F97" s="21" t="n">
        <f aca="false">F96-G96</f>
        <v>0</v>
      </c>
      <c r="H97" s="21" t="n">
        <f aca="false">H96-I96</f>
        <v>0</v>
      </c>
    </row>
    <row r="99" customFormat="false" ht="15" hidden="false" customHeight="false" outlineLevel="0" collapsed="false">
      <c r="B99" s="7" t="s">
        <v>329</v>
      </c>
      <c r="H99" s="20" t="n">
        <f aca="false">-(SUM(H5:H44)-SUM(I5:I44)+SUM(H47:H94)-SUM(I47:I94))</f>
        <v>225108073</v>
      </c>
    </row>
    <row r="100" customFormat="false" ht="15" hidden="false" customHeight="false" outlineLevel="0" collapsed="false">
      <c r="B100" s="7" t="s">
        <v>330</v>
      </c>
      <c r="H100" s="20" t="n">
        <f aca="false">ROUND((G26+HYPOTHESES!E$51+'INVEST ET FINANCEMENT'!E$47+'INVEST ET FINANCEMENT'!E$51+(D45-E45)+(D46-E46)-H99)/(1-HYPOTHESES!E$29*(1-HYPOTHESES!E$30)),0)</f>
        <v>819649576</v>
      </c>
    </row>
    <row r="101" customFormat="false" ht="15" hidden="false" customHeight="false" outlineLevel="0" collapsed="false">
      <c r="B101" s="7" t="s">
        <v>331</v>
      </c>
      <c r="H101" s="20" t="n">
        <f aca="false">ROUND(HYPOTHESES!E$29*H100,0)</f>
        <v>163929915</v>
      </c>
    </row>
  </sheetData>
  <mergeCells count="4">
    <mergeCell ref="A1:J1"/>
    <mergeCell ref="D3:E3"/>
    <mergeCell ref="F3:G3"/>
    <mergeCell ref="H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ignoredErrors>
    <ignoredError sqref="A1:Z400" formula="1" formulaRange="1" unlockedFormula="1" numberStoredAsText="1" emptyCellReferenc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J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6"/>
    <col collapsed="false" customWidth="true" hidden="false" outlineLevel="0" max="3" min="3" style="0" width="7"/>
    <col collapsed="false" customWidth="true" hidden="false" outlineLevel="0" max="9" min="4" style="0" width="15"/>
    <col collapsed="false" customWidth="true" hidden="false" outlineLevel="0" max="10" min="10" style="0" width="13"/>
  </cols>
  <sheetData>
    <row r="1" customFormat="false" ht="24" hidden="false" customHeight="true" outlineLevel="0" collapsed="false">
      <c r="A1" s="1" t="s">
        <v>333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328</v>
      </c>
    </row>
    <row r="3" customFormat="false" ht="15" hidden="false" customHeight="false" outlineLevel="0" collapsed="false">
      <c r="A3" s="25"/>
      <c r="B3" s="25"/>
      <c r="C3" s="25"/>
      <c r="D3" s="26" t="s">
        <v>196</v>
      </c>
      <c r="E3" s="26"/>
      <c r="F3" s="26" t="s">
        <v>197</v>
      </c>
      <c r="G3" s="26"/>
      <c r="H3" s="26" t="s">
        <v>198</v>
      </c>
      <c r="I3" s="26"/>
      <c r="J3" s="27" t="s">
        <v>199</v>
      </c>
    </row>
    <row r="4" customFormat="false" ht="15" hidden="false" customHeight="false" outlineLevel="0" collapsed="false">
      <c r="A4" s="8" t="s">
        <v>200</v>
      </c>
      <c r="B4" s="8" t="s">
        <v>201</v>
      </c>
      <c r="C4" s="8" t="s">
        <v>202</v>
      </c>
      <c r="D4" s="8" t="s">
        <v>203</v>
      </c>
      <c r="E4" s="8" t="s">
        <v>204</v>
      </c>
      <c r="F4" s="8" t="s">
        <v>203</v>
      </c>
      <c r="G4" s="8" t="s">
        <v>204</v>
      </c>
      <c r="H4" s="8" t="s">
        <v>203</v>
      </c>
      <c r="I4" s="8" t="s">
        <v>204</v>
      </c>
      <c r="J4" s="8" t="s">
        <v>205</v>
      </c>
    </row>
    <row r="5" customFormat="false" ht="15" hidden="false" customHeight="false" outlineLevel="0" collapsed="false">
      <c r="A5" s="28" t="n">
        <v>101000</v>
      </c>
      <c r="B5" s="29" t="s">
        <v>206</v>
      </c>
      <c r="C5" s="30" t="s">
        <v>207</v>
      </c>
      <c r="D5" s="37" t="n">
        <f aca="false">'BALANCE 2026'!H5</f>
        <v>0</v>
      </c>
      <c r="E5" s="37" t="n">
        <f aca="false">'BALANCE 2026'!I5</f>
        <v>10000000</v>
      </c>
      <c r="F5" s="37" t="n">
        <f aca="false">ROUND('INVEST ET FINANCEMENT'!F$51,0)+(H5-I5)-(D5-E5)</f>
        <v>0</v>
      </c>
      <c r="G5" s="37" t="n">
        <f aca="false">ROUND('INVEST ET FINANCEMENT'!F$51,0)</f>
        <v>0</v>
      </c>
      <c r="H5" s="32" t="n">
        <v>0</v>
      </c>
      <c r="I5" s="37" t="n">
        <f aca="false">ROUND(E5+'INVEST ET FINANCEMENT'!F$51,0)</f>
        <v>10000000</v>
      </c>
      <c r="J5" s="32" t="n">
        <f aca="false">(D5-E5)+(F5-G5)-(H5-I5)</f>
        <v>0</v>
      </c>
    </row>
    <row r="6" customFormat="false" ht="15" hidden="false" customHeight="false" outlineLevel="0" collapsed="false">
      <c r="A6" s="33" t="n">
        <v>111000</v>
      </c>
      <c r="B6" s="12" t="s">
        <v>208</v>
      </c>
      <c r="C6" s="13" t="s">
        <v>209</v>
      </c>
      <c r="D6" s="15" t="n">
        <f aca="false">'BALANCE 2026'!H6</f>
        <v>0</v>
      </c>
      <c r="E6" s="15" t="n">
        <f aca="false">'BALANCE 2026'!I6</f>
        <v>2000000</v>
      </c>
      <c r="F6" s="15" t="n">
        <f aca="false">ROUND(HYPOTHESES!F$58,0)+(H6-I6)-(D6-E6)</f>
        <v>0</v>
      </c>
      <c r="G6" s="15" t="n">
        <f aca="false">ROUND(HYPOTHESES!F$58,0)</f>
        <v>0</v>
      </c>
      <c r="H6" s="20" t="n">
        <v>0</v>
      </c>
      <c r="I6" s="15" t="n">
        <f aca="false">ROUND(E6+HYPOTHESES!F$58,0)</f>
        <v>2000000</v>
      </c>
      <c r="J6" s="20" t="n">
        <f aca="false">(D6-E6)+(F6-G6)-(H6-I6)</f>
        <v>0</v>
      </c>
    </row>
    <row r="7" customFormat="false" ht="15" hidden="false" customHeight="false" outlineLevel="0" collapsed="false">
      <c r="A7" s="33" t="n">
        <v>121000</v>
      </c>
      <c r="B7" s="12" t="s">
        <v>210</v>
      </c>
      <c r="C7" s="13" t="s">
        <v>211</v>
      </c>
      <c r="D7" s="15" t="n">
        <f aca="false">'BALANCE 2026'!H7</f>
        <v>0</v>
      </c>
      <c r="E7" s="15" t="n">
        <f aca="false">'BALANCE 2026'!I7</f>
        <v>937013596</v>
      </c>
      <c r="F7" s="20" t="n">
        <f aca="false">MAX(0,(H7-I7)-(D7-E7))</f>
        <v>0</v>
      </c>
      <c r="G7" s="20" t="n">
        <f aca="false">MAX(0,(D7-E7)-(H7-I7))</f>
        <v>86011527</v>
      </c>
      <c r="H7" s="15" t="n">
        <f aca="false">ROUND(MAX(0,-(E7-D7+HYPOTHESES!F$60)),0)</f>
        <v>0</v>
      </c>
      <c r="I7" s="15" t="n">
        <f aca="false">ROUND(MAX(0,(E7-D7+HYPOTHESES!F$60)),0)</f>
        <v>1023025123</v>
      </c>
      <c r="J7" s="20" t="n">
        <f aca="false">(D7-E7)+(F7-G7)-(H7-I7)</f>
        <v>0</v>
      </c>
    </row>
    <row r="8" customFormat="false" ht="15" hidden="false" customHeight="false" outlineLevel="0" collapsed="false">
      <c r="A8" s="33" t="n">
        <v>130100</v>
      </c>
      <c r="B8" s="12" t="s">
        <v>212</v>
      </c>
      <c r="C8" s="13" t="s">
        <v>213</v>
      </c>
      <c r="D8" s="15" t="n">
        <f aca="false">MAX(0,-(SUM('BALANCE 2026'!I48:I94)-SUM('BALANCE 2026'!H48:H94)))</f>
        <v>0</v>
      </c>
      <c r="E8" s="15" t="n">
        <f aca="false">MAX(0,(SUM('BALANCE 2026'!I48:I94)-SUM('BALANCE 2026'!H48:H94)))</f>
        <v>86011527</v>
      </c>
      <c r="F8" s="20" t="n">
        <f aca="false">MAX(0,(H8-I8)-(D8-E8))</f>
        <v>86011527</v>
      </c>
      <c r="G8" s="20" t="n">
        <f aca="false">MAX(0,(D8-E8)-(H8-I8))</f>
        <v>0</v>
      </c>
      <c r="H8" s="20" t="n">
        <v>0</v>
      </c>
      <c r="I8" s="20" t="n">
        <v>0</v>
      </c>
      <c r="J8" s="20" t="n">
        <f aca="false">(D8-E8)+(F8-G8)-(H8-I8)</f>
        <v>0</v>
      </c>
    </row>
    <row r="9" customFormat="false" ht="15" hidden="false" customHeight="false" outlineLevel="0" collapsed="false">
      <c r="A9" s="33" t="n">
        <v>162002</v>
      </c>
      <c r="B9" s="12" t="s">
        <v>214</v>
      </c>
      <c r="C9" s="13" t="s">
        <v>172</v>
      </c>
      <c r="D9" s="15" t="n">
        <f aca="false">'BALANCE 2026'!H9</f>
        <v>0</v>
      </c>
      <c r="E9" s="15" t="n">
        <f aca="false">'BALANCE 2026'!I9</f>
        <v>0</v>
      </c>
      <c r="F9" s="15" t="n">
        <f aca="false">ROUND('INVEST ET FINANCEMENT'!F$47,0)+(H9-I9)-(D9-E9)</f>
        <v>0</v>
      </c>
      <c r="G9" s="15" t="n">
        <f aca="false">ROUND('INVEST ET FINANCEMENT'!F$47,0)</f>
        <v>0</v>
      </c>
      <c r="H9" s="20" t="n">
        <v>0</v>
      </c>
      <c r="I9" s="15" t="n">
        <f aca="false">ROUND(E9+'INVEST ET FINANCEMENT'!F$47-'INVEST ET FINANCEMENT'!F$48,0)</f>
        <v>0</v>
      </c>
      <c r="J9" s="20" t="n">
        <f aca="false">(D9-E9)+(F9-G9)-(H9-I9)</f>
        <v>0</v>
      </c>
    </row>
    <row r="10" customFormat="false" ht="15" hidden="false" customHeight="false" outlineLevel="0" collapsed="false">
      <c r="A10" s="33" t="n">
        <v>173060</v>
      </c>
      <c r="B10" s="12" t="s">
        <v>215</v>
      </c>
      <c r="C10" s="13" t="s">
        <v>175</v>
      </c>
      <c r="D10" s="15" t="n">
        <f aca="false">'BALANCE 2026'!H10</f>
        <v>0</v>
      </c>
      <c r="E10" s="15" t="n">
        <f aca="false">'BALANCE 2026'!I10</f>
        <v>0</v>
      </c>
      <c r="F10" s="15" t="n">
        <f aca="false">ROUND('INVEST ET FINANCEMENT'!F$49,0)</f>
        <v>0</v>
      </c>
      <c r="G10" s="15" t="n">
        <f aca="false">ROUND('INVEST ET FINANCEMENT'!F$49,0)+(D10-E10)-(H10-I10)</f>
        <v>0</v>
      </c>
      <c r="H10" s="20" t="n">
        <v>0</v>
      </c>
      <c r="I10" s="15" t="n">
        <f aca="false">ROUND(E10-'INVEST ET FINANCEMENT'!F$49,0)</f>
        <v>0</v>
      </c>
      <c r="J10" s="20" t="n">
        <f aca="false">(D10-E10)+(F10-G10)-(H10-I10)</f>
        <v>0</v>
      </c>
    </row>
    <row r="11" customFormat="false" ht="15" hidden="false" customHeight="false" outlineLevel="0" collapsed="false">
      <c r="A11" s="33" t="n">
        <v>196100</v>
      </c>
      <c r="B11" s="12" t="s">
        <v>216</v>
      </c>
      <c r="C11" s="13" t="s">
        <v>217</v>
      </c>
      <c r="D11" s="15" t="n">
        <f aca="false">'BALANCE 2026'!H11</f>
        <v>0</v>
      </c>
      <c r="E11" s="15" t="n">
        <f aca="false">'BALANCE 2026'!I11</f>
        <v>33392488</v>
      </c>
      <c r="F11" s="15" t="n">
        <f aca="false">ROUND(HYPOTHESES!F$20,0)+(H11-I11)-(D11-E11)</f>
        <v>0</v>
      </c>
      <c r="G11" s="15" t="n">
        <f aca="false">ROUND(HYPOTHESES!F$20,0)</f>
        <v>6059296</v>
      </c>
      <c r="H11" s="20" t="n">
        <v>0</v>
      </c>
      <c r="I11" s="15" t="n">
        <f aca="false">ROUND(E11+HYPOTHESES!F$20,0)</f>
        <v>39451784</v>
      </c>
      <c r="J11" s="20" t="n">
        <f aca="false">(D11-E11)+(F11-G11)-(H11-I11)</f>
        <v>0</v>
      </c>
    </row>
    <row r="12" customFormat="false" ht="15" hidden="false" customHeight="false" outlineLevel="0" collapsed="false">
      <c r="A12" s="28" t="n">
        <v>234100</v>
      </c>
      <c r="B12" s="29" t="s">
        <v>218</v>
      </c>
      <c r="C12" s="30" t="s">
        <v>219</v>
      </c>
      <c r="D12" s="37" t="n">
        <f aca="false">'BALANCE 2026'!H12</f>
        <v>103601492</v>
      </c>
      <c r="E12" s="37" t="n">
        <f aca="false">'BALANCE 2026'!I12</f>
        <v>0</v>
      </c>
      <c r="F12" s="37" t="n">
        <f aca="false">ROUND('INVEST ET FINANCEMENT'!F$9,0)</f>
        <v>0</v>
      </c>
      <c r="G12" s="37" t="n">
        <f aca="false">ROUND('INVEST ET FINANCEMENT'!F$9,0)+(D12-E12)-(H12-I12)</f>
        <v>0</v>
      </c>
      <c r="H12" s="37" t="n">
        <f aca="false">ROUND(D12+'INVEST ET FINANCEMENT'!F$9,0)</f>
        <v>103601492</v>
      </c>
      <c r="I12" s="32" t="n">
        <v>0</v>
      </c>
      <c r="J12" s="32" t="n">
        <f aca="false">(D12-E12)+(F12-G12)-(H12-I12)</f>
        <v>0</v>
      </c>
    </row>
    <row r="13" customFormat="false" ht="15" hidden="false" customHeight="false" outlineLevel="0" collapsed="false">
      <c r="A13" s="33" t="n">
        <v>241100</v>
      </c>
      <c r="B13" s="12" t="s">
        <v>220</v>
      </c>
      <c r="C13" s="13" t="s">
        <v>221</v>
      </c>
      <c r="D13" s="15" t="n">
        <f aca="false">'BALANCE 2026'!H13</f>
        <v>343845268</v>
      </c>
      <c r="E13" s="15" t="n">
        <f aca="false">'BALANCE 2026'!I13</f>
        <v>0</v>
      </c>
      <c r="F13" s="15" t="n">
        <f aca="false">ROUND('INVEST ET FINANCEMENT'!F$10,0)</f>
        <v>30000000</v>
      </c>
      <c r="G13" s="15" t="n">
        <f aca="false">ROUND('INVEST ET FINANCEMENT'!F$10,0)+(D13-E13)-(H13-I13)</f>
        <v>0</v>
      </c>
      <c r="H13" s="15" t="n">
        <f aca="false">ROUND(D13+'INVEST ET FINANCEMENT'!F$10,0)</f>
        <v>373845268</v>
      </c>
      <c r="I13" s="20" t="n">
        <v>0</v>
      </c>
      <c r="J13" s="20" t="n">
        <f aca="false">(D13-E13)+(F13-G13)-(H13-I13)</f>
        <v>0</v>
      </c>
    </row>
    <row r="14" customFormat="false" ht="15" hidden="false" customHeight="false" outlineLevel="0" collapsed="false">
      <c r="A14" s="33" t="n">
        <v>244100</v>
      </c>
      <c r="B14" s="12" t="s">
        <v>222</v>
      </c>
      <c r="C14" s="13" t="s">
        <v>221</v>
      </c>
      <c r="D14" s="15" t="n">
        <f aca="false">'BALANCE 2026'!H14</f>
        <v>9306956</v>
      </c>
      <c r="E14" s="15" t="n">
        <f aca="false">'BALANCE 2026'!I14</f>
        <v>0</v>
      </c>
      <c r="F14" s="20" t="n">
        <f aca="false">MAX(0,(H14-I14)-(D14-E14))</f>
        <v>0</v>
      </c>
      <c r="G14" s="20" t="n">
        <f aca="false">MAX(0,(D14-E14)-(H14-I14))</f>
        <v>0</v>
      </c>
      <c r="H14" s="20" t="n">
        <f aca="false">ROUND(D14,0)</f>
        <v>9306956</v>
      </c>
      <c r="I14" s="20" t="n">
        <v>0</v>
      </c>
      <c r="J14" s="20" t="n">
        <f aca="false">(D14-E14)+(F14-G14)-(H14-I14)</f>
        <v>0</v>
      </c>
    </row>
    <row r="15" customFormat="false" ht="15" hidden="false" customHeight="false" outlineLevel="0" collapsed="false">
      <c r="A15" s="33" t="n">
        <v>244200</v>
      </c>
      <c r="B15" s="12" t="s">
        <v>223</v>
      </c>
      <c r="C15" s="13" t="s">
        <v>221</v>
      </c>
      <c r="D15" s="15" t="n">
        <f aca="false">'BALANCE 2026'!H15</f>
        <v>18910459</v>
      </c>
      <c r="E15" s="15" t="n">
        <f aca="false">'BALANCE 2026'!I15</f>
        <v>0</v>
      </c>
      <c r="F15" s="15" t="n">
        <f aca="false">ROUND('INVEST ET FINANCEMENT'!F$11,0)</f>
        <v>5000000</v>
      </c>
      <c r="G15" s="15" t="n">
        <f aca="false">ROUND('INVEST ET FINANCEMENT'!F$11,0)+(D15-E15)-(H15-I15)</f>
        <v>0</v>
      </c>
      <c r="H15" s="15" t="n">
        <f aca="false">ROUND(D15+'INVEST ET FINANCEMENT'!F$11,0)</f>
        <v>23910459</v>
      </c>
      <c r="I15" s="20" t="n">
        <v>0</v>
      </c>
      <c r="J15" s="20" t="n">
        <f aca="false">(D15-E15)+(F15-G15)-(H15-I15)</f>
        <v>0</v>
      </c>
    </row>
    <row r="16" customFormat="false" ht="15" hidden="false" customHeight="false" outlineLevel="0" collapsed="false">
      <c r="A16" s="33" t="n">
        <v>245100</v>
      </c>
      <c r="B16" s="12" t="s">
        <v>224</v>
      </c>
      <c r="C16" s="13" t="s">
        <v>225</v>
      </c>
      <c r="D16" s="15" t="n">
        <f aca="false">'BALANCE 2026'!H16</f>
        <v>423638205</v>
      </c>
      <c r="E16" s="15" t="n">
        <f aca="false">'BALANCE 2026'!I16</f>
        <v>0</v>
      </c>
      <c r="F16" s="15" t="n">
        <f aca="false">ROUND('INVEST ET FINANCEMENT'!F$12,0)</f>
        <v>0</v>
      </c>
      <c r="G16" s="15" t="n">
        <f aca="false">ROUND('INVEST ET FINANCEMENT'!F$12,0)+(D16-E16)-(H16-I16)</f>
        <v>0</v>
      </c>
      <c r="H16" s="15" t="n">
        <f aca="false">ROUND(D16+'INVEST ET FINANCEMENT'!F$12,0)</f>
        <v>423638205</v>
      </c>
      <c r="I16" s="20" t="n">
        <v>0</v>
      </c>
      <c r="J16" s="20" t="n">
        <f aca="false">(D16-E16)+(F16-G16)-(H16-I16)</f>
        <v>0</v>
      </c>
    </row>
    <row r="17" customFormat="false" ht="15" hidden="false" customHeight="false" outlineLevel="0" collapsed="false">
      <c r="A17" s="33" t="n">
        <v>245600</v>
      </c>
      <c r="B17" s="12" t="s">
        <v>226</v>
      </c>
      <c r="C17" s="13" t="s">
        <v>225</v>
      </c>
      <c r="D17" s="15" t="n">
        <f aca="false">'BALANCE 2026'!H17</f>
        <v>28619694</v>
      </c>
      <c r="E17" s="15" t="n">
        <f aca="false">'BALANCE 2026'!I17</f>
        <v>0</v>
      </c>
      <c r="F17" s="20" t="n">
        <f aca="false">MAX(0,(H17-I17)-(D17-E17))</f>
        <v>0</v>
      </c>
      <c r="G17" s="20" t="n">
        <f aca="false">MAX(0,(D17-E17)-(H17-I17))</f>
        <v>0</v>
      </c>
      <c r="H17" s="20" t="n">
        <f aca="false">ROUND(D17,0)</f>
        <v>28619694</v>
      </c>
      <c r="I17" s="20" t="n">
        <v>0</v>
      </c>
      <c r="J17" s="20" t="n">
        <f aca="false">(D17-E17)+(F17-G17)-(H17-I17)</f>
        <v>0</v>
      </c>
    </row>
    <row r="18" customFormat="false" ht="15" hidden="false" customHeight="false" outlineLevel="0" collapsed="false">
      <c r="A18" s="33" t="n">
        <v>271800</v>
      </c>
      <c r="B18" s="12" t="s">
        <v>227</v>
      </c>
      <c r="C18" s="13" t="s">
        <v>228</v>
      </c>
      <c r="D18" s="15" t="n">
        <f aca="false">'BALANCE 2026'!H18</f>
        <v>25000000</v>
      </c>
      <c r="E18" s="15" t="n">
        <f aca="false">'BALANCE 2026'!I18</f>
        <v>0</v>
      </c>
      <c r="F18" s="20" t="n">
        <f aca="false">MAX(0,(H18-I18)-(D18-E18))</f>
        <v>0</v>
      </c>
      <c r="G18" s="20" t="n">
        <f aca="false">MAX(0,(D18-E18)-(H18-I18))</f>
        <v>0</v>
      </c>
      <c r="H18" s="20" t="n">
        <f aca="false">ROUND(D18,0)</f>
        <v>25000000</v>
      </c>
      <c r="I18" s="20" t="n">
        <v>0</v>
      </c>
      <c r="J18" s="20" t="n">
        <f aca="false">(D18-E18)+(F18-G18)-(H18-I18)</f>
        <v>0</v>
      </c>
    </row>
    <row r="19" customFormat="false" ht="15" hidden="false" customHeight="false" outlineLevel="0" collapsed="false">
      <c r="A19" s="33" t="n">
        <v>275100</v>
      </c>
      <c r="B19" s="12" t="s">
        <v>229</v>
      </c>
      <c r="C19" s="13" t="s">
        <v>228</v>
      </c>
      <c r="D19" s="15" t="n">
        <f aca="false">'BALANCE 2026'!H19</f>
        <v>231420138</v>
      </c>
      <c r="E19" s="15" t="n">
        <f aca="false">'BALANCE 2026'!I19</f>
        <v>0</v>
      </c>
      <c r="F19" s="15" t="n">
        <f aca="false">ROUND('INVEST ET FINANCEMENT'!F$13,0)</f>
        <v>0</v>
      </c>
      <c r="G19" s="15" t="n">
        <f aca="false">ROUND('INVEST ET FINANCEMENT'!F$13,0)+(D19-E19)-(H19-I19)</f>
        <v>0</v>
      </c>
      <c r="H19" s="15" t="n">
        <f aca="false">ROUND(D19+'INVEST ET FINANCEMENT'!F$13,0)</f>
        <v>231420138</v>
      </c>
      <c r="I19" s="20" t="n">
        <v>0</v>
      </c>
      <c r="J19" s="20" t="n">
        <f aca="false">(D19-E19)+(F19-G19)-(H19-I19)</f>
        <v>0</v>
      </c>
    </row>
    <row r="20" customFormat="false" ht="15" hidden="false" customHeight="false" outlineLevel="0" collapsed="false">
      <c r="A20" s="33" t="n">
        <v>283400</v>
      </c>
      <c r="B20" s="12" t="s">
        <v>230</v>
      </c>
      <c r="C20" s="13" t="s">
        <v>219</v>
      </c>
      <c r="D20" s="15" t="n">
        <f aca="false">'BALANCE 2026'!H20</f>
        <v>0</v>
      </c>
      <c r="E20" s="15" t="n">
        <f aca="false">'BALANCE 2026'!I20</f>
        <v>80502166</v>
      </c>
      <c r="F20" s="15" t="n">
        <f aca="false">ROUND('INVEST ET FINANCEMENT'!F$31,0)+(H20-I20)-(D20-E20)</f>
        <v>0</v>
      </c>
      <c r="G20" s="15" t="n">
        <f aca="false">ROUND('INVEST ET FINANCEMENT'!F$31,0)</f>
        <v>19282845</v>
      </c>
      <c r="H20" s="20" t="n">
        <v>0</v>
      </c>
      <c r="I20" s="15" t="n">
        <f aca="false">ROUND(E20+'INVEST ET FINANCEMENT'!F$31,0)</f>
        <v>99785011</v>
      </c>
      <c r="J20" s="20" t="n">
        <f aca="false">(D20-E20)+(F20-G20)-(H20-I20)</f>
        <v>0</v>
      </c>
    </row>
    <row r="21" customFormat="false" ht="15" hidden="false" customHeight="false" outlineLevel="0" collapsed="false">
      <c r="A21" s="33" t="n">
        <v>284100</v>
      </c>
      <c r="B21" s="12" t="s">
        <v>231</v>
      </c>
      <c r="C21" s="13" t="s">
        <v>221</v>
      </c>
      <c r="D21" s="15" t="n">
        <f aca="false">'BALANCE 2026'!H21</f>
        <v>0</v>
      </c>
      <c r="E21" s="15" t="n">
        <f aca="false">'BALANCE 2026'!I21</f>
        <v>135043749</v>
      </c>
      <c r="F21" s="15" t="n">
        <f aca="false">ROUND('INVEST ET FINANCEMENT'!F$34,0)+(H21-I21)-(D21-E21)</f>
        <v>0</v>
      </c>
      <c r="G21" s="15" t="n">
        <f aca="false">ROUND('INVEST ET FINANCEMENT'!F$34,0)</f>
        <v>56854932</v>
      </c>
      <c r="H21" s="20" t="n">
        <v>0</v>
      </c>
      <c r="I21" s="15" t="n">
        <f aca="false">ROUND(E21+'INVEST ET FINANCEMENT'!F$34,0)</f>
        <v>191898681</v>
      </c>
      <c r="J21" s="20" t="n">
        <f aca="false">(D21-E21)+(F21-G21)-(H21-I21)</f>
        <v>0</v>
      </c>
    </row>
    <row r="22" customFormat="false" ht="15" hidden="false" customHeight="false" outlineLevel="0" collapsed="false">
      <c r="A22" s="33" t="n">
        <v>284400</v>
      </c>
      <c r="B22" s="12" t="s">
        <v>232</v>
      </c>
      <c r="C22" s="13" t="s">
        <v>221</v>
      </c>
      <c r="D22" s="15" t="n">
        <f aca="false">'BALANCE 2026'!H22</f>
        <v>0</v>
      </c>
      <c r="E22" s="15" t="n">
        <f aca="false">'BALANCE 2026'!I22</f>
        <v>25717415</v>
      </c>
      <c r="F22" s="15" t="n">
        <f aca="false">ROUND('INVEST ET FINANCEMENT'!F$37,0)+(H22-I22)-(D22-E22)</f>
        <v>0</v>
      </c>
      <c r="G22" s="15" t="n">
        <f aca="false">ROUND('INVEST ET FINANCEMENT'!F$37,0)</f>
        <v>5000000</v>
      </c>
      <c r="H22" s="20" t="n">
        <v>0</v>
      </c>
      <c r="I22" s="15" t="n">
        <f aca="false">ROUND(E22+'INVEST ET FINANCEMENT'!F$37,0)</f>
        <v>30717415</v>
      </c>
      <c r="J22" s="20" t="n">
        <f aca="false">(D22-E22)+(F22-G22)-(H22-I22)</f>
        <v>0</v>
      </c>
    </row>
    <row r="23" customFormat="false" ht="15" hidden="false" customHeight="false" outlineLevel="0" collapsed="false">
      <c r="A23" s="33" t="n">
        <v>284500</v>
      </c>
      <c r="B23" s="12" t="s">
        <v>233</v>
      </c>
      <c r="C23" s="13" t="s">
        <v>225</v>
      </c>
      <c r="D23" s="15" t="n">
        <f aca="false">'BALANCE 2026'!H23</f>
        <v>0</v>
      </c>
      <c r="E23" s="15" t="n">
        <f aca="false">'BALANCE 2026'!I23</f>
        <v>397825832</v>
      </c>
      <c r="F23" s="15" t="n">
        <f aca="false">ROUND('INVEST ET FINANCEMENT'!F$40,0)+(H23-I23)-(D23-E23)</f>
        <v>0</v>
      </c>
      <c r="G23" s="15" t="n">
        <f aca="false">ROUND('INVEST ET FINANCEMENT'!F$40,0)</f>
        <v>15958378</v>
      </c>
      <c r="H23" s="20" t="n">
        <v>0</v>
      </c>
      <c r="I23" s="15" t="n">
        <f aca="false">ROUND(E23+'INVEST ET FINANCEMENT'!F$40,0)</f>
        <v>413784210</v>
      </c>
      <c r="J23" s="20" t="n">
        <f aca="false">(D23-E23)+(F23-G23)-(H23-I23)</f>
        <v>0</v>
      </c>
    </row>
    <row r="24" customFormat="false" ht="15" hidden="false" customHeight="false" outlineLevel="0" collapsed="false">
      <c r="A24" s="28" t="n">
        <v>401100</v>
      </c>
      <c r="B24" s="29" t="s">
        <v>234</v>
      </c>
      <c r="C24" s="30" t="s">
        <v>235</v>
      </c>
      <c r="D24" s="37" t="n">
        <f aca="false">'BALANCE 2026'!H24</f>
        <v>0</v>
      </c>
      <c r="E24" s="37" t="n">
        <f aca="false">'BALANCE 2026'!I24</f>
        <v>81595000</v>
      </c>
      <c r="F24" s="37" t="n">
        <f aca="false">ROUND(HYPOTHESES!F$49*(1+HYPOTHESES!F$10),0)+(H24-I24)-(D24-E24)</f>
        <v>537023933</v>
      </c>
      <c r="G24" s="37" t="n">
        <f aca="false">ROUND(HYPOTHESES!F$49*(1+HYPOTHESES!F$10),0)</f>
        <v>541103683</v>
      </c>
      <c r="H24" s="32" t="n">
        <v>0</v>
      </c>
      <c r="I24" s="37" t="n">
        <f aca="false">ROUND(HYPOTHESES!F$49*(1+HYPOTHESES!F$10)*HYPOTHESES!F$23/360,0)</f>
        <v>85674750</v>
      </c>
      <c r="J24" s="32" t="n">
        <f aca="false">(D24-E24)+(F24-G24)-(H24-I24)</f>
        <v>0</v>
      </c>
    </row>
    <row r="25" customFormat="false" ht="15" hidden="false" customHeight="false" outlineLevel="0" collapsed="false">
      <c r="A25" s="33" t="n">
        <v>409100</v>
      </c>
      <c r="B25" s="12" t="s">
        <v>236</v>
      </c>
      <c r="C25" s="13" t="s">
        <v>237</v>
      </c>
      <c r="D25" s="15" t="n">
        <f aca="false">'BALANCE 2026'!H25</f>
        <v>0</v>
      </c>
      <c r="E25" s="15" t="n">
        <f aca="false">'BALANCE 2026'!I25</f>
        <v>0</v>
      </c>
      <c r="F25" s="20" t="n">
        <f aca="false">MAX(0,(H25-I25)-(D25-E25))</f>
        <v>0</v>
      </c>
      <c r="G25" s="20" t="n">
        <f aca="false">MAX(0,(D25-E25)-(H25-I25))</f>
        <v>0</v>
      </c>
      <c r="H25" s="20" t="n">
        <f aca="false">ROUND(D25,0)</f>
        <v>0</v>
      </c>
      <c r="I25" s="20" t="n">
        <f aca="false">ROUND(E25,0)</f>
        <v>0</v>
      </c>
      <c r="J25" s="20" t="n">
        <f aca="false">(D25-E25)+(F25-G25)-(H25-I25)</f>
        <v>0</v>
      </c>
    </row>
    <row r="26" customFormat="false" ht="15" hidden="false" customHeight="false" outlineLevel="0" collapsed="false">
      <c r="A26" s="33" t="n">
        <v>411100</v>
      </c>
      <c r="B26" s="12" t="s">
        <v>238</v>
      </c>
      <c r="C26" s="13" t="s">
        <v>239</v>
      </c>
      <c r="D26" s="15" t="n">
        <f aca="false">'BALANCE 2026'!H26</f>
        <v>508573077</v>
      </c>
      <c r="E26" s="15" t="n">
        <f aca="false">'BALANCE 2026'!I26</f>
        <v>0</v>
      </c>
      <c r="F26" s="15" t="n">
        <f aca="false">ROUND(HYPOTHESES!F$42*(1+HYPOTHESES!F$10),0)</f>
        <v>975840727</v>
      </c>
      <c r="G26" s="15" t="n">
        <f aca="false">ROUND(HYPOTHESES!F$42*(1+HYPOTHESES!F$10),0)+(D26-E26)-(H26-I26)</f>
        <v>950412073</v>
      </c>
      <c r="H26" s="15" t="n">
        <f aca="false">ROUND(HYPOTHESES!F$42*(1+HYPOTHESES!F$10)*HYPOTHESES!F$22/360,0)</f>
        <v>534001731</v>
      </c>
      <c r="I26" s="20" t="n">
        <v>0</v>
      </c>
      <c r="J26" s="20" t="n">
        <f aca="false">(D26-E26)+(F26-G26)-(H26-I26)</f>
        <v>0</v>
      </c>
    </row>
    <row r="27" customFormat="false" ht="15" hidden="false" customHeight="false" outlineLevel="0" collapsed="false">
      <c r="A27" s="33" t="n">
        <v>422000</v>
      </c>
      <c r="B27" s="12" t="s">
        <v>240</v>
      </c>
      <c r="C27" s="13" t="s">
        <v>241</v>
      </c>
      <c r="D27" s="15" t="n">
        <f aca="false">'BALANCE 2026'!H27</f>
        <v>0</v>
      </c>
      <c r="E27" s="15" t="n">
        <f aca="false">'BALANCE 2026'!I27</f>
        <v>12520695</v>
      </c>
      <c r="F27" s="15" t="n">
        <f aca="false">ROUND(IF(HYPOTHESES!$C$48=0,0,'BALANCE 2024'!$G$27*HYPOTHESES!F$48/HYPOTHESES!$C$48),0)+(H27-I27)-(D27-E27)</f>
        <v>95221295</v>
      </c>
      <c r="G27" s="15" t="n">
        <f aca="false">ROUND(IF(HYPOTHESES!$C$48=0,0,'BALANCE 2024'!$G$27*HYPOTHESES!F$48/HYPOTHESES!$C$48),0)</f>
        <v>95847329</v>
      </c>
      <c r="H27" s="20" t="n">
        <v>0</v>
      </c>
      <c r="I27" s="15" t="n">
        <f aca="false">ROUND(IF(HYPOTHESES!$C$48=0,0,'BALANCE 2024'!$I$27*HYPOTHESES!F$48/HYPOTHESES!$C$48),0)</f>
        <v>13146729</v>
      </c>
      <c r="J27" s="20" t="n">
        <f aca="false">(D27-E27)+(F27-G27)-(H27-I27)</f>
        <v>0</v>
      </c>
    </row>
    <row r="28" customFormat="false" ht="15" hidden="false" customHeight="false" outlineLevel="0" collapsed="false">
      <c r="A28" s="33" t="n">
        <v>431301</v>
      </c>
      <c r="B28" s="12" t="s">
        <v>242</v>
      </c>
      <c r="C28" s="13" t="s">
        <v>241</v>
      </c>
      <c r="D28" s="15" t="n">
        <f aca="false">'BALANCE 2026'!H28</f>
        <v>0</v>
      </c>
      <c r="E28" s="15" t="n">
        <f aca="false">'BALANCE 2026'!I28</f>
        <v>5457951</v>
      </c>
      <c r="F28" s="15" t="n">
        <f aca="false">ROUND(IF(HYPOTHESES!$C$48=0,0,'BALANCE 2024'!$G$28*HYPOTHESES!F$48/HYPOTHESES!$C$48),0)+(H28-I28)-(D28-E28)</f>
        <v>7988688</v>
      </c>
      <c r="G28" s="15" t="n">
        <f aca="false">ROUND(IF(HYPOTHESES!$C$48=0,0,'BALANCE 2024'!$G$28*HYPOTHESES!F$48/HYPOTHESES!$C$48),0)</f>
        <v>8261585</v>
      </c>
      <c r="H28" s="20" t="n">
        <v>0</v>
      </c>
      <c r="I28" s="15" t="n">
        <f aca="false">ROUND(IF(HYPOTHESES!$C$48=0,0,'BALANCE 2024'!$I$28*HYPOTHESES!F$48/HYPOTHESES!$C$48),0)</f>
        <v>5730848</v>
      </c>
      <c r="J28" s="20" t="n">
        <f aca="false">(D28-E28)+(F28-G28)-(H28-I28)</f>
        <v>0</v>
      </c>
    </row>
    <row r="29" customFormat="false" ht="15" hidden="false" customHeight="false" outlineLevel="0" collapsed="false">
      <c r="A29" s="33" t="n">
        <v>431302</v>
      </c>
      <c r="B29" s="12" t="s">
        <v>243</v>
      </c>
      <c r="C29" s="13" t="s">
        <v>241</v>
      </c>
      <c r="D29" s="15" t="n">
        <f aca="false">'BALANCE 2026'!H29</f>
        <v>0</v>
      </c>
      <c r="E29" s="15" t="n">
        <f aca="false">'BALANCE 2026'!I29</f>
        <v>1350516</v>
      </c>
      <c r="F29" s="15" t="n">
        <f aca="false">ROUND(IF(HYPOTHESES!$C$48=0,0,'BALANCE 2024'!$G$29*HYPOTHESES!F$48/HYPOTHESES!$C$48),0)+(H29-I29)-(D29-E29)</f>
        <v>13446969</v>
      </c>
      <c r="G29" s="15" t="n">
        <f aca="false">ROUND(IF(HYPOTHESES!$C$48=0,0,'BALANCE 2024'!$G$29*HYPOTHESES!F$48/HYPOTHESES!$C$48),0)</f>
        <v>13514495</v>
      </c>
      <c r="H29" s="20" t="n">
        <v>0</v>
      </c>
      <c r="I29" s="15" t="n">
        <f aca="false">ROUND(IF(HYPOTHESES!$C$48=0,0,'BALANCE 2024'!$I$29*HYPOTHESES!F$48/HYPOTHESES!$C$48),0)</f>
        <v>1418042</v>
      </c>
      <c r="J29" s="20" t="n">
        <f aca="false">(D29-E29)+(F29-G29)-(H29-I29)</f>
        <v>0</v>
      </c>
    </row>
    <row r="30" customFormat="false" ht="15" hidden="false" customHeight="false" outlineLevel="0" collapsed="false">
      <c r="A30" s="33" t="n">
        <v>431802</v>
      </c>
      <c r="B30" s="12" t="s">
        <v>244</v>
      </c>
      <c r="C30" s="13" t="s">
        <v>241</v>
      </c>
      <c r="D30" s="15" t="n">
        <f aca="false">'BALANCE 2026'!H30</f>
        <v>0</v>
      </c>
      <c r="E30" s="15" t="n">
        <f aca="false">'BALANCE 2026'!I30</f>
        <v>181885</v>
      </c>
      <c r="F30" s="15" t="n">
        <f aca="false">ROUND(IF(HYPOTHESES!$C$48=0,0,'BALANCE 2024'!$G$30*HYPOTHESES!F$48/HYPOTHESES!$C$48),0)+(H30-I30)-(D30-E30)</f>
        <v>448040</v>
      </c>
      <c r="G30" s="15" t="n">
        <f aca="false">ROUND(IF(HYPOTHESES!$C$48=0,0,'BALANCE 2024'!$G$30*HYPOTHESES!F$48/HYPOTHESES!$C$48),0)</f>
        <v>457135</v>
      </c>
      <c r="H30" s="20" t="n">
        <v>0</v>
      </c>
      <c r="I30" s="15" t="n">
        <f aca="false">ROUND(IF(HYPOTHESES!$C$48=0,0,'BALANCE 2024'!$I$30*HYPOTHESES!F$48/HYPOTHESES!$C$48),0)</f>
        <v>190980</v>
      </c>
      <c r="J30" s="20" t="n">
        <f aca="false">(D30-E30)+(F30-G30)-(H30-I30)</f>
        <v>0</v>
      </c>
    </row>
    <row r="31" customFormat="false" ht="15" hidden="false" customHeight="false" outlineLevel="0" collapsed="false">
      <c r="A31" s="33" t="n">
        <v>433300</v>
      </c>
      <c r="B31" s="12" t="s">
        <v>245</v>
      </c>
      <c r="C31" s="13" t="s">
        <v>241</v>
      </c>
      <c r="D31" s="15" t="n">
        <f aca="false">'BALANCE 2026'!H31</f>
        <v>0</v>
      </c>
      <c r="E31" s="15" t="n">
        <f aca="false">'BALANCE 2026'!I31</f>
        <v>0</v>
      </c>
      <c r="F31" s="15" t="n">
        <f aca="false">ROUND(IF(HYPOTHESES!$C$48=0,0,'BALANCE 2024'!$G$31*HYPOTHESES!F$48/HYPOTHESES!$C$48),0)+(H31-I31)-(D31-E31)</f>
        <v>0</v>
      </c>
      <c r="G31" s="15" t="n">
        <f aca="false">ROUND(IF(HYPOTHESES!$C$48=0,0,'BALANCE 2024'!$G$31*HYPOTHESES!F$48/HYPOTHESES!$C$48),0)</f>
        <v>0</v>
      </c>
      <c r="H31" s="20" t="n">
        <v>0</v>
      </c>
      <c r="I31" s="15" t="n">
        <f aca="false">ROUND(IF(HYPOTHESES!$C$48=0,0,'BALANCE 2024'!$I$31*HYPOTHESES!F$48/HYPOTHESES!$C$48),0)</f>
        <v>0</v>
      </c>
      <c r="J31" s="20" t="n">
        <f aca="false">(D31-E31)+(F31-G31)-(H31-I31)</f>
        <v>0</v>
      </c>
    </row>
    <row r="32" customFormat="false" ht="15" hidden="false" customHeight="false" outlineLevel="0" collapsed="false">
      <c r="A32" s="33" t="n">
        <v>441000</v>
      </c>
      <c r="B32" s="12" t="s">
        <v>246</v>
      </c>
      <c r="C32" s="13" t="s">
        <v>241</v>
      </c>
      <c r="D32" s="15" t="n">
        <f aca="false">'BALANCE 2026'!H32</f>
        <v>0</v>
      </c>
      <c r="E32" s="15" t="n">
        <f aca="false">'BALANCE 2026'!I32</f>
        <v>28670509</v>
      </c>
      <c r="F32" s="15" t="n">
        <f aca="false">ROUND(HYPOTHESES!F$56,0)+(H32-I32)-(D32-E32)</f>
        <v>28670509</v>
      </c>
      <c r="G32" s="15" t="n">
        <f aca="false">ROUND(HYPOTHESES!F$56,0)</f>
        <v>30492779</v>
      </c>
      <c r="H32" s="20" t="n">
        <v>0</v>
      </c>
      <c r="I32" s="15" t="n">
        <f aca="false">ROUND(HYPOTHESES!F$56,0)</f>
        <v>30492779</v>
      </c>
      <c r="J32" s="20" t="n">
        <f aca="false">(D32-E32)+(F32-G32)-(H32-I32)</f>
        <v>0</v>
      </c>
    </row>
    <row r="33" customFormat="false" ht="15" hidden="false" customHeight="false" outlineLevel="0" collapsed="false">
      <c r="A33" s="33" t="n">
        <v>442800</v>
      </c>
      <c r="B33" s="12" t="s">
        <v>247</v>
      </c>
      <c r="C33" s="13" t="s">
        <v>241</v>
      </c>
      <c r="D33" s="15" t="n">
        <f aca="false">'BALANCE 2026'!H33</f>
        <v>0</v>
      </c>
      <c r="E33" s="15" t="n">
        <f aca="false">'BALANCE 2026'!I33</f>
        <v>814843</v>
      </c>
      <c r="F33" s="15" t="n">
        <f aca="false">ROUND(IF(HYPOTHESES!$C$46=0,0,'BALANCE 2024'!$G$33*HYPOTHESES!F$46/HYPOTHESES!$C$46),0)+(H33-I33)-(D33-E33)</f>
        <v>814843</v>
      </c>
      <c r="G33" s="15" t="n">
        <f aca="false">ROUND(IF(HYPOTHESES!$C$46=0,0,'BALANCE 2024'!$G$33*HYPOTHESES!F$46/HYPOTHESES!$C$46),0)</f>
        <v>855586</v>
      </c>
      <c r="H33" s="20" t="n">
        <v>0</v>
      </c>
      <c r="I33" s="15" t="n">
        <f aca="false">ROUND(IF(HYPOTHESES!$C$46=0,0,'BALANCE 2024'!$I$33*HYPOTHESES!F$46/HYPOTHESES!$C$46),0)</f>
        <v>855586</v>
      </c>
      <c r="J33" s="20" t="n">
        <f aca="false">(D33-E33)+(F33-G33)-(H33-I33)</f>
        <v>0</v>
      </c>
    </row>
    <row r="34" customFormat="false" ht="15" hidden="false" customHeight="false" outlineLevel="0" collapsed="false">
      <c r="A34" s="33" t="n">
        <v>442801</v>
      </c>
      <c r="B34" s="12" t="s">
        <v>248</v>
      </c>
      <c r="C34" s="13" t="s">
        <v>241</v>
      </c>
      <c r="D34" s="15" t="n">
        <f aca="false">'BALANCE 2026'!H34</f>
        <v>0</v>
      </c>
      <c r="E34" s="15" t="n">
        <f aca="false">'BALANCE 2026'!I34</f>
        <v>116856</v>
      </c>
      <c r="F34" s="15" t="n">
        <f aca="false">ROUND(IF(HYPOTHESES!$C$46=0,0,'BALANCE 2024'!$G$34*HYPOTHESES!F$46/HYPOTHESES!$C$46),0)+(H34-I34)-(D34-E34)</f>
        <v>116856</v>
      </c>
      <c r="G34" s="15" t="n">
        <f aca="false">ROUND(IF(HYPOTHESES!$C$46=0,0,'BALANCE 2024'!$G$34*HYPOTHESES!F$46/HYPOTHESES!$C$46),0)</f>
        <v>122699</v>
      </c>
      <c r="H34" s="20" t="n">
        <v>0</v>
      </c>
      <c r="I34" s="15" t="n">
        <f aca="false">ROUND(IF(HYPOTHESES!$C$46=0,0,'BALANCE 2024'!$I$34*HYPOTHESES!F$46/HYPOTHESES!$C$46),0)</f>
        <v>122699</v>
      </c>
      <c r="J34" s="20" t="n">
        <f aca="false">(D34-E34)+(F34-G34)-(H34-I34)</f>
        <v>0</v>
      </c>
    </row>
    <row r="35" customFormat="false" ht="15" hidden="false" customHeight="false" outlineLevel="0" collapsed="false">
      <c r="A35" s="33" t="n">
        <v>442802</v>
      </c>
      <c r="B35" s="12" t="s">
        <v>249</v>
      </c>
      <c r="C35" s="13" t="s">
        <v>241</v>
      </c>
      <c r="D35" s="15" t="n">
        <f aca="false">'BALANCE 2026'!H35</f>
        <v>0</v>
      </c>
      <c r="E35" s="15" t="n">
        <f aca="false">'BALANCE 2026'!I35</f>
        <v>175292</v>
      </c>
      <c r="F35" s="15" t="n">
        <f aca="false">ROUND(IF(HYPOTHESES!$C$46=0,0,'BALANCE 2024'!$G$35*HYPOTHESES!F$46/HYPOTHESES!$C$46),0)+(H35-I35)-(D35-E35)</f>
        <v>175292</v>
      </c>
      <c r="G35" s="15" t="n">
        <f aca="false">ROUND(IF(HYPOTHESES!$C$46=0,0,'BALANCE 2024'!$G$35*HYPOTHESES!F$46/HYPOTHESES!$C$46),0)</f>
        <v>184056</v>
      </c>
      <c r="H35" s="20" t="n">
        <v>0</v>
      </c>
      <c r="I35" s="15" t="n">
        <f aca="false">ROUND(IF(HYPOTHESES!$C$46=0,0,'BALANCE 2024'!$I$35*HYPOTHESES!F$46/HYPOTHESES!$C$46),0)</f>
        <v>184056</v>
      </c>
      <c r="J35" s="20" t="n">
        <f aca="false">(D35-E35)+(F35-G35)-(H35-I35)</f>
        <v>0</v>
      </c>
    </row>
    <row r="36" customFormat="false" ht="15" hidden="false" customHeight="false" outlineLevel="0" collapsed="false">
      <c r="A36" s="33" t="n">
        <v>442803</v>
      </c>
      <c r="B36" s="12" t="s">
        <v>250</v>
      </c>
      <c r="C36" s="13" t="s">
        <v>241</v>
      </c>
      <c r="D36" s="15" t="n">
        <f aca="false">'BALANCE 2026'!H36</f>
        <v>0</v>
      </c>
      <c r="E36" s="15" t="n">
        <f aca="false">'BALANCE 2026'!I36</f>
        <v>175291</v>
      </c>
      <c r="F36" s="15" t="n">
        <f aca="false">ROUND(IF(HYPOTHESES!$C$46=0,0,'BALANCE 2024'!$G$36*HYPOTHESES!F$46/HYPOTHESES!$C$46),0)+(H36-I36)-(D36-E36)</f>
        <v>175291</v>
      </c>
      <c r="G36" s="15" t="n">
        <f aca="false">ROUND(IF(HYPOTHESES!$C$46=0,0,'BALANCE 2024'!$G$36*HYPOTHESES!F$46/HYPOTHESES!$C$46),0)</f>
        <v>184055</v>
      </c>
      <c r="H36" s="20" t="n">
        <v>0</v>
      </c>
      <c r="I36" s="15" t="n">
        <f aca="false">ROUND(IF(HYPOTHESES!$C$46=0,0,'BALANCE 2024'!$I$36*HYPOTHESES!F$46/HYPOTHESES!$C$46),0)</f>
        <v>184055</v>
      </c>
      <c r="J36" s="20" t="n">
        <f aca="false">(D36-E36)+(F36-G36)-(H36-I36)</f>
        <v>0</v>
      </c>
    </row>
    <row r="37" customFormat="false" ht="15" hidden="false" customHeight="false" outlineLevel="0" collapsed="false">
      <c r="A37" s="33" t="n">
        <v>442820</v>
      </c>
      <c r="B37" s="12" t="s">
        <v>251</v>
      </c>
      <c r="C37" s="13" t="s">
        <v>241</v>
      </c>
      <c r="D37" s="15" t="n">
        <f aca="false">'BALANCE 2026'!H37</f>
        <v>0</v>
      </c>
      <c r="E37" s="15" t="n">
        <f aca="false">'BALANCE 2026'!I37</f>
        <v>412790</v>
      </c>
      <c r="F37" s="15" t="n">
        <f aca="false">ROUND(IF(HYPOTHESES!$C$46=0,0,'BALANCE 2024'!$G$37*HYPOTHESES!F$46/HYPOTHESES!$C$46),0)+(H37-I37)-(D37-E37)</f>
        <v>953932</v>
      </c>
      <c r="G37" s="15" t="n">
        <f aca="false">ROUND(IF(HYPOTHESES!$C$46=0,0,'BALANCE 2024'!$G$37*HYPOTHESES!F$46/HYPOTHESES!$C$46),0)</f>
        <v>974572</v>
      </c>
      <c r="H37" s="20" t="n">
        <v>0</v>
      </c>
      <c r="I37" s="15" t="n">
        <f aca="false">ROUND(IF(HYPOTHESES!$C$46=0,0,'BALANCE 2024'!$I$37*HYPOTHESES!F$46/HYPOTHESES!$C$46),0)</f>
        <v>433430</v>
      </c>
      <c r="J37" s="20" t="n">
        <f aca="false">(D37-E37)+(F37-G37)-(H37-I37)</f>
        <v>0</v>
      </c>
    </row>
    <row r="38" customFormat="false" ht="15" hidden="false" customHeight="false" outlineLevel="0" collapsed="false">
      <c r="A38" s="33" t="n">
        <v>442840</v>
      </c>
      <c r="B38" s="12" t="s">
        <v>252</v>
      </c>
      <c r="C38" s="13" t="s">
        <v>241</v>
      </c>
      <c r="D38" s="15" t="n">
        <f aca="false">'BALANCE 2026'!H38</f>
        <v>0</v>
      </c>
      <c r="E38" s="15" t="n">
        <f aca="false">'BALANCE 2026'!I38</f>
        <v>5614514</v>
      </c>
      <c r="F38" s="15" t="n">
        <f aca="false">ROUND(IF(HYPOTHESES!$C$46=0,0,'BALANCE 2024'!$G$38*HYPOTHESES!F$46/HYPOTHESES!$C$46),0)+(H38-I38)-(D38-E38)</f>
        <v>10395710</v>
      </c>
      <c r="G38" s="15" t="n">
        <f aca="false">ROUND(IF(HYPOTHESES!$C$46=0,0,'BALANCE 2024'!$G$38*HYPOTHESES!F$46/HYPOTHESES!$C$46),0)</f>
        <v>10676436</v>
      </c>
      <c r="H38" s="20" t="n">
        <v>0</v>
      </c>
      <c r="I38" s="15" t="n">
        <f aca="false">ROUND(IF(HYPOTHESES!$C$46=0,0,'BALANCE 2024'!$I$38*HYPOTHESES!F$46/HYPOTHESES!$C$46),0)</f>
        <v>5895240</v>
      </c>
      <c r="J38" s="20" t="n">
        <f aca="false">(D38-E38)+(F38-G38)-(H38-I38)</f>
        <v>0</v>
      </c>
    </row>
    <row r="39" customFormat="false" ht="15" hidden="false" customHeight="false" outlineLevel="0" collapsed="false">
      <c r="A39" s="33" t="n">
        <v>443300</v>
      </c>
      <c r="B39" s="12" t="s">
        <v>253</v>
      </c>
      <c r="C39" s="13" t="s">
        <v>241</v>
      </c>
      <c r="D39" s="15" t="n">
        <f aca="false">'BALANCE 2026'!H39</f>
        <v>0</v>
      </c>
      <c r="E39" s="15" t="n">
        <f aca="false">'BALANCE 2026'!I39</f>
        <v>58637133</v>
      </c>
      <c r="F39" s="15" t="n">
        <f aca="false">ROUND(HYPOTHESES!F$42*HYPOTHESES!F$10,0)+(H39-I39)-(D39-E39)</f>
        <v>145925203</v>
      </c>
      <c r="G39" s="15" t="n">
        <f aca="false">ROUND(HYPOTHESES!F$42*HYPOTHESES!F$10,0)</f>
        <v>148857060</v>
      </c>
      <c r="H39" s="20" t="n">
        <v>0</v>
      </c>
      <c r="I39" s="15" t="n">
        <f aca="false">ROUND(IF('BALANCE 2024'!$H$26=0,0,'BALANCE 2024'!$I$39*H26/'BALANCE 2024'!$H$26),0)</f>
        <v>61568990</v>
      </c>
      <c r="J39" s="20" t="n">
        <f aca="false">(D39-E39)+(F39-G39)-(H39-I39)</f>
        <v>0</v>
      </c>
    </row>
    <row r="40" customFormat="false" ht="15" hidden="false" customHeight="false" outlineLevel="0" collapsed="false">
      <c r="A40" s="33" t="n">
        <v>446000</v>
      </c>
      <c r="B40" s="12" t="s">
        <v>254</v>
      </c>
      <c r="C40" s="13" t="s">
        <v>241</v>
      </c>
      <c r="D40" s="15" t="n">
        <f aca="false">'BALANCE 2026'!H40</f>
        <v>0</v>
      </c>
      <c r="E40" s="15" t="n">
        <f aca="false">'BALANCE 2026'!I40</f>
        <v>224581</v>
      </c>
      <c r="F40" s="15" t="n">
        <f aca="false">ROUND(IF(HYPOTHESES!$C$46=0,0,'BALANCE 2024'!$G$40*HYPOTHESES!F$46/HYPOTHESES!$C$46),0)+(H40-I40)-(D40-E40)</f>
        <v>238358</v>
      </c>
      <c r="G40" s="15" t="n">
        <f aca="false">ROUND(IF(HYPOTHESES!$C$46=0,0,'BALANCE 2024'!$G$40*HYPOTHESES!F$46/HYPOTHESES!$C$46),0)</f>
        <v>249587</v>
      </c>
      <c r="H40" s="20" t="n">
        <v>0</v>
      </c>
      <c r="I40" s="15" t="n">
        <f aca="false">ROUND(IF(HYPOTHESES!$C$46=0,0,'BALANCE 2024'!$I$40*HYPOTHESES!F$46/HYPOTHESES!$C$46),0)</f>
        <v>235810</v>
      </c>
      <c r="J40" s="20" t="n">
        <f aca="false">(D40-E40)+(F40-G40)-(H40-I40)</f>
        <v>0</v>
      </c>
    </row>
    <row r="41" customFormat="false" ht="15" hidden="false" customHeight="false" outlineLevel="0" collapsed="false">
      <c r="A41" s="33" t="n">
        <v>447201</v>
      </c>
      <c r="B41" s="12" t="s">
        <v>255</v>
      </c>
      <c r="C41" s="13" t="s">
        <v>241</v>
      </c>
      <c r="D41" s="15" t="n">
        <f aca="false">'BALANCE 2026'!H41</f>
        <v>0</v>
      </c>
      <c r="E41" s="15" t="n">
        <f aca="false">'BALANCE 2026'!I41</f>
        <v>1832622</v>
      </c>
      <c r="F41" s="15" t="n">
        <f aca="false">ROUND(IF(HYPOTHESES!$C$48=0,0,'BALANCE 2024'!$G$41*HYPOTHESES!F$48/HYPOTHESES!$C$48),0)+(H41-I41)-(D41-E41)</f>
        <v>6867754</v>
      </c>
      <c r="G41" s="15" t="n">
        <f aca="false">ROUND(IF(HYPOTHESES!$C$48=0,0,'BALANCE 2024'!$G$41*HYPOTHESES!F$48/HYPOTHESES!$C$48),0)</f>
        <v>6959385</v>
      </c>
      <c r="H41" s="20" t="n">
        <v>0</v>
      </c>
      <c r="I41" s="15" t="n">
        <f aca="false">ROUND(IF(HYPOTHESES!$C$48=0,0,'BALANCE 2024'!$I$41*HYPOTHESES!F$48/HYPOTHESES!$C$48),0)</f>
        <v>1924253</v>
      </c>
      <c r="J41" s="20" t="n">
        <f aca="false">(D41-E41)+(F41-G41)-(H41-I41)</f>
        <v>0</v>
      </c>
    </row>
    <row r="42" customFormat="false" ht="15" hidden="false" customHeight="false" outlineLevel="0" collapsed="false">
      <c r="A42" s="33" t="n">
        <v>462100</v>
      </c>
      <c r="B42" s="12" t="s">
        <v>256</v>
      </c>
      <c r="C42" s="13" t="s">
        <v>257</v>
      </c>
      <c r="D42" s="15" t="n">
        <f aca="false">'BALANCE 2026'!H42</f>
        <v>0</v>
      </c>
      <c r="E42" s="15" t="n">
        <f aca="false">'BALANCE 2026'!I42</f>
        <v>0</v>
      </c>
      <c r="F42" s="15" t="n">
        <f aca="false">ROUND('INVEST ET FINANCEMENT'!F$53,0)+(H42-I42)-(D42-E42)</f>
        <v>0</v>
      </c>
      <c r="G42" s="15" t="n">
        <f aca="false">ROUND('INVEST ET FINANCEMENT'!F$53,0)</f>
        <v>0</v>
      </c>
      <c r="H42" s="20" t="n">
        <v>0</v>
      </c>
      <c r="I42" s="15" t="n">
        <f aca="false">ROUND('INVEST ET FINANCEMENT'!F$54,0)</f>
        <v>0</v>
      </c>
      <c r="J42" s="20" t="n">
        <f aca="false">(D42-E42)+(F42-G42)-(H42-I42)</f>
        <v>0</v>
      </c>
    </row>
    <row r="43" customFormat="false" ht="15" hidden="false" customHeight="false" outlineLevel="0" collapsed="false">
      <c r="A43" s="33" t="n">
        <v>471200</v>
      </c>
      <c r="B43" s="12" t="s">
        <v>258</v>
      </c>
      <c r="C43" s="13" t="s">
        <v>259</v>
      </c>
      <c r="D43" s="15" t="n">
        <f aca="false">'BALANCE 2026'!H43</f>
        <v>-0</v>
      </c>
      <c r="E43" s="15" t="n">
        <f aca="false">'BALANCE 2026'!I43</f>
        <v>0</v>
      </c>
      <c r="F43" s="20" t="n">
        <f aca="false">MAX(0,(H43-I43)-(D43-E43))</f>
        <v>0</v>
      </c>
      <c r="G43" s="20" t="n">
        <f aca="false">MAX(0,(D43-E43)-(H43-I43))</f>
        <v>0</v>
      </c>
      <c r="H43" s="15" t="n">
        <f aca="false">ROUND(MAX(0,-(E43-D43+HYPOTHESES!F$31)),0)</f>
        <v>-0</v>
      </c>
      <c r="I43" s="15" t="n">
        <f aca="false">ROUND(MAX(0,(E43-D43+HYPOTHESES!F$31)),0)</f>
        <v>0</v>
      </c>
      <c r="J43" s="20" t="n">
        <f aca="false">(D43-E43)+(F43-G43)-(H43-I43)</f>
        <v>0</v>
      </c>
    </row>
    <row r="44" customFormat="false" ht="15" hidden="false" customHeight="false" outlineLevel="0" collapsed="false">
      <c r="A44" s="33" t="n">
        <v>481200</v>
      </c>
      <c r="B44" s="12" t="s">
        <v>260</v>
      </c>
      <c r="C44" s="13" t="s">
        <v>261</v>
      </c>
      <c r="D44" s="15" t="n">
        <f aca="false">'BALANCE 2026'!H44</f>
        <v>0</v>
      </c>
      <c r="E44" s="15" t="n">
        <f aca="false">'BALANCE 2026'!I44</f>
        <v>12736111</v>
      </c>
      <c r="F44" s="15" t="n">
        <f aca="false">ROUND('INVEST ET FINANCEMENT'!F$41,0)+(H44-I44)-(D44-E44)</f>
        <v>35000000</v>
      </c>
      <c r="G44" s="15" t="n">
        <f aca="false">ROUND('INVEST ET FINANCEMENT'!F$41,0)</f>
        <v>35000000</v>
      </c>
      <c r="H44" s="20" t="n">
        <v>0</v>
      </c>
      <c r="I44" s="15" t="n">
        <f aca="false">ROUND(HYPOTHESES!F$28,0)</f>
        <v>12736111</v>
      </c>
      <c r="J44" s="20" t="n">
        <f aca="false">(D44-E44)+(F44-G44)-(H44-I44)</f>
        <v>0</v>
      </c>
    </row>
    <row r="45" customFormat="false" ht="15" hidden="false" customHeight="false" outlineLevel="0" collapsed="false">
      <c r="A45" s="28" t="n">
        <v>521101</v>
      </c>
      <c r="B45" s="29" t="s">
        <v>262</v>
      </c>
      <c r="C45" s="30" t="s">
        <v>263</v>
      </c>
      <c r="D45" s="37" t="n">
        <f aca="false">'BALANCE 2026'!H45</f>
        <v>216120886</v>
      </c>
      <c r="E45" s="37" t="n">
        <f aca="false">'BALANCE 2026'!I45</f>
        <v>0</v>
      </c>
      <c r="F45" s="37" t="n">
        <f aca="false">ROUND(G26+HYPOTHESES!F$51+'INVEST ET FINANCEMENT'!F$47+'INVEST ET FINANCEMENT'!F$51,0)</f>
        <v>951260667</v>
      </c>
      <c r="G45" s="37" t="n">
        <f aca="false">ROUND(G26+HYPOTHESES!F$51+'INVEST ET FINANCEMENT'!F$47+'INVEST ET FINANCEMENT'!F$51,0)+(D45-E45)-(H45-I45)</f>
        <v>808394555</v>
      </c>
      <c r="H45" s="32" t="n">
        <f aca="false">ROUND(MAX(0,(H99-(H46-I46))),0)</f>
        <v>358986998</v>
      </c>
      <c r="I45" s="32" t="n">
        <f aca="false">ROUND(MAX(0,-(H99-(H46-I46))),0)</f>
        <v>0</v>
      </c>
      <c r="J45" s="32" t="n">
        <f aca="false">(D45-E45)+(F45-G45)-(H45-I45)</f>
        <v>0</v>
      </c>
    </row>
    <row r="46" customFormat="false" ht="15" hidden="false" customHeight="false" outlineLevel="0" collapsed="false">
      <c r="A46" s="33" t="n">
        <v>571101</v>
      </c>
      <c r="B46" s="12" t="s">
        <v>264</v>
      </c>
      <c r="C46" s="13" t="s">
        <v>265</v>
      </c>
      <c r="D46" s="15" t="n">
        <f aca="false">'BALANCE 2026'!H46</f>
        <v>8987187</v>
      </c>
      <c r="E46" s="15" t="n">
        <f aca="false">'BALANCE 2026'!I46</f>
        <v>0</v>
      </c>
      <c r="F46" s="20" t="n">
        <f aca="false">ROUND(H101,0)</f>
        <v>161678911</v>
      </c>
      <c r="G46" s="20" t="n">
        <f aca="false">ROUND(H101,0)+(D46-E46)-(H46-I46)</f>
        <v>160062122</v>
      </c>
      <c r="H46" s="15" t="n">
        <f aca="false">ROUND(MAX(0,((D46-E46)+H101*(1-HYPOTHESES!F$30))),0)</f>
        <v>10603976</v>
      </c>
      <c r="I46" s="15" t="n">
        <f aca="false">ROUND(MAX(0,-((D46-E46)+H101*(1-HYPOTHESES!F$30))),0)</f>
        <v>0</v>
      </c>
      <c r="J46" s="20" t="n">
        <f aca="false">(D46-E46)+(F46-G46)-(H46-I46)</f>
        <v>0</v>
      </c>
    </row>
    <row r="47" customFormat="false" ht="15" hidden="false" customHeight="false" outlineLevel="0" collapsed="false">
      <c r="A47" s="33" t="n">
        <v>585000</v>
      </c>
      <c r="B47" s="12" t="s">
        <v>266</v>
      </c>
      <c r="C47" s="13" t="s">
        <v>265</v>
      </c>
      <c r="D47" s="15" t="n">
        <f aca="false">'BALANCE 2026'!H47</f>
        <v>0</v>
      </c>
      <c r="E47" s="15" t="n">
        <f aca="false">'BALANCE 2026'!I47</f>
        <v>0</v>
      </c>
      <c r="F47" s="20" t="n">
        <f aca="false">ROUND(H101,0)</f>
        <v>161678911</v>
      </c>
      <c r="G47" s="20" t="n">
        <f aca="false">ROUND(H101,0)+(D47-E47)-(H47-I47)</f>
        <v>161678911</v>
      </c>
      <c r="H47" s="20" t="n">
        <f aca="false">ROUND(D47,0)</f>
        <v>0</v>
      </c>
      <c r="I47" s="20" t="n">
        <f aca="false">ROUND(E47,0)</f>
        <v>0</v>
      </c>
      <c r="J47" s="20" t="n">
        <f aca="false">(D47-E47)+(F47-G47)-(H47-I47)</f>
        <v>0</v>
      </c>
    </row>
    <row r="48" customFormat="false" ht="15" hidden="false" customHeight="false" outlineLevel="0" collapsed="false">
      <c r="A48" s="28" t="n">
        <v>604300</v>
      </c>
      <c r="B48" s="29" t="s">
        <v>267</v>
      </c>
      <c r="C48" s="30" t="s">
        <v>268</v>
      </c>
      <c r="D48" s="32" t="n">
        <v>0</v>
      </c>
      <c r="E48" s="32" t="n">
        <v>0</v>
      </c>
      <c r="F48" s="32" t="n">
        <f aca="false">MAX(0,(H48-I48)-(D48-E48))</f>
        <v>1475201</v>
      </c>
      <c r="G48" s="32" t="n">
        <f aca="false">MAX(0,(D48-E48)-(H48-I48))</f>
        <v>0</v>
      </c>
      <c r="H48" s="37" t="n">
        <f aca="false">ROUND(IF(HYPOTHESES!$C$43=0,0,'BALANCE 2024'!$H$48*HYPOTHESES!F$43/HYPOTHESES!$C$43),0)</f>
        <v>1475201</v>
      </c>
      <c r="I48" s="32" t="n">
        <v>0</v>
      </c>
      <c r="J48" s="32" t="n">
        <f aca="false">(D48-E48)+(F48-G48)-(H48-I48)</f>
        <v>0</v>
      </c>
    </row>
    <row r="49" customFormat="false" ht="15" hidden="false" customHeight="false" outlineLevel="0" collapsed="false">
      <c r="A49" s="33" t="n">
        <v>605100</v>
      </c>
      <c r="B49" s="12" t="s">
        <v>269</v>
      </c>
      <c r="C49" s="13" t="s">
        <v>268</v>
      </c>
      <c r="D49" s="20" t="n">
        <v>0</v>
      </c>
      <c r="E49" s="20" t="n">
        <v>0</v>
      </c>
      <c r="F49" s="20" t="n">
        <f aca="false">MAX(0,(H49-I49)-(D49-E49))</f>
        <v>146973</v>
      </c>
      <c r="G49" s="20" t="n">
        <f aca="false">MAX(0,(D49-E49)-(H49-I49))</f>
        <v>0</v>
      </c>
      <c r="H49" s="15" t="n">
        <f aca="false">ROUND(IF(HYPOTHESES!$C$43=0,0,'BALANCE 2024'!$H$49*HYPOTHESES!F$43/HYPOTHESES!$C$43),0)</f>
        <v>146973</v>
      </c>
      <c r="I49" s="20" t="n">
        <v>0</v>
      </c>
      <c r="J49" s="20" t="n">
        <f aca="false">(D49-E49)+(F49-G49)-(H49-I49)</f>
        <v>0</v>
      </c>
    </row>
    <row r="50" customFormat="false" ht="15" hidden="false" customHeight="false" outlineLevel="0" collapsed="false">
      <c r="A50" s="33" t="n">
        <v>605200</v>
      </c>
      <c r="B50" s="12" t="s">
        <v>270</v>
      </c>
      <c r="C50" s="13" t="s">
        <v>268</v>
      </c>
      <c r="D50" s="20" t="n">
        <v>0</v>
      </c>
      <c r="E50" s="20" t="n">
        <v>0</v>
      </c>
      <c r="F50" s="20" t="n">
        <f aca="false">MAX(0,(H50-I50)-(D50-E50))</f>
        <v>47145846</v>
      </c>
      <c r="G50" s="20" t="n">
        <f aca="false">MAX(0,(D50-E50)-(H50-I50))</f>
        <v>0</v>
      </c>
      <c r="H50" s="15" t="n">
        <f aca="false">ROUND(IF(HYPOTHESES!$C$43=0,0,'BALANCE 2024'!$H$50*HYPOTHESES!F$43/HYPOTHESES!$C$43),0)</f>
        <v>47145846</v>
      </c>
      <c r="I50" s="20" t="n">
        <v>0</v>
      </c>
      <c r="J50" s="20" t="n">
        <f aca="false">(D50-E50)+(F50-G50)-(H50-I50)</f>
        <v>0</v>
      </c>
    </row>
    <row r="51" customFormat="false" ht="15" hidden="false" customHeight="false" outlineLevel="0" collapsed="false">
      <c r="A51" s="33" t="n">
        <v>605300</v>
      </c>
      <c r="B51" s="12" t="s">
        <v>271</v>
      </c>
      <c r="C51" s="13" t="s">
        <v>268</v>
      </c>
      <c r="D51" s="20" t="n">
        <v>0</v>
      </c>
      <c r="E51" s="20" t="n">
        <v>0</v>
      </c>
      <c r="F51" s="20" t="n">
        <f aca="false">MAX(0,(H51-I51)-(D51-E51))</f>
        <v>23405818</v>
      </c>
      <c r="G51" s="20" t="n">
        <f aca="false">MAX(0,(D51-E51)-(H51-I51))</f>
        <v>0</v>
      </c>
      <c r="H51" s="15" t="n">
        <f aca="false">ROUND(IF(HYPOTHESES!$C$43=0,0,'BALANCE 2024'!$H$51*HYPOTHESES!F$43/HYPOTHESES!$C$43),0)</f>
        <v>23405818</v>
      </c>
      <c r="I51" s="20" t="n">
        <v>0</v>
      </c>
      <c r="J51" s="20" t="n">
        <f aca="false">(D51-E51)+(F51-G51)-(H51-I51)</f>
        <v>0</v>
      </c>
    </row>
    <row r="52" customFormat="false" ht="15" hidden="false" customHeight="false" outlineLevel="0" collapsed="false">
      <c r="A52" s="33" t="n">
        <v>605500</v>
      </c>
      <c r="B52" s="12" t="s">
        <v>272</v>
      </c>
      <c r="C52" s="13" t="s">
        <v>268</v>
      </c>
      <c r="D52" s="20" t="n">
        <v>0</v>
      </c>
      <c r="E52" s="20" t="n">
        <v>0</v>
      </c>
      <c r="F52" s="20" t="n">
        <f aca="false">MAX(0,(H52-I52)-(D52-E52))</f>
        <v>15188094</v>
      </c>
      <c r="G52" s="20" t="n">
        <f aca="false">MAX(0,(D52-E52)-(H52-I52))</f>
        <v>0</v>
      </c>
      <c r="H52" s="15" t="n">
        <f aca="false">ROUND(IF(HYPOTHESES!$C$43=0,0,'BALANCE 2024'!$H$52*HYPOTHESES!F$43/HYPOTHESES!$C$43),0)</f>
        <v>15188094</v>
      </c>
      <c r="I52" s="20" t="n">
        <v>0</v>
      </c>
      <c r="J52" s="20" t="n">
        <f aca="false">(D52-E52)+(F52-G52)-(H52-I52)</f>
        <v>0</v>
      </c>
    </row>
    <row r="53" customFormat="false" ht="15" hidden="false" customHeight="false" outlineLevel="0" collapsed="false">
      <c r="A53" s="33" t="n">
        <v>605600</v>
      </c>
      <c r="B53" s="12" t="s">
        <v>273</v>
      </c>
      <c r="C53" s="13" t="s">
        <v>268</v>
      </c>
      <c r="D53" s="20" t="n">
        <v>0</v>
      </c>
      <c r="E53" s="20" t="n">
        <v>0</v>
      </c>
      <c r="F53" s="20" t="n">
        <f aca="false">MAX(0,(H53-I53)-(D53-E53))</f>
        <v>4355324</v>
      </c>
      <c r="G53" s="20" t="n">
        <f aca="false">MAX(0,(D53-E53)-(H53-I53))</f>
        <v>0</v>
      </c>
      <c r="H53" s="15" t="n">
        <f aca="false">ROUND(IF(HYPOTHESES!$C$43=0,0,'BALANCE 2024'!$H$53*HYPOTHESES!F$43/HYPOTHESES!$C$43),0)</f>
        <v>4355324</v>
      </c>
      <c r="I53" s="20" t="n">
        <v>0</v>
      </c>
      <c r="J53" s="20" t="n">
        <f aca="false">(D53-E53)+(F53-G53)-(H53-I53)</f>
        <v>0</v>
      </c>
    </row>
    <row r="54" customFormat="false" ht="15" hidden="false" customHeight="false" outlineLevel="0" collapsed="false">
      <c r="A54" s="33" t="n">
        <v>605700</v>
      </c>
      <c r="B54" s="12" t="s">
        <v>274</v>
      </c>
      <c r="C54" s="13" t="s">
        <v>268</v>
      </c>
      <c r="D54" s="20" t="n">
        <v>0</v>
      </c>
      <c r="E54" s="20" t="n">
        <v>0</v>
      </c>
      <c r="F54" s="20" t="n">
        <f aca="false">MAX(0,(H54-I54)-(D54-E54))</f>
        <v>94571946</v>
      </c>
      <c r="G54" s="20" t="n">
        <f aca="false">MAX(0,(D54-E54)-(H54-I54))</f>
        <v>0</v>
      </c>
      <c r="H54" s="15" t="n">
        <f aca="false">ROUND(IF(HYPOTHESES!$C$43=0,0,'BALANCE 2024'!$H$54*HYPOTHESES!F$43/HYPOTHESES!$C$43),0)</f>
        <v>94571946</v>
      </c>
      <c r="I54" s="20" t="n">
        <v>0</v>
      </c>
      <c r="J54" s="20" t="n">
        <f aca="false">(D54-E54)+(F54-G54)-(H54-I54)</f>
        <v>0</v>
      </c>
    </row>
    <row r="55" customFormat="false" ht="15" hidden="false" customHeight="false" outlineLevel="0" collapsed="false">
      <c r="A55" s="33" t="n">
        <v>605800</v>
      </c>
      <c r="B55" s="12" t="s">
        <v>275</v>
      </c>
      <c r="C55" s="13" t="s">
        <v>268</v>
      </c>
      <c r="D55" s="20" t="n">
        <v>0</v>
      </c>
      <c r="E55" s="20" t="n">
        <v>0</v>
      </c>
      <c r="F55" s="20" t="n">
        <f aca="false">MAX(0,(H55-I55)-(D55-E55))</f>
        <v>141857917</v>
      </c>
      <c r="G55" s="20" t="n">
        <f aca="false">MAX(0,(D55-E55)-(H55-I55))</f>
        <v>0</v>
      </c>
      <c r="H55" s="15" t="n">
        <f aca="false">ROUND(HYPOTHESES!F$43-(H48+H49+H50+H51+H52+H53+H54),0)</f>
        <v>141857917</v>
      </c>
      <c r="I55" s="20" t="n">
        <v>0</v>
      </c>
      <c r="J55" s="20" t="n">
        <f aca="false">(D55-E55)+(F55-G55)-(H55-I55)</f>
        <v>0</v>
      </c>
    </row>
    <row r="56" customFormat="false" ht="15" hidden="false" customHeight="false" outlineLevel="0" collapsed="false">
      <c r="A56" s="33" t="n">
        <v>616000</v>
      </c>
      <c r="B56" s="12" t="s">
        <v>276</v>
      </c>
      <c r="C56" s="13" t="s">
        <v>277</v>
      </c>
      <c r="D56" s="20" t="n">
        <v>0</v>
      </c>
      <c r="E56" s="20" t="n">
        <v>0</v>
      </c>
      <c r="F56" s="20" t="n">
        <f aca="false">MAX(0,(H56-I56)-(D56-E56))</f>
        <v>109775</v>
      </c>
      <c r="G56" s="20" t="n">
        <f aca="false">MAX(0,(D56-E56)-(H56-I56))</f>
        <v>0</v>
      </c>
      <c r="H56" s="15" t="n">
        <f aca="false">ROUND(IF(HYPOTHESES!$C$44=0,0,'BALANCE 2024'!$H$56*HYPOTHESES!F$44/HYPOTHESES!$C$44),0)</f>
        <v>109775</v>
      </c>
      <c r="I56" s="20" t="n">
        <v>0</v>
      </c>
      <c r="J56" s="20" t="n">
        <f aca="false">(D56-E56)+(F56-G56)-(H56-I56)</f>
        <v>0</v>
      </c>
    </row>
    <row r="57" customFormat="false" ht="15" hidden="false" customHeight="false" outlineLevel="0" collapsed="false">
      <c r="A57" s="33" t="n">
        <v>618200</v>
      </c>
      <c r="B57" s="12" t="s">
        <v>278</v>
      </c>
      <c r="C57" s="13" t="s">
        <v>277</v>
      </c>
      <c r="D57" s="20" t="n">
        <v>0</v>
      </c>
      <c r="E57" s="20" t="n">
        <v>0</v>
      </c>
      <c r="F57" s="20" t="n">
        <f aca="false">MAX(0,(H57-I57)-(D57-E57))</f>
        <v>1831765</v>
      </c>
      <c r="G57" s="20" t="n">
        <f aca="false">MAX(0,(D57-E57)-(H57-I57))</f>
        <v>0</v>
      </c>
      <c r="H57" s="15" t="n">
        <f aca="false">ROUND(IF(HYPOTHESES!$C$44=0,0,'BALANCE 2024'!$H$57*HYPOTHESES!F$44/HYPOTHESES!$C$44),0)</f>
        <v>1831765</v>
      </c>
      <c r="I57" s="20" t="n">
        <v>0</v>
      </c>
      <c r="J57" s="20" t="n">
        <f aca="false">(D57-E57)+(F57-G57)-(H57-I57)</f>
        <v>0</v>
      </c>
    </row>
    <row r="58" customFormat="false" ht="15" hidden="false" customHeight="false" outlineLevel="0" collapsed="false">
      <c r="A58" s="33" t="n">
        <v>618300</v>
      </c>
      <c r="B58" s="12" t="s">
        <v>279</v>
      </c>
      <c r="C58" s="13" t="s">
        <v>277</v>
      </c>
      <c r="D58" s="20" t="n">
        <v>0</v>
      </c>
      <c r="E58" s="20" t="n">
        <v>0</v>
      </c>
      <c r="F58" s="20" t="n">
        <f aca="false">MAX(0,(H58-I58)-(D58-E58))</f>
        <v>2524172</v>
      </c>
      <c r="G58" s="20" t="n">
        <f aca="false">MAX(0,(D58-E58)-(H58-I58))</f>
        <v>0</v>
      </c>
      <c r="H58" s="15" t="n">
        <f aca="false">ROUND(HYPOTHESES!F$44-(H56+H57),0)</f>
        <v>2524172</v>
      </c>
      <c r="I58" s="20" t="n">
        <v>0</v>
      </c>
      <c r="J58" s="20" t="n">
        <f aca="false">(D58-E58)+(F58-G58)-(H58-I58)</f>
        <v>0</v>
      </c>
    </row>
    <row r="59" customFormat="false" ht="15" hidden="false" customHeight="false" outlineLevel="0" collapsed="false">
      <c r="A59" s="33" t="n">
        <v>622200</v>
      </c>
      <c r="B59" s="12" t="s">
        <v>280</v>
      </c>
      <c r="C59" s="13" t="s">
        <v>281</v>
      </c>
      <c r="D59" s="20" t="n">
        <v>0</v>
      </c>
      <c r="E59" s="20" t="n">
        <v>0</v>
      </c>
      <c r="F59" s="20" t="n">
        <f aca="false">MAX(0,(H59-I59)-(D59-E59))</f>
        <v>19623501</v>
      </c>
      <c r="G59" s="20" t="n">
        <f aca="false">MAX(0,(D59-E59)-(H59-I59))</f>
        <v>0</v>
      </c>
      <c r="H59" s="15" t="n">
        <f aca="false">ROUND(IF(HYPOTHESES!$C$45=0,0,'BALANCE 2024'!$H$59*HYPOTHESES!F$45/HYPOTHESES!$C$45),0)</f>
        <v>19623501</v>
      </c>
      <c r="I59" s="20" t="n">
        <v>0</v>
      </c>
      <c r="J59" s="20" t="n">
        <f aca="false">(D59-E59)+(F59-G59)-(H59-I59)</f>
        <v>0</v>
      </c>
    </row>
    <row r="60" customFormat="false" ht="15" hidden="false" customHeight="false" outlineLevel="0" collapsed="false">
      <c r="A60" s="33" t="n">
        <v>624200</v>
      </c>
      <c r="B60" s="12" t="s">
        <v>282</v>
      </c>
      <c r="C60" s="13" t="s">
        <v>281</v>
      </c>
      <c r="D60" s="20" t="n">
        <v>0</v>
      </c>
      <c r="E60" s="20" t="n">
        <v>0</v>
      </c>
      <c r="F60" s="20" t="n">
        <f aca="false">MAX(0,(H60-I60)-(D60-E60))</f>
        <v>40347964</v>
      </c>
      <c r="G60" s="20" t="n">
        <f aca="false">MAX(0,(D60-E60)-(H60-I60))</f>
        <v>0</v>
      </c>
      <c r="H60" s="15" t="n">
        <f aca="false">ROUND(HYPOTHESES!F$45-(H59+H61+H62+H63+H64+H65+H66+H67),0)</f>
        <v>40347964</v>
      </c>
      <c r="I60" s="20" t="n">
        <v>0</v>
      </c>
      <c r="J60" s="20" t="n">
        <f aca="false">(D60-E60)+(F60-G60)-(H60-I60)</f>
        <v>0</v>
      </c>
    </row>
    <row r="61" customFormat="false" ht="15" hidden="false" customHeight="false" outlineLevel="0" collapsed="false">
      <c r="A61" s="33" t="n">
        <v>625800</v>
      </c>
      <c r="B61" s="12" t="s">
        <v>283</v>
      </c>
      <c r="C61" s="13" t="s">
        <v>281</v>
      </c>
      <c r="D61" s="20" t="n">
        <v>0</v>
      </c>
      <c r="E61" s="20" t="n">
        <v>0</v>
      </c>
      <c r="F61" s="20" t="n">
        <f aca="false">MAX(0,(H61-I61)-(D61-E61))</f>
        <v>5414160</v>
      </c>
      <c r="G61" s="20" t="n">
        <f aca="false">MAX(0,(D61-E61)-(H61-I61))</f>
        <v>0</v>
      </c>
      <c r="H61" s="15" t="n">
        <f aca="false">ROUND(IF(HYPOTHESES!$C$45=0,0,'BALANCE 2024'!$H$61*HYPOTHESES!F$45/HYPOTHESES!$C$45),0)</f>
        <v>5414160</v>
      </c>
      <c r="I61" s="20" t="n">
        <v>0</v>
      </c>
      <c r="J61" s="20" t="n">
        <f aca="false">(D61-E61)+(F61-G61)-(H61-I61)</f>
        <v>0</v>
      </c>
    </row>
    <row r="62" customFormat="false" ht="15" hidden="false" customHeight="false" outlineLevel="0" collapsed="false">
      <c r="A62" s="33" t="n">
        <v>626600</v>
      </c>
      <c r="B62" s="12" t="s">
        <v>284</v>
      </c>
      <c r="C62" s="13" t="s">
        <v>281</v>
      </c>
      <c r="D62" s="20" t="n">
        <v>0</v>
      </c>
      <c r="E62" s="20" t="n">
        <v>0</v>
      </c>
      <c r="F62" s="20" t="n">
        <f aca="false">MAX(0,(H62-I62)-(D62-E62))</f>
        <v>37749</v>
      </c>
      <c r="G62" s="20" t="n">
        <f aca="false">MAX(0,(D62-E62)-(H62-I62))</f>
        <v>0</v>
      </c>
      <c r="H62" s="15" t="n">
        <f aca="false">ROUND(IF(HYPOTHESES!$C$45=0,0,'BALANCE 2024'!$H$62*HYPOTHESES!F$45/HYPOTHESES!$C$45),0)</f>
        <v>37749</v>
      </c>
      <c r="I62" s="20" t="n">
        <v>0</v>
      </c>
      <c r="J62" s="20" t="n">
        <f aca="false">(D62-E62)+(F62-G62)-(H62-I62)</f>
        <v>0</v>
      </c>
    </row>
    <row r="63" customFormat="false" ht="15" hidden="false" customHeight="false" outlineLevel="0" collapsed="false">
      <c r="A63" s="33" t="n">
        <v>627700</v>
      </c>
      <c r="B63" s="12" t="s">
        <v>285</v>
      </c>
      <c r="C63" s="13" t="s">
        <v>281</v>
      </c>
      <c r="D63" s="20" t="n">
        <v>0</v>
      </c>
      <c r="E63" s="20" t="n">
        <v>0</v>
      </c>
      <c r="F63" s="20" t="n">
        <f aca="false">MAX(0,(H63-I63)-(D63-E63))</f>
        <v>69009</v>
      </c>
      <c r="G63" s="20" t="n">
        <f aca="false">MAX(0,(D63-E63)-(H63-I63))</f>
        <v>0</v>
      </c>
      <c r="H63" s="15" t="n">
        <f aca="false">ROUND(IF(HYPOTHESES!$C$45=0,0,'BALANCE 2024'!$H$63*HYPOTHESES!F$45/HYPOTHESES!$C$45),0)</f>
        <v>69009</v>
      </c>
      <c r="I63" s="20" t="n">
        <v>0</v>
      </c>
      <c r="J63" s="20" t="n">
        <f aca="false">(D63-E63)+(F63-G63)-(H63-I63)</f>
        <v>0</v>
      </c>
    </row>
    <row r="64" customFormat="false" ht="15" hidden="false" customHeight="false" outlineLevel="0" collapsed="false">
      <c r="A64" s="33" t="n">
        <v>628800</v>
      </c>
      <c r="B64" s="12" t="s">
        <v>286</v>
      </c>
      <c r="C64" s="13" t="s">
        <v>281</v>
      </c>
      <c r="D64" s="20" t="n">
        <v>0</v>
      </c>
      <c r="E64" s="20" t="n">
        <v>0</v>
      </c>
      <c r="F64" s="20" t="n">
        <f aca="false">MAX(0,(H64-I64)-(D64-E64))</f>
        <v>936690</v>
      </c>
      <c r="G64" s="20" t="n">
        <f aca="false">MAX(0,(D64-E64)-(H64-I64))</f>
        <v>0</v>
      </c>
      <c r="H64" s="15" t="n">
        <f aca="false">ROUND(IF(HYPOTHESES!$C$45=0,0,'BALANCE 2024'!$H$64*HYPOTHESES!F$45/HYPOTHESES!$C$45),0)</f>
        <v>936690</v>
      </c>
      <c r="I64" s="20" t="n">
        <v>0</v>
      </c>
      <c r="J64" s="20" t="n">
        <f aca="false">(D64-E64)+(F64-G64)-(H64-I64)</f>
        <v>0</v>
      </c>
    </row>
    <row r="65" customFormat="false" ht="15" hidden="false" customHeight="false" outlineLevel="0" collapsed="false">
      <c r="A65" s="33" t="n">
        <v>631800</v>
      </c>
      <c r="B65" s="12" t="s">
        <v>287</v>
      </c>
      <c r="C65" s="13" t="s">
        <v>281</v>
      </c>
      <c r="D65" s="20" t="n">
        <v>0</v>
      </c>
      <c r="E65" s="20" t="n">
        <v>0</v>
      </c>
      <c r="F65" s="20" t="n">
        <f aca="false">MAX(0,(H65-I65)-(D65-E65))</f>
        <v>26648373</v>
      </c>
      <c r="G65" s="20" t="n">
        <f aca="false">MAX(0,(D65-E65)-(H65-I65))</f>
        <v>0</v>
      </c>
      <c r="H65" s="15" t="n">
        <f aca="false">ROUND(IF(HYPOTHESES!$C$45=0,0,'BALANCE 2024'!$H$65*HYPOTHESES!F$45/HYPOTHESES!$C$45),0)</f>
        <v>26648373</v>
      </c>
      <c r="I65" s="20" t="n">
        <v>0</v>
      </c>
      <c r="J65" s="20" t="n">
        <f aca="false">(D65-E65)+(F65-G65)-(H65-I65)</f>
        <v>0</v>
      </c>
    </row>
    <row r="66" customFormat="false" ht="15" hidden="false" customHeight="false" outlineLevel="0" collapsed="false">
      <c r="A66" s="33" t="n">
        <v>632800</v>
      </c>
      <c r="B66" s="12" t="s">
        <v>288</v>
      </c>
      <c r="C66" s="13" t="s">
        <v>281</v>
      </c>
      <c r="D66" s="20" t="n">
        <v>0</v>
      </c>
      <c r="E66" s="20" t="n">
        <v>0</v>
      </c>
      <c r="F66" s="20" t="n">
        <f aca="false">MAX(0,(H66-I66)-(D66-E66))</f>
        <v>5606900</v>
      </c>
      <c r="G66" s="20" t="n">
        <f aca="false">MAX(0,(D66-E66)-(H66-I66))</f>
        <v>0</v>
      </c>
      <c r="H66" s="15" t="n">
        <f aca="false">ROUND(IF(HYPOTHESES!$C$45=0,0,'BALANCE 2024'!$H$66*HYPOTHESES!F$45/HYPOTHESES!$C$45),0)</f>
        <v>5606900</v>
      </c>
      <c r="I66" s="20" t="n">
        <v>0</v>
      </c>
      <c r="J66" s="20" t="n">
        <f aca="false">(D66-E66)+(F66-G66)-(H66-I66)</f>
        <v>0</v>
      </c>
    </row>
    <row r="67" customFormat="false" ht="15" hidden="false" customHeight="false" outlineLevel="0" collapsed="false">
      <c r="A67" s="33" t="n">
        <v>638800</v>
      </c>
      <c r="B67" s="12" t="s">
        <v>289</v>
      </c>
      <c r="C67" s="13" t="s">
        <v>281</v>
      </c>
      <c r="D67" s="20" t="n">
        <v>0</v>
      </c>
      <c r="E67" s="20" t="n">
        <v>0</v>
      </c>
      <c r="F67" s="20" t="n">
        <f aca="false">MAX(0,(H67-I67)-(D67-E67))</f>
        <v>27265266</v>
      </c>
      <c r="G67" s="20" t="n">
        <f aca="false">MAX(0,(D67-E67)-(H67-I67))</f>
        <v>0</v>
      </c>
      <c r="H67" s="15" t="n">
        <f aca="false">ROUND(IF(HYPOTHESES!$C$45=0,0,'BALANCE 2024'!$H$67*HYPOTHESES!F$45/HYPOTHESES!$C$45),0)</f>
        <v>27265266</v>
      </c>
      <c r="I67" s="20" t="n">
        <v>0</v>
      </c>
      <c r="J67" s="20" t="n">
        <f aca="false">(D67-E67)+(F67-G67)-(H67-I67)</f>
        <v>0</v>
      </c>
    </row>
    <row r="68" customFormat="false" ht="15" hidden="false" customHeight="false" outlineLevel="0" collapsed="false">
      <c r="A68" s="33" t="n">
        <v>641100</v>
      </c>
      <c r="B68" s="12" t="s">
        <v>290</v>
      </c>
      <c r="C68" s="13" t="s">
        <v>291</v>
      </c>
      <c r="D68" s="20" t="n">
        <v>0</v>
      </c>
      <c r="E68" s="20" t="n">
        <v>0</v>
      </c>
      <c r="F68" s="20" t="n">
        <f aca="false">MAX(0,(H68-I68)-(D68-E68))</f>
        <v>424457</v>
      </c>
      <c r="G68" s="20" t="n">
        <f aca="false">MAX(0,(D68-E68)-(H68-I68))</f>
        <v>0</v>
      </c>
      <c r="H68" s="15" t="n">
        <f aca="false">ROUND(IF(HYPOTHESES!$C$46=0,0,'BALANCE 2024'!$H$68*HYPOTHESES!F$46/HYPOTHESES!$C$46),0)</f>
        <v>424457</v>
      </c>
      <c r="I68" s="20" t="n">
        <v>0</v>
      </c>
      <c r="J68" s="20" t="n">
        <f aca="false">(D68-E68)+(F68-G68)-(H68-I68)</f>
        <v>0</v>
      </c>
    </row>
    <row r="69" customFormat="false" ht="15" hidden="false" customHeight="false" outlineLevel="0" collapsed="false">
      <c r="A69" s="33" t="n">
        <v>641201</v>
      </c>
      <c r="B69" s="12" t="s">
        <v>292</v>
      </c>
      <c r="C69" s="13" t="s">
        <v>291</v>
      </c>
      <c r="D69" s="20" t="n">
        <v>0</v>
      </c>
      <c r="E69" s="20" t="n">
        <v>0</v>
      </c>
      <c r="F69" s="20" t="n">
        <f aca="false">MAX(0,(H69-I69)-(D69-E69))</f>
        <v>10676434</v>
      </c>
      <c r="G69" s="20" t="n">
        <f aca="false">MAX(0,(D69-E69)-(H69-I69))</f>
        <v>0</v>
      </c>
      <c r="H69" s="15" t="n">
        <f aca="false">ROUND(HYPOTHESES!F$46-(H68+H70+H71+H72+H73+H74+H75+H76),0)</f>
        <v>10676434</v>
      </c>
      <c r="I69" s="20" t="n">
        <v>0</v>
      </c>
      <c r="J69" s="20" t="n">
        <f aca="false">(D69-E69)+(F69-G69)-(H69-I69)</f>
        <v>0</v>
      </c>
    </row>
    <row r="70" customFormat="false" ht="15" hidden="false" customHeight="false" outlineLevel="0" collapsed="false">
      <c r="A70" s="33" t="n">
        <v>641202</v>
      </c>
      <c r="B70" s="12" t="s">
        <v>293</v>
      </c>
      <c r="C70" s="13" t="s">
        <v>291</v>
      </c>
      <c r="D70" s="20" t="n">
        <v>0</v>
      </c>
      <c r="E70" s="20" t="n">
        <v>0</v>
      </c>
      <c r="F70" s="20" t="n">
        <f aca="false">MAX(0,(H70-I70)-(D70-E70))</f>
        <v>1825986</v>
      </c>
      <c r="G70" s="20" t="n">
        <f aca="false">MAX(0,(D70-E70)-(H70-I70))</f>
        <v>0</v>
      </c>
      <c r="H70" s="15" t="n">
        <f aca="false">ROUND(IF(HYPOTHESES!$C$46=0,0,'BALANCE 2024'!$H$70*HYPOTHESES!F$46/HYPOTHESES!$C$46),0)</f>
        <v>1825986</v>
      </c>
      <c r="I70" s="20" t="n">
        <v>0</v>
      </c>
      <c r="J70" s="20" t="n">
        <f aca="false">(D70-E70)+(F70-G70)-(H70-I70)</f>
        <v>0</v>
      </c>
    </row>
    <row r="71" customFormat="false" ht="15" hidden="false" customHeight="false" outlineLevel="0" collapsed="false">
      <c r="A71" s="33" t="n">
        <v>641300</v>
      </c>
      <c r="B71" s="12" t="s">
        <v>294</v>
      </c>
      <c r="C71" s="13" t="s">
        <v>291</v>
      </c>
      <c r="D71" s="20" t="n">
        <v>0</v>
      </c>
      <c r="E71" s="20" t="n">
        <v>0</v>
      </c>
      <c r="F71" s="20" t="n">
        <f aca="false">MAX(0,(H71-I71)-(D71-E71))</f>
        <v>974572</v>
      </c>
      <c r="G71" s="20" t="n">
        <f aca="false">MAX(0,(D71-E71)-(H71-I71))</f>
        <v>0</v>
      </c>
      <c r="H71" s="15" t="n">
        <f aca="false">ROUND(IF(HYPOTHESES!$C$46=0,0,'BALANCE 2024'!$H$71*HYPOTHESES!F$46/HYPOTHESES!$C$46),0)</f>
        <v>974572</v>
      </c>
      <c r="I71" s="20" t="n">
        <v>0</v>
      </c>
      <c r="J71" s="20" t="n">
        <f aca="false">(D71-E71)+(F71-G71)-(H71-I71)</f>
        <v>0</v>
      </c>
    </row>
    <row r="72" customFormat="false" ht="15" hidden="false" customHeight="false" outlineLevel="0" collapsed="false">
      <c r="A72" s="33" t="n">
        <v>641400</v>
      </c>
      <c r="B72" s="12" t="s">
        <v>295</v>
      </c>
      <c r="C72" s="13" t="s">
        <v>291</v>
      </c>
      <c r="D72" s="20" t="n">
        <v>0</v>
      </c>
      <c r="E72" s="20" t="n">
        <v>0</v>
      </c>
      <c r="F72" s="20" t="n">
        <f aca="false">MAX(0,(H72-I72)-(D72-E72))</f>
        <v>122699</v>
      </c>
      <c r="G72" s="20" t="n">
        <f aca="false">MAX(0,(D72-E72)-(H72-I72))</f>
        <v>0</v>
      </c>
      <c r="H72" s="15" t="n">
        <f aca="false">ROUND(IF(HYPOTHESES!$C$46=0,0,'BALANCE 2024'!$H$72*HYPOTHESES!F$46/HYPOTHESES!$C$46),0)</f>
        <v>122699</v>
      </c>
      <c r="I72" s="20" t="n">
        <v>0</v>
      </c>
      <c r="J72" s="20" t="n">
        <f aca="false">(D72-E72)+(F72-G72)-(H72-I72)</f>
        <v>0</v>
      </c>
    </row>
    <row r="73" customFormat="false" ht="15" hidden="false" customHeight="false" outlineLevel="0" collapsed="false">
      <c r="A73" s="33" t="n">
        <v>641500</v>
      </c>
      <c r="B73" s="12" t="s">
        <v>296</v>
      </c>
      <c r="C73" s="13" t="s">
        <v>291</v>
      </c>
      <c r="D73" s="20" t="n">
        <v>0</v>
      </c>
      <c r="E73" s="20" t="n">
        <v>0</v>
      </c>
      <c r="F73" s="20" t="n">
        <f aca="false">MAX(0,(H73-I73)-(D73-E73))</f>
        <v>368112</v>
      </c>
      <c r="G73" s="20" t="n">
        <f aca="false">MAX(0,(D73-E73)-(H73-I73))</f>
        <v>0</v>
      </c>
      <c r="H73" s="15" t="n">
        <f aca="false">ROUND(IF(HYPOTHESES!$C$46=0,0,'BALANCE 2024'!$H$73*HYPOTHESES!F$46/HYPOTHESES!$C$46),0)</f>
        <v>368112</v>
      </c>
      <c r="I73" s="20" t="n">
        <v>0</v>
      </c>
      <c r="J73" s="20" t="n">
        <f aca="false">(D73-E73)+(F73-G73)-(H73-I73)</f>
        <v>0</v>
      </c>
    </row>
    <row r="74" customFormat="false" ht="15" hidden="false" customHeight="false" outlineLevel="0" collapsed="false">
      <c r="A74" s="33" t="n">
        <v>641830</v>
      </c>
      <c r="B74" s="12" t="s">
        <v>297</v>
      </c>
      <c r="C74" s="13" t="s">
        <v>291</v>
      </c>
      <c r="D74" s="20" t="n">
        <v>0</v>
      </c>
      <c r="E74" s="20" t="n">
        <v>0</v>
      </c>
      <c r="F74" s="20" t="n">
        <f aca="false">MAX(0,(H74-I74)-(D74-E74))</f>
        <v>249587</v>
      </c>
      <c r="G74" s="20" t="n">
        <f aca="false">MAX(0,(D74-E74)-(H74-I74))</f>
        <v>0</v>
      </c>
      <c r="H74" s="15" t="n">
        <f aca="false">ROUND(IF(HYPOTHESES!$C$46=0,0,'BALANCE 2024'!$H$74*HYPOTHESES!F$46/HYPOTHESES!$C$46),0)</f>
        <v>249587</v>
      </c>
      <c r="I74" s="20" t="n">
        <v>0</v>
      </c>
      <c r="J74" s="20" t="n">
        <f aca="false">(D74-E74)+(F74-G74)-(H74-I74)</f>
        <v>0</v>
      </c>
    </row>
    <row r="75" customFormat="false" ht="15" hidden="false" customHeight="false" outlineLevel="0" collapsed="false">
      <c r="A75" s="33" t="n">
        <v>646200</v>
      </c>
      <c r="B75" s="12" t="s">
        <v>298</v>
      </c>
      <c r="C75" s="13" t="s">
        <v>291</v>
      </c>
      <c r="D75" s="20" t="n">
        <v>0</v>
      </c>
      <c r="E75" s="20" t="n">
        <v>0</v>
      </c>
      <c r="F75" s="20" t="n">
        <f aca="false">MAX(0,(H75-I75)-(D75-E75))</f>
        <v>2034621</v>
      </c>
      <c r="G75" s="20" t="n">
        <f aca="false">MAX(0,(D75-E75)-(H75-I75))</f>
        <v>0</v>
      </c>
      <c r="H75" s="15" t="n">
        <f aca="false">ROUND(IF(HYPOTHESES!$C$46=0,0,'BALANCE 2024'!$H$75*HYPOTHESES!F$46/HYPOTHESES!$C$46),0)</f>
        <v>2034621</v>
      </c>
      <c r="I75" s="20" t="n">
        <v>0</v>
      </c>
      <c r="J75" s="20" t="n">
        <f aca="false">(D75-E75)+(F75-G75)-(H75-I75)</f>
        <v>0</v>
      </c>
    </row>
    <row r="76" customFormat="false" ht="15" hidden="false" customHeight="false" outlineLevel="0" collapsed="false">
      <c r="A76" s="33" t="n">
        <v>648000</v>
      </c>
      <c r="B76" s="12" t="s">
        <v>299</v>
      </c>
      <c r="C76" s="13" t="s">
        <v>291</v>
      </c>
      <c r="D76" s="20" t="n">
        <v>0</v>
      </c>
      <c r="E76" s="20" t="n">
        <v>0</v>
      </c>
      <c r="F76" s="20" t="n">
        <f aca="false">MAX(0,(H76-I76)-(D76-E76))</f>
        <v>855586</v>
      </c>
      <c r="G76" s="20" t="n">
        <f aca="false">MAX(0,(D76-E76)-(H76-I76))</f>
        <v>0</v>
      </c>
      <c r="H76" s="15" t="n">
        <f aca="false">ROUND(IF(HYPOTHESES!$C$46=0,0,'BALANCE 2024'!$H$76*HYPOTHESES!F$46/HYPOTHESES!$C$46),0)</f>
        <v>855586</v>
      </c>
      <c r="I76" s="20" t="n">
        <v>0</v>
      </c>
      <c r="J76" s="20" t="n">
        <f aca="false">(D76-E76)+(F76-G76)-(H76-I76)</f>
        <v>0</v>
      </c>
    </row>
    <row r="77" customFormat="false" ht="15" hidden="false" customHeight="false" outlineLevel="0" collapsed="false">
      <c r="A77" s="33" t="n">
        <v>658800</v>
      </c>
      <c r="B77" s="12" t="s">
        <v>300</v>
      </c>
      <c r="C77" s="13" t="s">
        <v>301</v>
      </c>
      <c r="D77" s="20" t="n">
        <v>0</v>
      </c>
      <c r="E77" s="20" t="n">
        <v>0</v>
      </c>
      <c r="F77" s="20" t="n">
        <f aca="false">MAX(0,(H77-I77)-(D77-E77))</f>
        <v>1571269</v>
      </c>
      <c r="G77" s="20" t="n">
        <f aca="false">MAX(0,(D77-E77)-(H77-I77))</f>
        <v>0</v>
      </c>
      <c r="H77" s="15" t="n">
        <f aca="false">ROUND(HYPOTHESES!F$47,0)</f>
        <v>1571269</v>
      </c>
      <c r="I77" s="20" t="n">
        <v>0</v>
      </c>
      <c r="J77" s="20" t="n">
        <f aca="false">(D77-E77)+(F77-G77)-(H77-I77)</f>
        <v>0</v>
      </c>
    </row>
    <row r="78" customFormat="false" ht="15" hidden="false" customHeight="false" outlineLevel="0" collapsed="false">
      <c r="A78" s="33" t="n">
        <v>661100</v>
      </c>
      <c r="B78" s="12" t="s">
        <v>302</v>
      </c>
      <c r="C78" s="13" t="s">
        <v>303</v>
      </c>
      <c r="D78" s="20" t="n">
        <v>0</v>
      </c>
      <c r="E78" s="20" t="n">
        <v>0</v>
      </c>
      <c r="F78" s="20" t="n">
        <f aca="false">MAX(0,(H78-I78)-(D78-E78))</f>
        <v>69556600</v>
      </c>
      <c r="G78" s="20" t="n">
        <f aca="false">MAX(0,(D78-E78)-(H78-I78))</f>
        <v>0</v>
      </c>
      <c r="H78" s="15" t="n">
        <f aca="false">ROUND(HYPOTHESES!F$48-(H79+H80+H81+H82+H83),0)</f>
        <v>69556600</v>
      </c>
      <c r="I78" s="20" t="n">
        <v>0</v>
      </c>
      <c r="J78" s="20" t="n">
        <f aca="false">(D78-E78)+(F78-G78)-(H78-I78)</f>
        <v>0</v>
      </c>
    </row>
    <row r="79" customFormat="false" ht="15" hidden="false" customHeight="false" outlineLevel="0" collapsed="false">
      <c r="A79" s="33" t="n">
        <v>661200</v>
      </c>
      <c r="B79" s="12" t="s">
        <v>304</v>
      </c>
      <c r="C79" s="13" t="s">
        <v>303</v>
      </c>
      <c r="D79" s="20" t="n">
        <v>0</v>
      </c>
      <c r="E79" s="20" t="n">
        <v>0</v>
      </c>
      <c r="F79" s="20" t="n">
        <f aca="false">MAX(0,(H79-I79)-(D79-E79))</f>
        <v>23513642</v>
      </c>
      <c r="G79" s="20" t="n">
        <f aca="false">MAX(0,(D79-E79)-(H79-I79))</f>
        <v>0</v>
      </c>
      <c r="H79" s="15" t="n">
        <f aca="false">ROUND(IF(HYPOTHESES!$C$48=0,0,'BALANCE 2024'!$H$79*HYPOTHESES!F$48/HYPOTHESES!$C$48),0)</f>
        <v>23513642</v>
      </c>
      <c r="I79" s="20" t="n">
        <v>0</v>
      </c>
      <c r="J79" s="20" t="n">
        <f aca="false">(D79-E79)+(F79-G79)-(H79-I79)</f>
        <v>0</v>
      </c>
    </row>
    <row r="80" customFormat="false" ht="15" hidden="false" customHeight="false" outlineLevel="0" collapsed="false">
      <c r="A80" s="33" t="n">
        <v>661300</v>
      </c>
      <c r="B80" s="12" t="s">
        <v>305</v>
      </c>
      <c r="C80" s="13" t="s">
        <v>303</v>
      </c>
      <c r="D80" s="20" t="n">
        <v>0</v>
      </c>
      <c r="E80" s="20" t="n">
        <v>0</v>
      </c>
      <c r="F80" s="20" t="n">
        <f aca="false">MAX(0,(H80-I80)-(D80-E80))</f>
        <v>7758368</v>
      </c>
      <c r="G80" s="20" t="n">
        <f aca="false">MAX(0,(D80-E80)-(H80-I80))</f>
        <v>0</v>
      </c>
      <c r="H80" s="15" t="n">
        <f aca="false">ROUND(IF(HYPOTHESES!$C$48=0,0,'BALANCE 2024'!$H$80*HYPOTHESES!F$48/HYPOTHESES!$C$48),0)</f>
        <v>7758368</v>
      </c>
      <c r="I80" s="20" t="n">
        <v>0</v>
      </c>
      <c r="J80" s="20" t="n">
        <f aca="false">(D80-E80)+(F80-G80)-(H80-I80)</f>
        <v>0</v>
      </c>
    </row>
    <row r="81" customFormat="false" ht="15" hidden="false" customHeight="false" outlineLevel="0" collapsed="false">
      <c r="A81" s="33" t="n">
        <v>661400</v>
      </c>
      <c r="B81" s="12" t="s">
        <v>306</v>
      </c>
      <c r="C81" s="13" t="s">
        <v>303</v>
      </c>
      <c r="D81" s="20" t="n">
        <v>0</v>
      </c>
      <c r="E81" s="20" t="n">
        <v>0</v>
      </c>
      <c r="F81" s="20" t="n">
        <f aca="false">MAX(0,(H81-I81)-(D81-E81))</f>
        <v>7834949</v>
      </c>
      <c r="G81" s="20" t="n">
        <f aca="false">MAX(0,(D81-E81)-(H81-I81))</f>
        <v>0</v>
      </c>
      <c r="H81" s="15" t="n">
        <f aca="false">ROUND(IF(HYPOTHESES!$C$48=0,0,'BALANCE 2024'!$H$81*HYPOTHESES!F$48/HYPOTHESES!$C$48),0)</f>
        <v>7834949</v>
      </c>
      <c r="I81" s="20" t="n">
        <v>0</v>
      </c>
      <c r="J81" s="20" t="n">
        <f aca="false">(D81-E81)+(F81-G81)-(H81-I81)</f>
        <v>0</v>
      </c>
    </row>
    <row r="82" customFormat="false" ht="15" hidden="false" customHeight="false" outlineLevel="0" collapsed="false">
      <c r="A82" s="33" t="n">
        <v>663400</v>
      </c>
      <c r="B82" s="12" t="s">
        <v>307</v>
      </c>
      <c r="C82" s="13" t="s">
        <v>303</v>
      </c>
      <c r="D82" s="20" t="n">
        <v>0</v>
      </c>
      <c r="E82" s="20" t="n">
        <v>0</v>
      </c>
      <c r="F82" s="20" t="n">
        <f aca="false">MAX(0,(H82-I82)-(D82-E82))</f>
        <v>8114786</v>
      </c>
      <c r="G82" s="20" t="n">
        <f aca="false">MAX(0,(D82-E82)-(H82-I82))</f>
        <v>0</v>
      </c>
      <c r="H82" s="15" t="n">
        <f aca="false">ROUND(IF(HYPOTHESES!$C$48=0,0,'BALANCE 2024'!$H$82*HYPOTHESES!F$48/HYPOTHESES!$C$48),0)</f>
        <v>8114786</v>
      </c>
      <c r="I82" s="20" t="n">
        <v>0</v>
      </c>
      <c r="J82" s="20" t="n">
        <f aca="false">(D82-E82)+(F82-G82)-(H82-I82)</f>
        <v>0</v>
      </c>
    </row>
    <row r="83" customFormat="false" ht="15" hidden="false" customHeight="false" outlineLevel="0" collapsed="false">
      <c r="A83" s="33" t="n">
        <v>664104</v>
      </c>
      <c r="B83" s="12" t="s">
        <v>308</v>
      </c>
      <c r="C83" s="13" t="s">
        <v>303</v>
      </c>
      <c r="D83" s="20" t="n">
        <v>0</v>
      </c>
      <c r="E83" s="20" t="n">
        <v>0</v>
      </c>
      <c r="F83" s="20" t="n">
        <f aca="false">MAX(0,(H83-I83)-(D83-E83))</f>
        <v>8261585</v>
      </c>
      <c r="G83" s="20" t="n">
        <f aca="false">MAX(0,(D83-E83)-(H83-I83))</f>
        <v>0</v>
      </c>
      <c r="H83" s="15" t="n">
        <f aca="false">ROUND(IF(HYPOTHESES!$C$48=0,0,'BALANCE 2024'!$H$83*HYPOTHESES!F$48/HYPOTHESES!$C$48),0)</f>
        <v>8261585</v>
      </c>
      <c r="I83" s="20" t="n">
        <v>0</v>
      </c>
      <c r="J83" s="20" t="n">
        <f aca="false">(D83-E83)+(F83-G83)-(H83-I83)</f>
        <v>0</v>
      </c>
    </row>
    <row r="84" customFormat="false" ht="15" hidden="false" customHeight="false" outlineLevel="0" collapsed="false">
      <c r="A84" s="33" t="n">
        <v>671201</v>
      </c>
      <c r="B84" s="12" t="s">
        <v>309</v>
      </c>
      <c r="C84" s="13" t="s">
        <v>310</v>
      </c>
      <c r="D84" s="20" t="n">
        <v>0</v>
      </c>
      <c r="E84" s="20" t="n">
        <v>0</v>
      </c>
      <c r="F84" s="20" t="n">
        <f aca="false">MAX(0,(H84-I84)-(D84-E84))</f>
        <v>0</v>
      </c>
      <c r="G84" s="20" t="n">
        <f aca="false">MAX(0,(D84-E84)-(H84-I84))</f>
        <v>0</v>
      </c>
      <c r="H84" s="15" t="n">
        <f aca="false">ROUND('INVEST ET FINANCEMENT'!F$64,0)</f>
        <v>0</v>
      </c>
      <c r="I84" s="20" t="n">
        <v>0</v>
      </c>
      <c r="J84" s="20" t="n">
        <f aca="false">(D84-E84)+(F84-G84)-(H84-I84)</f>
        <v>0</v>
      </c>
    </row>
    <row r="85" customFormat="false" ht="15" hidden="false" customHeight="false" outlineLevel="0" collapsed="false">
      <c r="A85" s="33" t="n">
        <v>672301</v>
      </c>
      <c r="B85" s="12" t="s">
        <v>311</v>
      </c>
      <c r="C85" s="13" t="s">
        <v>310</v>
      </c>
      <c r="D85" s="20" t="n">
        <v>0</v>
      </c>
      <c r="E85" s="20" t="n">
        <v>0</v>
      </c>
      <c r="F85" s="20" t="n">
        <f aca="false">MAX(0,(H85-I85)-(D85-E85))</f>
        <v>0</v>
      </c>
      <c r="G85" s="20" t="n">
        <f aca="false">MAX(0,(D85-E85)-(H85-I85))</f>
        <v>0</v>
      </c>
      <c r="H85" s="15" t="n">
        <f aca="false">ROUND('INVEST ET FINANCEMENT'!F$65,0)</f>
        <v>0</v>
      </c>
      <c r="I85" s="20" t="n">
        <v>0</v>
      </c>
      <c r="J85" s="20" t="n">
        <f aca="false">(D85-E85)+(F85-G85)-(H85-I85)</f>
        <v>0</v>
      </c>
    </row>
    <row r="86" customFormat="false" ht="15" hidden="false" customHeight="false" outlineLevel="0" collapsed="false">
      <c r="A86" s="33" t="n">
        <v>681301</v>
      </c>
      <c r="B86" s="12" t="s">
        <v>312</v>
      </c>
      <c r="C86" s="13" t="s">
        <v>313</v>
      </c>
      <c r="D86" s="20" t="n">
        <v>0</v>
      </c>
      <c r="E86" s="20" t="n">
        <v>0</v>
      </c>
      <c r="F86" s="20" t="n">
        <f aca="false">MAX(0,(H86-I86)-(D86-E86))</f>
        <v>19282845</v>
      </c>
      <c r="G86" s="20" t="n">
        <f aca="false">MAX(0,(D86-E86)-(H86-I86))</f>
        <v>0</v>
      </c>
      <c r="H86" s="15" t="n">
        <f aca="false">ROUND('INVEST ET FINANCEMENT'!F$31,0)</f>
        <v>19282845</v>
      </c>
      <c r="I86" s="20" t="n">
        <v>0</v>
      </c>
      <c r="J86" s="20" t="n">
        <f aca="false">(D86-E86)+(F86-G86)-(H86-I86)</f>
        <v>0</v>
      </c>
    </row>
    <row r="87" customFormat="false" ht="15" hidden="false" customHeight="false" outlineLevel="0" collapsed="false">
      <c r="A87" s="33" t="n">
        <v>681302</v>
      </c>
      <c r="B87" s="12" t="s">
        <v>314</v>
      </c>
      <c r="C87" s="13" t="s">
        <v>313</v>
      </c>
      <c r="D87" s="20" t="n">
        <v>0</v>
      </c>
      <c r="E87" s="20" t="n">
        <v>0</v>
      </c>
      <c r="F87" s="20" t="n">
        <f aca="false">MAX(0,(H87-I87)-(D87-E87))</f>
        <v>56854932</v>
      </c>
      <c r="G87" s="20" t="n">
        <f aca="false">MAX(0,(D87-E87)-(H87-I87))</f>
        <v>0</v>
      </c>
      <c r="H87" s="15" t="n">
        <f aca="false">ROUND('INVEST ET FINANCEMENT'!F$34,0)</f>
        <v>56854932</v>
      </c>
      <c r="I87" s="20" t="n">
        <v>0</v>
      </c>
      <c r="J87" s="20" t="n">
        <f aca="false">(D87-E87)+(F87-G87)-(H87-I87)</f>
        <v>0</v>
      </c>
    </row>
    <row r="88" customFormat="false" ht="15" hidden="false" customHeight="false" outlineLevel="0" collapsed="false">
      <c r="A88" s="33" t="n">
        <v>681303</v>
      </c>
      <c r="B88" s="12" t="s">
        <v>315</v>
      </c>
      <c r="C88" s="13" t="s">
        <v>313</v>
      </c>
      <c r="D88" s="20" t="n">
        <v>0</v>
      </c>
      <c r="E88" s="20" t="n">
        <v>0</v>
      </c>
      <c r="F88" s="20" t="n">
        <f aca="false">MAX(0,(H88-I88)-(D88-E88))</f>
        <v>5000000</v>
      </c>
      <c r="G88" s="20" t="n">
        <f aca="false">MAX(0,(D88-E88)-(H88-I88))</f>
        <v>0</v>
      </c>
      <c r="H88" s="15" t="n">
        <f aca="false">ROUND('INVEST ET FINANCEMENT'!F$37,0)</f>
        <v>5000000</v>
      </c>
      <c r="I88" s="20" t="n">
        <v>0</v>
      </c>
      <c r="J88" s="20" t="n">
        <f aca="false">(D88-E88)+(F88-G88)-(H88-I88)</f>
        <v>0</v>
      </c>
    </row>
    <row r="89" customFormat="false" ht="15" hidden="false" customHeight="false" outlineLevel="0" collapsed="false">
      <c r="A89" s="33" t="n">
        <v>681304</v>
      </c>
      <c r="B89" s="12" t="s">
        <v>316</v>
      </c>
      <c r="C89" s="13" t="s">
        <v>313</v>
      </c>
      <c r="D89" s="20" t="n">
        <v>0</v>
      </c>
      <c r="E89" s="20" t="n">
        <v>0</v>
      </c>
      <c r="F89" s="20" t="n">
        <f aca="false">MAX(0,(H89-I89)-(D89-E89))</f>
        <v>15958378</v>
      </c>
      <c r="G89" s="20" t="n">
        <f aca="false">MAX(0,(D89-E89)-(H89-I89))</f>
        <v>0</v>
      </c>
      <c r="H89" s="15" t="n">
        <f aca="false">ROUND('INVEST ET FINANCEMENT'!F$40,0)</f>
        <v>15958378</v>
      </c>
      <c r="I89" s="20" t="n">
        <v>0</v>
      </c>
      <c r="J89" s="20" t="n">
        <f aca="false">(D89-E89)+(F89-G89)-(H89-I89)</f>
        <v>0</v>
      </c>
    </row>
    <row r="90" customFormat="false" ht="15" hidden="false" customHeight="false" outlineLevel="0" collapsed="false">
      <c r="A90" s="33" t="n">
        <v>691100</v>
      </c>
      <c r="B90" s="12" t="s">
        <v>317</v>
      </c>
      <c r="C90" s="13" t="s">
        <v>313</v>
      </c>
      <c r="D90" s="20" t="n">
        <v>0</v>
      </c>
      <c r="E90" s="20" t="n">
        <v>0</v>
      </c>
      <c r="F90" s="20" t="n">
        <f aca="false">MAX(0,(H90-I90)-(D90-E90))</f>
        <v>6059296</v>
      </c>
      <c r="G90" s="20" t="n">
        <f aca="false">MAX(0,(D90-E90)-(H90-I90))</f>
        <v>0</v>
      </c>
      <c r="H90" s="15" t="n">
        <f aca="false">ROUND(HYPOTHESES!F$50,0)</f>
        <v>6059296</v>
      </c>
      <c r="I90" s="20" t="n">
        <v>0</v>
      </c>
      <c r="J90" s="20" t="n">
        <f aca="false">(D90-E90)+(F90-G90)-(H90-I90)</f>
        <v>0</v>
      </c>
    </row>
    <row r="91" customFormat="false" ht="15" hidden="false" customHeight="false" outlineLevel="0" collapsed="false">
      <c r="A91" s="28" t="n">
        <v>705100</v>
      </c>
      <c r="B91" s="29" t="s">
        <v>318</v>
      </c>
      <c r="C91" s="30" t="s">
        <v>319</v>
      </c>
      <c r="D91" s="32" t="n">
        <v>0</v>
      </c>
      <c r="E91" s="32" t="n">
        <v>0</v>
      </c>
      <c r="F91" s="32" t="n">
        <f aca="false">MAX(0,(H91-I91)-(D91-E91))</f>
        <v>0</v>
      </c>
      <c r="G91" s="32" t="n">
        <f aca="false">MAX(0,(D91-E91)-(H91-I91))</f>
        <v>826983667</v>
      </c>
      <c r="H91" s="32" t="n">
        <v>0</v>
      </c>
      <c r="I91" s="37" t="n">
        <f aca="false">ROUND(HYPOTHESES!F$42,0)</f>
        <v>826983667</v>
      </c>
      <c r="J91" s="32" t="n">
        <f aca="false">(D91-E91)+(F91-G91)-(H91-I91)</f>
        <v>0</v>
      </c>
    </row>
    <row r="92" customFormat="false" ht="15" hidden="false" customHeight="false" outlineLevel="0" collapsed="false">
      <c r="A92" s="33" t="n">
        <v>771200</v>
      </c>
      <c r="B92" s="12" t="s">
        <v>320</v>
      </c>
      <c r="C92" s="13" t="s">
        <v>321</v>
      </c>
      <c r="D92" s="20" t="n">
        <v>0</v>
      </c>
      <c r="E92" s="20" t="n">
        <v>0</v>
      </c>
      <c r="F92" s="20" t="n">
        <f aca="false">MAX(0,(H92-I92)-(D92-E92))</f>
        <v>0</v>
      </c>
      <c r="G92" s="20" t="n">
        <f aca="false">MAX(0,(D92-E92)-(H92-I92))</f>
        <v>848594</v>
      </c>
      <c r="H92" s="20" t="n">
        <v>0</v>
      </c>
      <c r="I92" s="15" t="n">
        <f aca="false">ROUND(HYPOTHESES!F$51,0)</f>
        <v>848594</v>
      </c>
      <c r="J92" s="20" t="n">
        <f aca="false">(D92-E92)+(F92-G92)-(H92-I92)</f>
        <v>0</v>
      </c>
    </row>
    <row r="93" customFormat="false" ht="15" hidden="false" customHeight="false" outlineLevel="0" collapsed="false">
      <c r="A93" s="28" t="n">
        <v>891100</v>
      </c>
      <c r="B93" s="29" t="s">
        <v>322</v>
      </c>
      <c r="C93" s="30" t="s">
        <v>323</v>
      </c>
      <c r="D93" s="32" t="n">
        <v>0</v>
      </c>
      <c r="E93" s="32" t="n">
        <v>0</v>
      </c>
      <c r="F93" s="32" t="n">
        <f aca="false">MAX(0,(H93-I93)-(D93-E93))</f>
        <v>30492779</v>
      </c>
      <c r="G93" s="32" t="n">
        <f aca="false">MAX(0,(D93-E93)-(H93-I93))</f>
        <v>0</v>
      </c>
      <c r="H93" s="37" t="n">
        <f aca="false">ROUND(IF(HYPOTHESES!F$54&gt;=HYPOTHESES!F$55,HYPOTHESES!F$56,0),0)</f>
        <v>30492779</v>
      </c>
      <c r="I93" s="32" t="n">
        <v>0</v>
      </c>
      <c r="J93" s="32" t="n">
        <f aca="false">(D93-E93)+(F93-G93)-(H93-I93)</f>
        <v>0</v>
      </c>
    </row>
    <row r="94" customFormat="false" ht="15" hidden="false" customHeight="false" outlineLevel="0" collapsed="false">
      <c r="A94" s="33" t="n">
        <v>895000</v>
      </c>
      <c r="B94" s="12" t="s">
        <v>324</v>
      </c>
      <c r="C94" s="13" t="s">
        <v>323</v>
      </c>
      <c r="D94" s="20" t="n">
        <v>0</v>
      </c>
      <c r="E94" s="20" t="n">
        <v>0</v>
      </c>
      <c r="F94" s="20" t="n">
        <f aca="false">MAX(0,(H94-I94)-(D94-E94))</f>
        <v>0</v>
      </c>
      <c r="G94" s="20" t="n">
        <f aca="false">MAX(0,(D94-E94)-(H94-I94))</f>
        <v>0</v>
      </c>
      <c r="H94" s="15" t="n">
        <f aca="false">ROUND(IF(HYPOTHESES!F$54&lt;HYPOTHESES!F$55,HYPOTHESES!F$56,0),0)</f>
        <v>0</v>
      </c>
      <c r="I94" s="20" t="n">
        <v>0</v>
      </c>
      <c r="J94" s="20" t="n">
        <f aca="false">(D94-E94)+(F94-G94)-(H94-I94)</f>
        <v>0</v>
      </c>
    </row>
    <row r="96" customFormat="false" ht="15" hidden="false" customHeight="false" outlineLevel="0" collapsed="false">
      <c r="A96" s="34"/>
      <c r="B96" s="35" t="s">
        <v>325</v>
      </c>
      <c r="C96" s="34"/>
      <c r="D96" s="36" t="n">
        <f aca="false">SUM(D5:D94)</f>
        <v>1918023362</v>
      </c>
      <c r="E96" s="36" t="n">
        <f aca="false">SUM(E5:E94)</f>
        <v>1918023362</v>
      </c>
      <c r="F96" s="36" t="n">
        <f aca="false">SUM(F5:F94)</f>
        <v>3991287342</v>
      </c>
      <c r="G96" s="36" t="n">
        <f aca="false">SUM(G5:G94)</f>
        <v>3991287342</v>
      </c>
      <c r="H96" s="36" t="n">
        <f aca="false">SUM(H5:H94)</f>
        <v>2859288843</v>
      </c>
      <c r="I96" s="36" t="n">
        <f aca="false">SUM(I5:I94)</f>
        <v>2859288843</v>
      </c>
      <c r="J96" s="36" t="n">
        <f aca="false">SUM(J5:J94)</f>
        <v>0</v>
      </c>
    </row>
    <row r="97" customFormat="false" ht="15" hidden="false" customHeight="false" outlineLevel="0" collapsed="false">
      <c r="B97" s="4" t="s">
        <v>326</v>
      </c>
      <c r="D97" s="21" t="n">
        <f aca="false">D96-E96</f>
        <v>0</v>
      </c>
      <c r="F97" s="21" t="n">
        <f aca="false">F96-G96</f>
        <v>0</v>
      </c>
      <c r="H97" s="21" t="n">
        <f aca="false">H96-I96</f>
        <v>0</v>
      </c>
    </row>
    <row r="99" customFormat="false" ht="15" hidden="false" customHeight="false" outlineLevel="0" collapsed="false">
      <c r="B99" s="7" t="s">
        <v>329</v>
      </c>
      <c r="H99" s="20" t="n">
        <f aca="false">-(SUM(H5:H44)-SUM(I5:I44)+SUM(H47:H94)-SUM(I47:I94))</f>
        <v>369590974</v>
      </c>
    </row>
    <row r="100" customFormat="false" ht="15" hidden="false" customHeight="false" outlineLevel="0" collapsed="false">
      <c r="B100" s="7" t="s">
        <v>330</v>
      </c>
      <c r="H100" s="20" t="n">
        <f aca="false">ROUND((G26+HYPOTHESES!F$51+'INVEST ET FINANCEMENT'!F$47+'INVEST ET FINANCEMENT'!F$51+(D45-E45)+(D46-E46)-H99)/(1-HYPOTHESES!F$29*(1-HYPOTHESES!F$30)),0)</f>
        <v>808394555</v>
      </c>
    </row>
    <row r="101" customFormat="false" ht="15" hidden="false" customHeight="false" outlineLevel="0" collapsed="false">
      <c r="B101" s="7" t="s">
        <v>331</v>
      </c>
      <c r="H101" s="20" t="n">
        <f aca="false">ROUND(HYPOTHESES!F$29*H100,0)</f>
        <v>161678911</v>
      </c>
    </row>
  </sheetData>
  <mergeCells count="4">
    <mergeCell ref="A1:J1"/>
    <mergeCell ref="D3:E3"/>
    <mergeCell ref="F3:G3"/>
    <mergeCell ref="H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ignoredErrors>
    <ignoredError sqref="A1:Z400" formula="1" formulaRange="1" unlockedFormula="1" numberStoredAsText="1" emptyCellReferenc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J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6"/>
    <col collapsed="false" customWidth="true" hidden="false" outlineLevel="0" max="3" min="3" style="0" width="7"/>
    <col collapsed="false" customWidth="true" hidden="false" outlineLevel="0" max="9" min="4" style="0" width="15"/>
    <col collapsed="false" customWidth="true" hidden="false" outlineLevel="0" max="10" min="10" style="0" width="13"/>
  </cols>
  <sheetData>
    <row r="1" customFormat="false" ht="24" hidden="false" customHeight="true" outlineLevel="0" collapsed="false">
      <c r="A1" s="1" t="s">
        <v>334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328</v>
      </c>
    </row>
    <row r="3" customFormat="false" ht="15" hidden="false" customHeight="false" outlineLevel="0" collapsed="false">
      <c r="A3" s="25"/>
      <c r="B3" s="25"/>
      <c r="C3" s="25"/>
      <c r="D3" s="26" t="s">
        <v>196</v>
      </c>
      <c r="E3" s="26"/>
      <c r="F3" s="26" t="s">
        <v>197</v>
      </c>
      <c r="G3" s="26"/>
      <c r="H3" s="26" t="s">
        <v>198</v>
      </c>
      <c r="I3" s="26"/>
      <c r="J3" s="27" t="s">
        <v>199</v>
      </c>
    </row>
    <row r="4" customFormat="false" ht="15" hidden="false" customHeight="false" outlineLevel="0" collapsed="false">
      <c r="A4" s="8" t="s">
        <v>200</v>
      </c>
      <c r="B4" s="8" t="s">
        <v>201</v>
      </c>
      <c r="C4" s="8" t="s">
        <v>202</v>
      </c>
      <c r="D4" s="8" t="s">
        <v>203</v>
      </c>
      <c r="E4" s="8" t="s">
        <v>204</v>
      </c>
      <c r="F4" s="8" t="s">
        <v>203</v>
      </c>
      <c r="G4" s="8" t="s">
        <v>204</v>
      </c>
      <c r="H4" s="8" t="s">
        <v>203</v>
      </c>
      <c r="I4" s="8" t="s">
        <v>204</v>
      </c>
      <c r="J4" s="8" t="s">
        <v>205</v>
      </c>
    </row>
    <row r="5" customFormat="false" ht="15" hidden="false" customHeight="false" outlineLevel="0" collapsed="false">
      <c r="A5" s="28" t="n">
        <v>101000</v>
      </c>
      <c r="B5" s="29" t="s">
        <v>206</v>
      </c>
      <c r="C5" s="30" t="s">
        <v>207</v>
      </c>
      <c r="D5" s="37" t="n">
        <f aca="false">'BALANCE 2027'!H5</f>
        <v>0</v>
      </c>
      <c r="E5" s="37" t="n">
        <f aca="false">'BALANCE 2027'!I5</f>
        <v>10000000</v>
      </c>
      <c r="F5" s="37" t="n">
        <f aca="false">ROUND('INVEST ET FINANCEMENT'!G$51,0)+(H5-I5)-(D5-E5)</f>
        <v>0</v>
      </c>
      <c r="G5" s="37" t="n">
        <f aca="false">ROUND('INVEST ET FINANCEMENT'!G$51,0)</f>
        <v>0</v>
      </c>
      <c r="H5" s="32" t="n">
        <v>0</v>
      </c>
      <c r="I5" s="37" t="n">
        <f aca="false">ROUND(E5+'INVEST ET FINANCEMENT'!G$51,0)</f>
        <v>10000000</v>
      </c>
      <c r="J5" s="32" t="n">
        <f aca="false">(D5-E5)+(F5-G5)-(H5-I5)</f>
        <v>0</v>
      </c>
    </row>
    <row r="6" customFormat="false" ht="15" hidden="false" customHeight="false" outlineLevel="0" collapsed="false">
      <c r="A6" s="33" t="n">
        <v>111000</v>
      </c>
      <c r="B6" s="12" t="s">
        <v>208</v>
      </c>
      <c r="C6" s="13" t="s">
        <v>209</v>
      </c>
      <c r="D6" s="15" t="n">
        <f aca="false">'BALANCE 2027'!H6</f>
        <v>0</v>
      </c>
      <c r="E6" s="15" t="n">
        <f aca="false">'BALANCE 2027'!I6</f>
        <v>2000000</v>
      </c>
      <c r="F6" s="15" t="n">
        <f aca="false">ROUND(HYPOTHESES!G$58,0)+(H6-I6)-(D6-E6)</f>
        <v>0</v>
      </c>
      <c r="G6" s="15" t="n">
        <f aca="false">ROUND(HYPOTHESES!G$58,0)</f>
        <v>0</v>
      </c>
      <c r="H6" s="20" t="n">
        <v>0</v>
      </c>
      <c r="I6" s="15" t="n">
        <f aca="false">ROUND(E6+HYPOTHESES!G$58,0)</f>
        <v>2000000</v>
      </c>
      <c r="J6" s="20" t="n">
        <f aca="false">(D6-E6)+(F6-G6)-(H6-I6)</f>
        <v>0</v>
      </c>
    </row>
    <row r="7" customFormat="false" ht="15" hidden="false" customHeight="false" outlineLevel="0" collapsed="false">
      <c r="A7" s="33" t="n">
        <v>121000</v>
      </c>
      <c r="B7" s="12" t="s">
        <v>210</v>
      </c>
      <c r="C7" s="13" t="s">
        <v>211</v>
      </c>
      <c r="D7" s="15" t="n">
        <f aca="false">'BALANCE 2027'!H7</f>
        <v>0</v>
      </c>
      <c r="E7" s="15" t="n">
        <f aca="false">'BALANCE 2027'!I7</f>
        <v>1023025123</v>
      </c>
      <c r="F7" s="20" t="n">
        <f aca="false">MAX(0,(H7-I7)-(D7-E7))</f>
        <v>0</v>
      </c>
      <c r="G7" s="20" t="n">
        <f aca="false">MAX(0,(D7-E7)-(H7-I7))</f>
        <v>91478335</v>
      </c>
      <c r="H7" s="15" t="n">
        <f aca="false">ROUND(MAX(0,-(E7-D7+HYPOTHESES!G$60)),0)</f>
        <v>0</v>
      </c>
      <c r="I7" s="15" t="n">
        <f aca="false">ROUND(MAX(0,(E7-D7+HYPOTHESES!G$60)),0)</f>
        <v>1114503458</v>
      </c>
      <c r="J7" s="20" t="n">
        <f aca="false">(D7-E7)+(F7-G7)-(H7-I7)</f>
        <v>0</v>
      </c>
    </row>
    <row r="8" customFormat="false" ht="15" hidden="false" customHeight="false" outlineLevel="0" collapsed="false">
      <c r="A8" s="33" t="n">
        <v>130100</v>
      </c>
      <c r="B8" s="12" t="s">
        <v>212</v>
      </c>
      <c r="C8" s="13" t="s">
        <v>213</v>
      </c>
      <c r="D8" s="15" t="n">
        <f aca="false">MAX(0,-(SUM('BALANCE 2027'!I48:I94)-SUM('BALANCE 2027'!H48:H94)))</f>
        <v>0</v>
      </c>
      <c r="E8" s="15" t="n">
        <f aca="false">MAX(0,(SUM('BALANCE 2027'!I48:I94)-SUM('BALANCE 2027'!H48:H94)))</f>
        <v>91478335</v>
      </c>
      <c r="F8" s="20" t="n">
        <f aca="false">MAX(0,(H8-I8)-(D8-E8))</f>
        <v>91478335</v>
      </c>
      <c r="G8" s="20" t="n">
        <f aca="false">MAX(0,(D8-E8)-(H8-I8))</f>
        <v>0</v>
      </c>
      <c r="H8" s="20" t="n">
        <v>0</v>
      </c>
      <c r="I8" s="20" t="n">
        <v>0</v>
      </c>
      <c r="J8" s="20" t="n">
        <f aca="false">(D8-E8)+(F8-G8)-(H8-I8)</f>
        <v>0</v>
      </c>
    </row>
    <row r="9" customFormat="false" ht="15" hidden="false" customHeight="false" outlineLevel="0" collapsed="false">
      <c r="A9" s="33" t="n">
        <v>162002</v>
      </c>
      <c r="B9" s="12" t="s">
        <v>214</v>
      </c>
      <c r="C9" s="13" t="s">
        <v>172</v>
      </c>
      <c r="D9" s="15" t="n">
        <f aca="false">'BALANCE 2027'!H9</f>
        <v>0</v>
      </c>
      <c r="E9" s="15" t="n">
        <f aca="false">'BALANCE 2027'!I9</f>
        <v>0</v>
      </c>
      <c r="F9" s="15" t="n">
        <f aca="false">ROUND('INVEST ET FINANCEMENT'!G$47,0)+(H9-I9)-(D9-E9)</f>
        <v>0</v>
      </c>
      <c r="G9" s="15" t="n">
        <f aca="false">ROUND('INVEST ET FINANCEMENT'!G$47,0)</f>
        <v>0</v>
      </c>
      <c r="H9" s="20" t="n">
        <v>0</v>
      </c>
      <c r="I9" s="15" t="n">
        <f aca="false">ROUND(E9+'INVEST ET FINANCEMENT'!G$47-'INVEST ET FINANCEMENT'!G$48,0)</f>
        <v>0</v>
      </c>
      <c r="J9" s="20" t="n">
        <f aca="false">(D9-E9)+(F9-G9)-(H9-I9)</f>
        <v>0</v>
      </c>
    </row>
    <row r="10" customFormat="false" ht="15" hidden="false" customHeight="false" outlineLevel="0" collapsed="false">
      <c r="A10" s="33" t="n">
        <v>173060</v>
      </c>
      <c r="B10" s="12" t="s">
        <v>215</v>
      </c>
      <c r="C10" s="13" t="s">
        <v>175</v>
      </c>
      <c r="D10" s="15" t="n">
        <f aca="false">'BALANCE 2027'!H10</f>
        <v>0</v>
      </c>
      <c r="E10" s="15" t="n">
        <f aca="false">'BALANCE 2027'!I10</f>
        <v>0</v>
      </c>
      <c r="F10" s="15" t="n">
        <f aca="false">ROUND('INVEST ET FINANCEMENT'!G$49,0)</f>
        <v>0</v>
      </c>
      <c r="G10" s="15" t="n">
        <f aca="false">ROUND('INVEST ET FINANCEMENT'!G$49,0)+(D10-E10)-(H10-I10)</f>
        <v>0</v>
      </c>
      <c r="H10" s="20" t="n">
        <v>0</v>
      </c>
      <c r="I10" s="15" t="n">
        <f aca="false">ROUND(E10-'INVEST ET FINANCEMENT'!G$49,0)</f>
        <v>0</v>
      </c>
      <c r="J10" s="20" t="n">
        <f aca="false">(D10-E10)+(F10-G10)-(H10-I10)</f>
        <v>0</v>
      </c>
    </row>
    <row r="11" customFormat="false" ht="15" hidden="false" customHeight="false" outlineLevel="0" collapsed="false">
      <c r="A11" s="33" t="n">
        <v>196100</v>
      </c>
      <c r="B11" s="12" t="s">
        <v>216</v>
      </c>
      <c r="C11" s="13" t="s">
        <v>217</v>
      </c>
      <c r="D11" s="15" t="n">
        <f aca="false">'BALANCE 2027'!H11</f>
        <v>0</v>
      </c>
      <c r="E11" s="15" t="n">
        <f aca="false">'BALANCE 2027'!I11</f>
        <v>39451784</v>
      </c>
      <c r="F11" s="15" t="n">
        <f aca="false">ROUND(HYPOTHESES!G$20,0)+(H11-I11)-(D11-E11)</f>
        <v>0</v>
      </c>
      <c r="G11" s="15" t="n">
        <f aca="false">ROUND(HYPOTHESES!G$20,0)</f>
        <v>6059296</v>
      </c>
      <c r="H11" s="20" t="n">
        <v>0</v>
      </c>
      <c r="I11" s="15" t="n">
        <f aca="false">ROUND(E11+HYPOTHESES!G$20,0)</f>
        <v>45511080</v>
      </c>
      <c r="J11" s="20" t="n">
        <f aca="false">(D11-E11)+(F11-G11)-(H11-I11)</f>
        <v>0</v>
      </c>
    </row>
    <row r="12" customFormat="false" ht="15" hidden="false" customHeight="false" outlineLevel="0" collapsed="false">
      <c r="A12" s="28" t="n">
        <v>234100</v>
      </c>
      <c r="B12" s="29" t="s">
        <v>218</v>
      </c>
      <c r="C12" s="30" t="s">
        <v>219</v>
      </c>
      <c r="D12" s="37" t="n">
        <f aca="false">'BALANCE 2027'!H12</f>
        <v>103601492</v>
      </c>
      <c r="E12" s="37" t="n">
        <f aca="false">'BALANCE 2027'!I12</f>
        <v>0</v>
      </c>
      <c r="F12" s="37" t="n">
        <f aca="false">ROUND('INVEST ET FINANCEMENT'!G$9,0)</f>
        <v>0</v>
      </c>
      <c r="G12" s="37" t="n">
        <f aca="false">ROUND('INVEST ET FINANCEMENT'!G$9,0)+(D12-E12)-(H12-I12)</f>
        <v>0</v>
      </c>
      <c r="H12" s="37" t="n">
        <f aca="false">ROUND(D12+'INVEST ET FINANCEMENT'!G$9,0)</f>
        <v>103601492</v>
      </c>
      <c r="I12" s="32" t="n">
        <v>0</v>
      </c>
      <c r="J12" s="32" t="n">
        <f aca="false">(D12-E12)+(F12-G12)-(H12-I12)</f>
        <v>0</v>
      </c>
    </row>
    <row r="13" customFormat="false" ht="15" hidden="false" customHeight="false" outlineLevel="0" collapsed="false">
      <c r="A13" s="33" t="n">
        <v>241100</v>
      </c>
      <c r="B13" s="12" t="s">
        <v>220</v>
      </c>
      <c r="C13" s="13" t="s">
        <v>221</v>
      </c>
      <c r="D13" s="15" t="n">
        <f aca="false">'BALANCE 2027'!H13</f>
        <v>373845268</v>
      </c>
      <c r="E13" s="15" t="n">
        <f aca="false">'BALANCE 2027'!I13</f>
        <v>0</v>
      </c>
      <c r="F13" s="15" t="n">
        <f aca="false">ROUND('INVEST ET FINANCEMENT'!G$10,0)</f>
        <v>30000000</v>
      </c>
      <c r="G13" s="15" t="n">
        <f aca="false">ROUND('INVEST ET FINANCEMENT'!G$10,0)+(D13-E13)-(H13-I13)</f>
        <v>0</v>
      </c>
      <c r="H13" s="15" t="n">
        <f aca="false">ROUND(D13+'INVEST ET FINANCEMENT'!G$10,0)</f>
        <v>403845268</v>
      </c>
      <c r="I13" s="20" t="n">
        <v>0</v>
      </c>
      <c r="J13" s="20" t="n">
        <f aca="false">(D13-E13)+(F13-G13)-(H13-I13)</f>
        <v>0</v>
      </c>
    </row>
    <row r="14" customFormat="false" ht="15" hidden="false" customHeight="false" outlineLevel="0" collapsed="false">
      <c r="A14" s="33" t="n">
        <v>244100</v>
      </c>
      <c r="B14" s="12" t="s">
        <v>222</v>
      </c>
      <c r="C14" s="13" t="s">
        <v>221</v>
      </c>
      <c r="D14" s="15" t="n">
        <f aca="false">'BALANCE 2027'!H14</f>
        <v>9306956</v>
      </c>
      <c r="E14" s="15" t="n">
        <f aca="false">'BALANCE 2027'!I14</f>
        <v>0</v>
      </c>
      <c r="F14" s="20" t="n">
        <f aca="false">MAX(0,(H14-I14)-(D14-E14))</f>
        <v>0</v>
      </c>
      <c r="G14" s="20" t="n">
        <f aca="false">MAX(0,(D14-E14)-(H14-I14))</f>
        <v>0</v>
      </c>
      <c r="H14" s="20" t="n">
        <f aca="false">ROUND(D14,0)</f>
        <v>9306956</v>
      </c>
      <c r="I14" s="20" t="n">
        <v>0</v>
      </c>
      <c r="J14" s="20" t="n">
        <f aca="false">(D14-E14)+(F14-G14)-(H14-I14)</f>
        <v>0</v>
      </c>
    </row>
    <row r="15" customFormat="false" ht="15" hidden="false" customHeight="false" outlineLevel="0" collapsed="false">
      <c r="A15" s="33" t="n">
        <v>244200</v>
      </c>
      <c r="B15" s="12" t="s">
        <v>223</v>
      </c>
      <c r="C15" s="13" t="s">
        <v>221</v>
      </c>
      <c r="D15" s="15" t="n">
        <f aca="false">'BALANCE 2027'!H15</f>
        <v>23910459</v>
      </c>
      <c r="E15" s="15" t="n">
        <f aca="false">'BALANCE 2027'!I15</f>
        <v>0</v>
      </c>
      <c r="F15" s="15" t="n">
        <f aca="false">ROUND('INVEST ET FINANCEMENT'!G$11,0)</f>
        <v>5000000</v>
      </c>
      <c r="G15" s="15" t="n">
        <f aca="false">ROUND('INVEST ET FINANCEMENT'!G$11,0)+(D15-E15)-(H15-I15)</f>
        <v>0</v>
      </c>
      <c r="H15" s="15" t="n">
        <f aca="false">ROUND(D15+'INVEST ET FINANCEMENT'!G$11,0)</f>
        <v>28910459</v>
      </c>
      <c r="I15" s="20" t="n">
        <v>0</v>
      </c>
      <c r="J15" s="20" t="n">
        <f aca="false">(D15-E15)+(F15-G15)-(H15-I15)</f>
        <v>0</v>
      </c>
    </row>
    <row r="16" customFormat="false" ht="15" hidden="false" customHeight="false" outlineLevel="0" collapsed="false">
      <c r="A16" s="33" t="n">
        <v>245100</v>
      </c>
      <c r="B16" s="12" t="s">
        <v>224</v>
      </c>
      <c r="C16" s="13" t="s">
        <v>225</v>
      </c>
      <c r="D16" s="15" t="n">
        <f aca="false">'BALANCE 2027'!H16</f>
        <v>423638205</v>
      </c>
      <c r="E16" s="15" t="n">
        <f aca="false">'BALANCE 2027'!I16</f>
        <v>0</v>
      </c>
      <c r="F16" s="15" t="n">
        <f aca="false">ROUND('INVEST ET FINANCEMENT'!G$12,0)</f>
        <v>40000000</v>
      </c>
      <c r="G16" s="15" t="n">
        <f aca="false">ROUND('INVEST ET FINANCEMENT'!G$12,0)+(D16-E16)-(H16-I16)</f>
        <v>0</v>
      </c>
      <c r="H16" s="15" t="n">
        <f aca="false">ROUND(D16+'INVEST ET FINANCEMENT'!G$12,0)</f>
        <v>463638205</v>
      </c>
      <c r="I16" s="20" t="n">
        <v>0</v>
      </c>
      <c r="J16" s="20" t="n">
        <f aca="false">(D16-E16)+(F16-G16)-(H16-I16)</f>
        <v>0</v>
      </c>
    </row>
    <row r="17" customFormat="false" ht="15" hidden="false" customHeight="false" outlineLevel="0" collapsed="false">
      <c r="A17" s="33" t="n">
        <v>245600</v>
      </c>
      <c r="B17" s="12" t="s">
        <v>226</v>
      </c>
      <c r="C17" s="13" t="s">
        <v>225</v>
      </c>
      <c r="D17" s="15" t="n">
        <f aca="false">'BALANCE 2027'!H17</f>
        <v>28619694</v>
      </c>
      <c r="E17" s="15" t="n">
        <f aca="false">'BALANCE 2027'!I17</f>
        <v>0</v>
      </c>
      <c r="F17" s="20" t="n">
        <f aca="false">MAX(0,(H17-I17)-(D17-E17))</f>
        <v>0</v>
      </c>
      <c r="G17" s="20" t="n">
        <f aca="false">MAX(0,(D17-E17)-(H17-I17))</f>
        <v>0</v>
      </c>
      <c r="H17" s="20" t="n">
        <f aca="false">ROUND(D17,0)</f>
        <v>28619694</v>
      </c>
      <c r="I17" s="20" t="n">
        <v>0</v>
      </c>
      <c r="J17" s="20" t="n">
        <f aca="false">(D17-E17)+(F17-G17)-(H17-I17)</f>
        <v>0</v>
      </c>
    </row>
    <row r="18" customFormat="false" ht="15" hidden="false" customHeight="false" outlineLevel="0" collapsed="false">
      <c r="A18" s="33" t="n">
        <v>271800</v>
      </c>
      <c r="B18" s="12" t="s">
        <v>227</v>
      </c>
      <c r="C18" s="13" t="s">
        <v>228</v>
      </c>
      <c r="D18" s="15" t="n">
        <f aca="false">'BALANCE 2027'!H18</f>
        <v>25000000</v>
      </c>
      <c r="E18" s="15" t="n">
        <f aca="false">'BALANCE 2027'!I18</f>
        <v>0</v>
      </c>
      <c r="F18" s="20" t="n">
        <f aca="false">MAX(0,(H18-I18)-(D18-E18))</f>
        <v>0</v>
      </c>
      <c r="G18" s="20" t="n">
        <f aca="false">MAX(0,(D18-E18)-(H18-I18))</f>
        <v>0</v>
      </c>
      <c r="H18" s="20" t="n">
        <f aca="false">ROUND(D18,0)</f>
        <v>25000000</v>
      </c>
      <c r="I18" s="20" t="n">
        <v>0</v>
      </c>
      <c r="J18" s="20" t="n">
        <f aca="false">(D18-E18)+(F18-G18)-(H18-I18)</f>
        <v>0</v>
      </c>
    </row>
    <row r="19" customFormat="false" ht="15" hidden="false" customHeight="false" outlineLevel="0" collapsed="false">
      <c r="A19" s="33" t="n">
        <v>275100</v>
      </c>
      <c r="B19" s="12" t="s">
        <v>229</v>
      </c>
      <c r="C19" s="13" t="s">
        <v>228</v>
      </c>
      <c r="D19" s="15" t="n">
        <f aca="false">'BALANCE 2027'!H19</f>
        <v>231420138</v>
      </c>
      <c r="E19" s="15" t="n">
        <f aca="false">'BALANCE 2027'!I19</f>
        <v>0</v>
      </c>
      <c r="F19" s="15" t="n">
        <f aca="false">ROUND('INVEST ET FINANCEMENT'!G$13,0)</f>
        <v>0</v>
      </c>
      <c r="G19" s="15" t="n">
        <f aca="false">ROUND('INVEST ET FINANCEMENT'!G$13,0)+(D19-E19)-(H19-I19)</f>
        <v>0</v>
      </c>
      <c r="H19" s="15" t="n">
        <f aca="false">ROUND(D19+'INVEST ET FINANCEMENT'!G$13,0)</f>
        <v>231420138</v>
      </c>
      <c r="I19" s="20" t="n">
        <v>0</v>
      </c>
      <c r="J19" s="20" t="n">
        <f aca="false">(D19-E19)+(F19-G19)-(H19-I19)</f>
        <v>0</v>
      </c>
    </row>
    <row r="20" customFormat="false" ht="15" hidden="false" customHeight="false" outlineLevel="0" collapsed="false">
      <c r="A20" s="33" t="n">
        <v>283400</v>
      </c>
      <c r="B20" s="12" t="s">
        <v>230</v>
      </c>
      <c r="C20" s="13" t="s">
        <v>219</v>
      </c>
      <c r="D20" s="15" t="n">
        <f aca="false">'BALANCE 2027'!H20</f>
        <v>0</v>
      </c>
      <c r="E20" s="15" t="n">
        <f aca="false">'BALANCE 2027'!I20</f>
        <v>99785011</v>
      </c>
      <c r="F20" s="15" t="n">
        <f aca="false">ROUND('INVEST ET FINANCEMENT'!G$31,0)+(H20-I20)-(D20-E20)</f>
        <v>0</v>
      </c>
      <c r="G20" s="15" t="n">
        <f aca="false">ROUND('INVEST ET FINANCEMENT'!G$31,0)</f>
        <v>3816481</v>
      </c>
      <c r="H20" s="20" t="n">
        <v>0</v>
      </c>
      <c r="I20" s="15" t="n">
        <f aca="false">ROUND(E20+'INVEST ET FINANCEMENT'!G$31,0)</f>
        <v>103601492</v>
      </c>
      <c r="J20" s="20" t="n">
        <f aca="false">(D20-E20)+(F20-G20)-(H20-I20)</f>
        <v>0</v>
      </c>
    </row>
    <row r="21" customFormat="false" ht="15" hidden="false" customHeight="false" outlineLevel="0" collapsed="false">
      <c r="A21" s="33" t="n">
        <v>284100</v>
      </c>
      <c r="B21" s="12" t="s">
        <v>231</v>
      </c>
      <c r="C21" s="13" t="s">
        <v>221</v>
      </c>
      <c r="D21" s="15" t="n">
        <f aca="false">'BALANCE 2027'!H21</f>
        <v>0</v>
      </c>
      <c r="E21" s="15" t="n">
        <f aca="false">'BALANCE 2027'!I21</f>
        <v>191898681</v>
      </c>
      <c r="F21" s="15" t="n">
        <f aca="false">ROUND('INVEST ET FINANCEMENT'!G$34,0)+(H21-I21)-(D21-E21)</f>
        <v>0</v>
      </c>
      <c r="G21" s="15" t="n">
        <f aca="false">ROUND('INVEST ET FINANCEMENT'!G$34,0)</f>
        <v>62854932</v>
      </c>
      <c r="H21" s="20" t="n">
        <v>0</v>
      </c>
      <c r="I21" s="15" t="n">
        <f aca="false">ROUND(E21+'INVEST ET FINANCEMENT'!G$34,0)</f>
        <v>254753613</v>
      </c>
      <c r="J21" s="20" t="n">
        <f aca="false">(D21-E21)+(F21-G21)-(H21-I21)</f>
        <v>0</v>
      </c>
    </row>
    <row r="22" customFormat="false" ht="15" hidden="false" customHeight="false" outlineLevel="0" collapsed="false">
      <c r="A22" s="33" t="n">
        <v>284400</v>
      </c>
      <c r="B22" s="12" t="s">
        <v>232</v>
      </c>
      <c r="C22" s="13" t="s">
        <v>221</v>
      </c>
      <c r="D22" s="15" t="n">
        <f aca="false">'BALANCE 2027'!H22</f>
        <v>0</v>
      </c>
      <c r="E22" s="15" t="n">
        <f aca="false">'BALANCE 2027'!I22</f>
        <v>30717415</v>
      </c>
      <c r="F22" s="15" t="n">
        <f aca="false">ROUND('INVEST ET FINANCEMENT'!G$37,0)+(H22-I22)-(D22-E22)</f>
        <v>0</v>
      </c>
      <c r="G22" s="15" t="n">
        <f aca="false">ROUND('INVEST ET FINANCEMENT'!G$37,0)</f>
        <v>5000000</v>
      </c>
      <c r="H22" s="20" t="n">
        <v>0</v>
      </c>
      <c r="I22" s="15" t="n">
        <f aca="false">ROUND(E22+'INVEST ET FINANCEMENT'!G$37,0)</f>
        <v>35717415</v>
      </c>
      <c r="J22" s="20" t="n">
        <f aca="false">(D22-E22)+(F22-G22)-(H22-I22)</f>
        <v>0</v>
      </c>
    </row>
    <row r="23" customFormat="false" ht="15" hidden="false" customHeight="false" outlineLevel="0" collapsed="false">
      <c r="A23" s="33" t="n">
        <v>284500</v>
      </c>
      <c r="B23" s="12" t="s">
        <v>233</v>
      </c>
      <c r="C23" s="13" t="s">
        <v>225</v>
      </c>
      <c r="D23" s="15" t="n">
        <f aca="false">'BALANCE 2027'!H23</f>
        <v>0</v>
      </c>
      <c r="E23" s="15" t="n">
        <f aca="false">'BALANCE 2027'!I23</f>
        <v>413784210</v>
      </c>
      <c r="F23" s="15" t="n">
        <f aca="false">ROUND('INVEST ET FINANCEMENT'!G$40,0)+(H23-I23)-(D23-E23)</f>
        <v>0</v>
      </c>
      <c r="G23" s="15" t="n">
        <f aca="false">ROUND('INVEST ET FINANCEMENT'!G$40,0)</f>
        <v>24093971</v>
      </c>
      <c r="H23" s="20" t="n">
        <v>0</v>
      </c>
      <c r="I23" s="15" t="n">
        <f aca="false">ROUND(E23+'INVEST ET FINANCEMENT'!G$40,0)</f>
        <v>437878181</v>
      </c>
      <c r="J23" s="20" t="n">
        <f aca="false">(D23-E23)+(F23-G23)-(H23-I23)</f>
        <v>0</v>
      </c>
    </row>
    <row r="24" customFormat="false" ht="15" hidden="false" customHeight="false" outlineLevel="0" collapsed="false">
      <c r="A24" s="28" t="n">
        <v>401100</v>
      </c>
      <c r="B24" s="29" t="s">
        <v>234</v>
      </c>
      <c r="C24" s="30" t="s">
        <v>235</v>
      </c>
      <c r="D24" s="37" t="n">
        <f aca="false">'BALANCE 2027'!H24</f>
        <v>0</v>
      </c>
      <c r="E24" s="37" t="n">
        <f aca="false">'BALANCE 2027'!I24</f>
        <v>85674750</v>
      </c>
      <c r="F24" s="37" t="n">
        <f aca="false">ROUND(HYPOTHESES!G$49*(1+HYPOTHESES!G$10),0)+(H24-I24)-(D24-E24)</f>
        <v>563875130</v>
      </c>
      <c r="G24" s="37" t="n">
        <f aca="false">ROUND(HYPOTHESES!G$49*(1+HYPOTHESES!G$10),0)</f>
        <v>568158867</v>
      </c>
      <c r="H24" s="32" t="n">
        <v>0</v>
      </c>
      <c r="I24" s="37" t="n">
        <f aca="false">ROUND(HYPOTHESES!G$49*(1+HYPOTHESES!G$10)*HYPOTHESES!G$23/360,0)</f>
        <v>89958487</v>
      </c>
      <c r="J24" s="32" t="n">
        <f aca="false">(D24-E24)+(F24-G24)-(H24-I24)</f>
        <v>0</v>
      </c>
    </row>
    <row r="25" customFormat="false" ht="15" hidden="false" customHeight="false" outlineLevel="0" collapsed="false">
      <c r="A25" s="33" t="n">
        <v>409100</v>
      </c>
      <c r="B25" s="12" t="s">
        <v>236</v>
      </c>
      <c r="C25" s="13" t="s">
        <v>237</v>
      </c>
      <c r="D25" s="15" t="n">
        <f aca="false">'BALANCE 2027'!H25</f>
        <v>0</v>
      </c>
      <c r="E25" s="15" t="n">
        <f aca="false">'BALANCE 2027'!I25</f>
        <v>0</v>
      </c>
      <c r="F25" s="20" t="n">
        <f aca="false">MAX(0,(H25-I25)-(D25-E25))</f>
        <v>0</v>
      </c>
      <c r="G25" s="20" t="n">
        <f aca="false">MAX(0,(D25-E25)-(H25-I25))</f>
        <v>0</v>
      </c>
      <c r="H25" s="20" t="n">
        <f aca="false">ROUND(D25,0)</f>
        <v>0</v>
      </c>
      <c r="I25" s="20" t="n">
        <f aca="false">ROUND(E25,0)</f>
        <v>0</v>
      </c>
      <c r="J25" s="20" t="n">
        <f aca="false">(D25-E25)+(F25-G25)-(H25-I25)</f>
        <v>0</v>
      </c>
    </row>
    <row r="26" customFormat="false" ht="15" hidden="false" customHeight="false" outlineLevel="0" collapsed="false">
      <c r="A26" s="33" t="n">
        <v>411100</v>
      </c>
      <c r="B26" s="12" t="s">
        <v>238</v>
      </c>
      <c r="C26" s="13" t="s">
        <v>239</v>
      </c>
      <c r="D26" s="15" t="n">
        <f aca="false">'BALANCE 2027'!H26</f>
        <v>534001731</v>
      </c>
      <c r="E26" s="15" t="n">
        <f aca="false">'BALANCE 2027'!I26</f>
        <v>0</v>
      </c>
      <c r="F26" s="15" t="n">
        <f aca="false">ROUND(HYPOTHESES!G$42*(1+HYPOTHESES!G$10),0)</f>
        <v>1024632763</v>
      </c>
      <c r="G26" s="15" t="n">
        <f aca="false">ROUND(HYPOTHESES!G$42*(1+HYPOTHESES!G$10),0)+(D26-E26)-(H26-I26)</f>
        <v>997932676</v>
      </c>
      <c r="H26" s="15" t="n">
        <f aca="false">ROUND(HYPOTHESES!G$42*(1+HYPOTHESES!G$10)*HYPOTHESES!G$22/360,0)</f>
        <v>560701818</v>
      </c>
      <c r="I26" s="20" t="n">
        <v>0</v>
      </c>
      <c r="J26" s="20" t="n">
        <f aca="false">(D26-E26)+(F26-G26)-(H26-I26)</f>
        <v>0</v>
      </c>
    </row>
    <row r="27" customFormat="false" ht="15" hidden="false" customHeight="false" outlineLevel="0" collapsed="false">
      <c r="A27" s="33" t="n">
        <v>422000</v>
      </c>
      <c r="B27" s="12" t="s">
        <v>240</v>
      </c>
      <c r="C27" s="13" t="s">
        <v>241</v>
      </c>
      <c r="D27" s="15" t="n">
        <f aca="false">'BALANCE 2027'!H27</f>
        <v>0</v>
      </c>
      <c r="E27" s="15" t="n">
        <f aca="false">'BALANCE 2027'!I27</f>
        <v>13146729</v>
      </c>
      <c r="F27" s="15" t="n">
        <f aca="false">ROUND(IF(HYPOTHESES!$C$48=0,0,'BALANCE 2024'!$G$27*HYPOTHESES!G$48/HYPOTHESES!$C$48),0)+(H27-I27)-(D27-E27)</f>
        <v>99982359</v>
      </c>
      <c r="G27" s="15" t="n">
        <f aca="false">ROUND(IF(HYPOTHESES!$C$48=0,0,'BALANCE 2024'!$G$27*HYPOTHESES!G$48/HYPOTHESES!$C$48),0)</f>
        <v>100639696</v>
      </c>
      <c r="H27" s="20" t="n">
        <v>0</v>
      </c>
      <c r="I27" s="15" t="n">
        <f aca="false">ROUND(IF(HYPOTHESES!$C$48=0,0,'BALANCE 2024'!$I$27*HYPOTHESES!G$48/HYPOTHESES!$C$48),0)</f>
        <v>13804066</v>
      </c>
      <c r="J27" s="20" t="n">
        <f aca="false">(D27-E27)+(F27-G27)-(H27-I27)</f>
        <v>0</v>
      </c>
    </row>
    <row r="28" customFormat="false" ht="15" hidden="false" customHeight="false" outlineLevel="0" collapsed="false">
      <c r="A28" s="33" t="n">
        <v>431301</v>
      </c>
      <c r="B28" s="12" t="s">
        <v>242</v>
      </c>
      <c r="C28" s="13" t="s">
        <v>241</v>
      </c>
      <c r="D28" s="15" t="n">
        <f aca="false">'BALANCE 2027'!H28</f>
        <v>0</v>
      </c>
      <c r="E28" s="15" t="n">
        <f aca="false">'BALANCE 2027'!I28</f>
        <v>5730848</v>
      </c>
      <c r="F28" s="15" t="n">
        <f aca="false">ROUND(IF(HYPOTHESES!$C$48=0,0,'BALANCE 2024'!$G$28*HYPOTHESES!G$48/HYPOTHESES!$C$48),0)+(H28-I28)-(D28-E28)</f>
        <v>8388122</v>
      </c>
      <c r="G28" s="15" t="n">
        <f aca="false">ROUND(IF(HYPOTHESES!$C$48=0,0,'BALANCE 2024'!$G$28*HYPOTHESES!G$48/HYPOTHESES!$C$48),0)</f>
        <v>8674665</v>
      </c>
      <c r="H28" s="20" t="n">
        <v>0</v>
      </c>
      <c r="I28" s="15" t="n">
        <f aca="false">ROUND(IF(HYPOTHESES!$C$48=0,0,'BALANCE 2024'!$I$28*HYPOTHESES!G$48/HYPOTHESES!$C$48),0)</f>
        <v>6017391</v>
      </c>
      <c r="J28" s="20" t="n">
        <f aca="false">(D28-E28)+(F28-G28)-(H28-I28)</f>
        <v>0</v>
      </c>
    </row>
    <row r="29" customFormat="false" ht="15" hidden="false" customHeight="false" outlineLevel="0" collapsed="false">
      <c r="A29" s="33" t="n">
        <v>431302</v>
      </c>
      <c r="B29" s="12" t="s">
        <v>243</v>
      </c>
      <c r="C29" s="13" t="s">
        <v>241</v>
      </c>
      <c r="D29" s="15" t="n">
        <f aca="false">'BALANCE 2027'!H29</f>
        <v>0</v>
      </c>
      <c r="E29" s="15" t="n">
        <f aca="false">'BALANCE 2027'!I29</f>
        <v>1418042</v>
      </c>
      <c r="F29" s="15" t="n">
        <f aca="false">ROUND(IF(HYPOTHESES!$C$48=0,0,'BALANCE 2024'!$G$29*HYPOTHESES!G$48/HYPOTHESES!$C$48),0)+(H29-I29)-(D29-E29)</f>
        <v>14119318</v>
      </c>
      <c r="G29" s="15" t="n">
        <f aca="false">ROUND(IF(HYPOTHESES!$C$48=0,0,'BALANCE 2024'!$G$29*HYPOTHESES!G$48/HYPOTHESES!$C$48),0)</f>
        <v>14190220</v>
      </c>
      <c r="H29" s="20" t="n">
        <v>0</v>
      </c>
      <c r="I29" s="15" t="n">
        <f aca="false">ROUND(IF(HYPOTHESES!$C$48=0,0,'BALANCE 2024'!$I$29*HYPOTHESES!G$48/HYPOTHESES!$C$48),0)</f>
        <v>1488944</v>
      </c>
      <c r="J29" s="20" t="n">
        <f aca="false">(D29-E29)+(F29-G29)-(H29-I29)</f>
        <v>0</v>
      </c>
    </row>
    <row r="30" customFormat="false" ht="15" hidden="false" customHeight="false" outlineLevel="0" collapsed="false">
      <c r="A30" s="33" t="n">
        <v>431802</v>
      </c>
      <c r="B30" s="12" t="s">
        <v>244</v>
      </c>
      <c r="C30" s="13" t="s">
        <v>241</v>
      </c>
      <c r="D30" s="15" t="n">
        <f aca="false">'BALANCE 2027'!H30</f>
        <v>0</v>
      </c>
      <c r="E30" s="15" t="n">
        <f aca="false">'BALANCE 2027'!I30</f>
        <v>190980</v>
      </c>
      <c r="F30" s="15" t="n">
        <f aca="false">ROUND(IF(HYPOTHESES!$C$48=0,0,'BALANCE 2024'!$G$30*HYPOTHESES!G$48/HYPOTHESES!$C$48),0)+(H30-I30)-(D30-E30)</f>
        <v>470443</v>
      </c>
      <c r="G30" s="15" t="n">
        <f aca="false">ROUND(IF(HYPOTHESES!$C$48=0,0,'BALANCE 2024'!$G$30*HYPOTHESES!G$48/HYPOTHESES!$C$48),0)</f>
        <v>479992</v>
      </c>
      <c r="H30" s="20" t="n">
        <v>0</v>
      </c>
      <c r="I30" s="15" t="n">
        <f aca="false">ROUND(IF(HYPOTHESES!$C$48=0,0,'BALANCE 2024'!$I$30*HYPOTHESES!G$48/HYPOTHESES!$C$48),0)</f>
        <v>200529</v>
      </c>
      <c r="J30" s="20" t="n">
        <f aca="false">(D30-E30)+(F30-G30)-(H30-I30)</f>
        <v>0</v>
      </c>
    </row>
    <row r="31" customFormat="false" ht="15" hidden="false" customHeight="false" outlineLevel="0" collapsed="false">
      <c r="A31" s="33" t="n">
        <v>433300</v>
      </c>
      <c r="B31" s="12" t="s">
        <v>245</v>
      </c>
      <c r="C31" s="13" t="s">
        <v>241</v>
      </c>
      <c r="D31" s="15" t="n">
        <f aca="false">'BALANCE 2027'!H31</f>
        <v>0</v>
      </c>
      <c r="E31" s="15" t="n">
        <f aca="false">'BALANCE 2027'!I31</f>
        <v>0</v>
      </c>
      <c r="F31" s="15" t="n">
        <f aca="false">ROUND(IF(HYPOTHESES!$C$48=0,0,'BALANCE 2024'!$G$31*HYPOTHESES!G$48/HYPOTHESES!$C$48),0)+(H31-I31)-(D31-E31)</f>
        <v>0</v>
      </c>
      <c r="G31" s="15" t="n">
        <f aca="false">ROUND(IF(HYPOTHESES!$C$48=0,0,'BALANCE 2024'!$G$31*HYPOTHESES!G$48/HYPOTHESES!$C$48),0)</f>
        <v>0</v>
      </c>
      <c r="H31" s="20" t="n">
        <v>0</v>
      </c>
      <c r="I31" s="15" t="n">
        <f aca="false">ROUND(IF(HYPOTHESES!$C$48=0,0,'BALANCE 2024'!$I$31*HYPOTHESES!G$48/HYPOTHESES!$C$48),0)</f>
        <v>0</v>
      </c>
      <c r="J31" s="20" t="n">
        <f aca="false">(D31-E31)+(F31-G31)-(H31-I31)</f>
        <v>0</v>
      </c>
    </row>
    <row r="32" customFormat="false" ht="15" hidden="false" customHeight="false" outlineLevel="0" collapsed="false">
      <c r="A32" s="33" t="n">
        <v>441000</v>
      </c>
      <c r="B32" s="12" t="s">
        <v>246</v>
      </c>
      <c r="C32" s="13" t="s">
        <v>241</v>
      </c>
      <c r="D32" s="15" t="n">
        <f aca="false">'BALANCE 2027'!H32</f>
        <v>0</v>
      </c>
      <c r="E32" s="15" t="n">
        <f aca="false">'BALANCE 2027'!I32</f>
        <v>30492779</v>
      </c>
      <c r="F32" s="15" t="n">
        <f aca="false">ROUND(HYPOTHESES!G$56,0)+(H32-I32)-(D32-E32)</f>
        <v>30492779</v>
      </c>
      <c r="G32" s="15" t="n">
        <f aca="false">ROUND(HYPOTHESES!G$56,0)</f>
        <v>33628946</v>
      </c>
      <c r="H32" s="20" t="n">
        <v>0</v>
      </c>
      <c r="I32" s="15" t="n">
        <f aca="false">ROUND(HYPOTHESES!G$56,0)</f>
        <v>33628946</v>
      </c>
      <c r="J32" s="20" t="n">
        <f aca="false">(D32-E32)+(F32-G32)-(H32-I32)</f>
        <v>0</v>
      </c>
    </row>
    <row r="33" customFormat="false" ht="15" hidden="false" customHeight="false" outlineLevel="0" collapsed="false">
      <c r="A33" s="33" t="n">
        <v>442800</v>
      </c>
      <c r="B33" s="12" t="s">
        <v>247</v>
      </c>
      <c r="C33" s="13" t="s">
        <v>241</v>
      </c>
      <c r="D33" s="15" t="n">
        <f aca="false">'BALANCE 2027'!H33</f>
        <v>0</v>
      </c>
      <c r="E33" s="15" t="n">
        <f aca="false">'BALANCE 2027'!I33</f>
        <v>855586</v>
      </c>
      <c r="F33" s="15" t="n">
        <f aca="false">ROUND(IF(HYPOTHESES!$C$46=0,0,'BALANCE 2024'!$G$33*HYPOTHESES!G$46/HYPOTHESES!$C$46),0)+(H33-I33)-(D33-E33)</f>
        <v>855586</v>
      </c>
      <c r="G33" s="15" t="n">
        <f aca="false">ROUND(IF(HYPOTHESES!$C$46=0,0,'BALANCE 2024'!$G$33*HYPOTHESES!G$46/HYPOTHESES!$C$46),0)</f>
        <v>898365</v>
      </c>
      <c r="H33" s="20" t="n">
        <v>0</v>
      </c>
      <c r="I33" s="15" t="n">
        <f aca="false">ROUND(IF(HYPOTHESES!$C$46=0,0,'BALANCE 2024'!$I$33*HYPOTHESES!G$46/HYPOTHESES!$C$46),0)</f>
        <v>898365</v>
      </c>
      <c r="J33" s="20" t="n">
        <f aca="false">(D33-E33)+(F33-G33)-(H33-I33)</f>
        <v>0</v>
      </c>
    </row>
    <row r="34" customFormat="false" ht="15" hidden="false" customHeight="false" outlineLevel="0" collapsed="false">
      <c r="A34" s="33" t="n">
        <v>442801</v>
      </c>
      <c r="B34" s="12" t="s">
        <v>248</v>
      </c>
      <c r="C34" s="13" t="s">
        <v>241</v>
      </c>
      <c r="D34" s="15" t="n">
        <f aca="false">'BALANCE 2027'!H34</f>
        <v>0</v>
      </c>
      <c r="E34" s="15" t="n">
        <f aca="false">'BALANCE 2027'!I34</f>
        <v>122699</v>
      </c>
      <c r="F34" s="15" t="n">
        <f aca="false">ROUND(IF(HYPOTHESES!$C$46=0,0,'BALANCE 2024'!$G$34*HYPOTHESES!G$46/HYPOTHESES!$C$46),0)+(H34-I34)-(D34-E34)</f>
        <v>122699</v>
      </c>
      <c r="G34" s="15" t="n">
        <f aca="false">ROUND(IF(HYPOTHESES!$C$46=0,0,'BALANCE 2024'!$G$34*HYPOTHESES!G$46/HYPOTHESES!$C$46),0)</f>
        <v>128834</v>
      </c>
      <c r="H34" s="20" t="n">
        <v>0</v>
      </c>
      <c r="I34" s="15" t="n">
        <f aca="false">ROUND(IF(HYPOTHESES!$C$46=0,0,'BALANCE 2024'!$I$34*HYPOTHESES!G$46/HYPOTHESES!$C$46),0)</f>
        <v>128834</v>
      </c>
      <c r="J34" s="20" t="n">
        <f aca="false">(D34-E34)+(F34-G34)-(H34-I34)</f>
        <v>0</v>
      </c>
    </row>
    <row r="35" customFormat="false" ht="15" hidden="false" customHeight="false" outlineLevel="0" collapsed="false">
      <c r="A35" s="33" t="n">
        <v>442802</v>
      </c>
      <c r="B35" s="12" t="s">
        <v>249</v>
      </c>
      <c r="C35" s="13" t="s">
        <v>241</v>
      </c>
      <c r="D35" s="15" t="n">
        <f aca="false">'BALANCE 2027'!H35</f>
        <v>0</v>
      </c>
      <c r="E35" s="15" t="n">
        <f aca="false">'BALANCE 2027'!I35</f>
        <v>184056</v>
      </c>
      <c r="F35" s="15" t="n">
        <f aca="false">ROUND(IF(HYPOTHESES!$C$46=0,0,'BALANCE 2024'!$G$35*HYPOTHESES!G$46/HYPOTHESES!$C$46),0)+(H35-I35)-(D35-E35)</f>
        <v>184056</v>
      </c>
      <c r="G35" s="15" t="n">
        <f aca="false">ROUND(IF(HYPOTHESES!$C$46=0,0,'BALANCE 2024'!$G$35*HYPOTHESES!G$46/HYPOTHESES!$C$46),0)</f>
        <v>193259</v>
      </c>
      <c r="H35" s="20" t="n">
        <v>0</v>
      </c>
      <c r="I35" s="15" t="n">
        <f aca="false">ROUND(IF(HYPOTHESES!$C$46=0,0,'BALANCE 2024'!$I$35*HYPOTHESES!G$46/HYPOTHESES!$C$46),0)</f>
        <v>193259</v>
      </c>
      <c r="J35" s="20" t="n">
        <f aca="false">(D35-E35)+(F35-G35)-(H35-I35)</f>
        <v>0</v>
      </c>
    </row>
    <row r="36" customFormat="false" ht="15" hidden="false" customHeight="false" outlineLevel="0" collapsed="false">
      <c r="A36" s="33" t="n">
        <v>442803</v>
      </c>
      <c r="B36" s="12" t="s">
        <v>250</v>
      </c>
      <c r="C36" s="13" t="s">
        <v>241</v>
      </c>
      <c r="D36" s="15" t="n">
        <f aca="false">'BALANCE 2027'!H36</f>
        <v>0</v>
      </c>
      <c r="E36" s="15" t="n">
        <f aca="false">'BALANCE 2027'!I36</f>
        <v>184055</v>
      </c>
      <c r="F36" s="15" t="n">
        <f aca="false">ROUND(IF(HYPOTHESES!$C$46=0,0,'BALANCE 2024'!$G$36*HYPOTHESES!G$46/HYPOTHESES!$C$46),0)+(H36-I36)-(D36-E36)</f>
        <v>184055</v>
      </c>
      <c r="G36" s="15" t="n">
        <f aca="false">ROUND(IF(HYPOTHESES!$C$46=0,0,'BALANCE 2024'!$G$36*HYPOTHESES!G$46/HYPOTHESES!$C$46),0)</f>
        <v>193258</v>
      </c>
      <c r="H36" s="20" t="n">
        <v>0</v>
      </c>
      <c r="I36" s="15" t="n">
        <f aca="false">ROUND(IF(HYPOTHESES!$C$46=0,0,'BALANCE 2024'!$I$36*HYPOTHESES!G$46/HYPOTHESES!$C$46),0)</f>
        <v>193258</v>
      </c>
      <c r="J36" s="20" t="n">
        <f aca="false">(D36-E36)+(F36-G36)-(H36-I36)</f>
        <v>0</v>
      </c>
    </row>
    <row r="37" customFormat="false" ht="15" hidden="false" customHeight="false" outlineLevel="0" collapsed="false">
      <c r="A37" s="33" t="n">
        <v>442820</v>
      </c>
      <c r="B37" s="12" t="s">
        <v>251</v>
      </c>
      <c r="C37" s="13" t="s">
        <v>241</v>
      </c>
      <c r="D37" s="15" t="n">
        <f aca="false">'BALANCE 2027'!H37</f>
        <v>0</v>
      </c>
      <c r="E37" s="15" t="n">
        <f aca="false">'BALANCE 2027'!I37</f>
        <v>433430</v>
      </c>
      <c r="F37" s="15" t="n">
        <f aca="false">ROUND(IF(HYPOTHESES!$C$46=0,0,'BALANCE 2024'!$G$37*HYPOTHESES!G$46/HYPOTHESES!$C$46),0)+(H37-I37)-(D37-E37)</f>
        <v>1001629</v>
      </c>
      <c r="G37" s="15" t="n">
        <f aca="false">ROUND(IF(HYPOTHESES!$C$46=0,0,'BALANCE 2024'!$G$37*HYPOTHESES!G$46/HYPOTHESES!$C$46),0)</f>
        <v>1023300</v>
      </c>
      <c r="H37" s="20" t="n">
        <v>0</v>
      </c>
      <c r="I37" s="15" t="n">
        <f aca="false">ROUND(IF(HYPOTHESES!$C$46=0,0,'BALANCE 2024'!$I$37*HYPOTHESES!G$46/HYPOTHESES!$C$46),0)</f>
        <v>455101</v>
      </c>
      <c r="J37" s="20" t="n">
        <f aca="false">(D37-E37)+(F37-G37)-(H37-I37)</f>
        <v>0</v>
      </c>
    </row>
    <row r="38" customFormat="false" ht="15" hidden="false" customHeight="false" outlineLevel="0" collapsed="false">
      <c r="A38" s="33" t="n">
        <v>442840</v>
      </c>
      <c r="B38" s="12" t="s">
        <v>252</v>
      </c>
      <c r="C38" s="13" t="s">
        <v>241</v>
      </c>
      <c r="D38" s="15" t="n">
        <f aca="false">'BALANCE 2027'!H38</f>
        <v>0</v>
      </c>
      <c r="E38" s="15" t="n">
        <f aca="false">'BALANCE 2027'!I38</f>
        <v>5895240</v>
      </c>
      <c r="F38" s="15" t="n">
        <f aca="false">ROUND(IF(HYPOTHESES!$C$46=0,0,'BALANCE 2024'!$G$38*HYPOTHESES!G$46/HYPOTHESES!$C$46),0)+(H38-I38)-(D38-E38)</f>
        <v>10915495</v>
      </c>
      <c r="G38" s="15" t="n">
        <f aca="false">ROUND(IF(HYPOTHESES!$C$46=0,0,'BALANCE 2024'!$G$38*HYPOTHESES!G$46/HYPOTHESES!$C$46),0)</f>
        <v>11210257</v>
      </c>
      <c r="H38" s="20" t="n">
        <v>0</v>
      </c>
      <c r="I38" s="15" t="n">
        <f aca="false">ROUND(IF(HYPOTHESES!$C$46=0,0,'BALANCE 2024'!$I$38*HYPOTHESES!G$46/HYPOTHESES!$C$46),0)</f>
        <v>6190002</v>
      </c>
      <c r="J38" s="20" t="n">
        <f aca="false">(D38-E38)+(F38-G38)-(H38-I38)</f>
        <v>0</v>
      </c>
    </row>
    <row r="39" customFormat="false" ht="15" hidden="false" customHeight="false" outlineLevel="0" collapsed="false">
      <c r="A39" s="33" t="n">
        <v>443300</v>
      </c>
      <c r="B39" s="12" t="s">
        <v>253</v>
      </c>
      <c r="C39" s="13" t="s">
        <v>241</v>
      </c>
      <c r="D39" s="15" t="n">
        <f aca="false">'BALANCE 2027'!H39</f>
        <v>0</v>
      </c>
      <c r="E39" s="15" t="n">
        <f aca="false">'BALANCE 2027'!I39</f>
        <v>61568990</v>
      </c>
      <c r="F39" s="15" t="n">
        <f aca="false">ROUND(HYPOTHESES!G$42*HYPOTHESES!G$10,0)+(H39-I39)-(D39-E39)</f>
        <v>153221464</v>
      </c>
      <c r="G39" s="15" t="n">
        <f aca="false">ROUND(HYPOTHESES!G$42*HYPOTHESES!G$10,0)</f>
        <v>156299913</v>
      </c>
      <c r="H39" s="20" t="n">
        <v>0</v>
      </c>
      <c r="I39" s="15" t="n">
        <f aca="false">ROUND(IF('BALANCE 2024'!$H$26=0,0,'BALANCE 2024'!$I$39*H26/'BALANCE 2024'!$H$26),0)</f>
        <v>64647439</v>
      </c>
      <c r="J39" s="20" t="n">
        <f aca="false">(D39-E39)+(F39-G39)-(H39-I39)</f>
        <v>0</v>
      </c>
    </row>
    <row r="40" customFormat="false" ht="15" hidden="false" customHeight="false" outlineLevel="0" collapsed="false">
      <c r="A40" s="33" t="n">
        <v>446000</v>
      </c>
      <c r="B40" s="12" t="s">
        <v>254</v>
      </c>
      <c r="C40" s="13" t="s">
        <v>241</v>
      </c>
      <c r="D40" s="15" t="n">
        <f aca="false">'BALANCE 2027'!H40</f>
        <v>0</v>
      </c>
      <c r="E40" s="15" t="n">
        <f aca="false">'BALANCE 2027'!I40</f>
        <v>235810</v>
      </c>
      <c r="F40" s="15" t="n">
        <f aca="false">ROUND(IF(HYPOTHESES!$C$46=0,0,'BALANCE 2024'!$G$40*HYPOTHESES!G$46/HYPOTHESES!$C$46),0)+(H40-I40)-(D40-E40)</f>
        <v>250276</v>
      </c>
      <c r="G40" s="15" t="n">
        <f aca="false">ROUND(IF(HYPOTHESES!$C$46=0,0,'BALANCE 2024'!$G$40*HYPOTHESES!G$46/HYPOTHESES!$C$46),0)</f>
        <v>262066</v>
      </c>
      <c r="H40" s="20" t="n">
        <v>0</v>
      </c>
      <c r="I40" s="15" t="n">
        <f aca="false">ROUND(IF(HYPOTHESES!$C$46=0,0,'BALANCE 2024'!$I$40*HYPOTHESES!G$46/HYPOTHESES!$C$46),0)</f>
        <v>247600</v>
      </c>
      <c r="J40" s="20" t="n">
        <f aca="false">(D40-E40)+(F40-G40)-(H40-I40)</f>
        <v>0</v>
      </c>
    </row>
    <row r="41" customFormat="false" ht="15" hidden="false" customHeight="false" outlineLevel="0" collapsed="false">
      <c r="A41" s="33" t="n">
        <v>447201</v>
      </c>
      <c r="B41" s="12" t="s">
        <v>255</v>
      </c>
      <c r="C41" s="13" t="s">
        <v>241</v>
      </c>
      <c r="D41" s="15" t="n">
        <f aca="false">'BALANCE 2027'!H41</f>
        <v>0</v>
      </c>
      <c r="E41" s="15" t="n">
        <f aca="false">'BALANCE 2027'!I41</f>
        <v>1924253</v>
      </c>
      <c r="F41" s="15" t="n">
        <f aca="false">ROUND(IF(HYPOTHESES!$C$48=0,0,'BALANCE 2024'!$G$41*HYPOTHESES!G$48/HYPOTHESES!$C$48),0)+(H41-I41)-(D41-E41)</f>
        <v>7211141</v>
      </c>
      <c r="G41" s="15" t="n">
        <f aca="false">ROUND(IF(HYPOTHESES!$C$48=0,0,'BALANCE 2024'!$G$41*HYPOTHESES!G$48/HYPOTHESES!$C$48),0)</f>
        <v>7307354</v>
      </c>
      <c r="H41" s="20" t="n">
        <v>0</v>
      </c>
      <c r="I41" s="15" t="n">
        <f aca="false">ROUND(IF(HYPOTHESES!$C$48=0,0,'BALANCE 2024'!$I$41*HYPOTHESES!G$48/HYPOTHESES!$C$48),0)</f>
        <v>2020466</v>
      </c>
      <c r="J41" s="20" t="n">
        <f aca="false">(D41-E41)+(F41-G41)-(H41-I41)</f>
        <v>0</v>
      </c>
    </row>
    <row r="42" customFormat="false" ht="15" hidden="false" customHeight="false" outlineLevel="0" collapsed="false">
      <c r="A42" s="33" t="n">
        <v>462100</v>
      </c>
      <c r="B42" s="12" t="s">
        <v>256</v>
      </c>
      <c r="C42" s="13" t="s">
        <v>257</v>
      </c>
      <c r="D42" s="15" t="n">
        <f aca="false">'BALANCE 2027'!H42</f>
        <v>0</v>
      </c>
      <c r="E42" s="15" t="n">
        <f aca="false">'BALANCE 2027'!I42</f>
        <v>0</v>
      </c>
      <c r="F42" s="15" t="n">
        <f aca="false">ROUND('INVEST ET FINANCEMENT'!G$53,0)+(H42-I42)-(D42-E42)</f>
        <v>0</v>
      </c>
      <c r="G42" s="15" t="n">
        <f aca="false">ROUND('INVEST ET FINANCEMENT'!G$53,0)</f>
        <v>0</v>
      </c>
      <c r="H42" s="20" t="n">
        <v>0</v>
      </c>
      <c r="I42" s="15" t="n">
        <f aca="false">ROUND('INVEST ET FINANCEMENT'!G$54,0)</f>
        <v>0</v>
      </c>
      <c r="J42" s="20" t="n">
        <f aca="false">(D42-E42)+(F42-G42)-(H42-I42)</f>
        <v>0</v>
      </c>
    </row>
    <row r="43" customFormat="false" ht="15" hidden="false" customHeight="false" outlineLevel="0" collapsed="false">
      <c r="A43" s="33" t="n">
        <v>471200</v>
      </c>
      <c r="B43" s="12" t="s">
        <v>258</v>
      </c>
      <c r="C43" s="13" t="s">
        <v>259</v>
      </c>
      <c r="D43" s="15" t="n">
        <f aca="false">'BALANCE 2027'!H43</f>
        <v>-0</v>
      </c>
      <c r="E43" s="15" t="n">
        <f aca="false">'BALANCE 2027'!I43</f>
        <v>0</v>
      </c>
      <c r="F43" s="20" t="n">
        <f aca="false">MAX(0,(H43-I43)-(D43-E43))</f>
        <v>0</v>
      </c>
      <c r="G43" s="20" t="n">
        <f aca="false">MAX(0,(D43-E43)-(H43-I43))</f>
        <v>0</v>
      </c>
      <c r="H43" s="15" t="n">
        <f aca="false">ROUND(MAX(0,-(E43-D43+HYPOTHESES!G$31)),0)</f>
        <v>-0</v>
      </c>
      <c r="I43" s="15" t="n">
        <f aca="false">ROUND(MAX(0,(E43-D43+HYPOTHESES!G$31)),0)</f>
        <v>0</v>
      </c>
      <c r="J43" s="20" t="n">
        <f aca="false">(D43-E43)+(F43-G43)-(H43-I43)</f>
        <v>0</v>
      </c>
    </row>
    <row r="44" customFormat="false" ht="15" hidden="false" customHeight="false" outlineLevel="0" collapsed="false">
      <c r="A44" s="33" t="n">
        <v>481200</v>
      </c>
      <c r="B44" s="12" t="s">
        <v>260</v>
      </c>
      <c r="C44" s="13" t="s">
        <v>261</v>
      </c>
      <c r="D44" s="15" t="n">
        <f aca="false">'BALANCE 2027'!H44</f>
        <v>0</v>
      </c>
      <c r="E44" s="15" t="n">
        <f aca="false">'BALANCE 2027'!I44</f>
        <v>12736111</v>
      </c>
      <c r="F44" s="15" t="n">
        <f aca="false">ROUND('INVEST ET FINANCEMENT'!G$41,0)+(H44-I44)-(D44-E44)</f>
        <v>60444444</v>
      </c>
      <c r="G44" s="15" t="n">
        <f aca="false">ROUND('INVEST ET FINANCEMENT'!G$41,0)</f>
        <v>75000000</v>
      </c>
      <c r="H44" s="20" t="n">
        <v>0</v>
      </c>
      <c r="I44" s="15" t="n">
        <f aca="false">ROUND(HYPOTHESES!G$28,0)</f>
        <v>27291667</v>
      </c>
      <c r="J44" s="20" t="n">
        <f aca="false">(D44-E44)+(F44-G44)-(H44-I44)</f>
        <v>0</v>
      </c>
    </row>
    <row r="45" customFormat="false" ht="15" hidden="false" customHeight="false" outlineLevel="0" collapsed="false">
      <c r="A45" s="28" t="n">
        <v>521101</v>
      </c>
      <c r="B45" s="29" t="s">
        <v>262</v>
      </c>
      <c r="C45" s="30" t="s">
        <v>263</v>
      </c>
      <c r="D45" s="37" t="n">
        <f aca="false">'BALANCE 2027'!H45</f>
        <v>358986998</v>
      </c>
      <c r="E45" s="37" t="n">
        <f aca="false">'BALANCE 2027'!I45</f>
        <v>0</v>
      </c>
      <c r="F45" s="37" t="n">
        <f aca="false">ROUND(G26+HYPOTHESES!G$51+'INVEST ET FINANCEMENT'!G$47+'INVEST ET FINANCEMENT'!G$51,0)</f>
        <v>998781270</v>
      </c>
      <c r="G45" s="37" t="n">
        <f aca="false">ROUND(G26+HYPOTHESES!G$51+'INVEST ET FINANCEMENT'!G$47+'INVEST ET FINANCEMENT'!G$51,0)+(D45-E45)-(H45-I45)</f>
        <v>872945734</v>
      </c>
      <c r="H45" s="32" t="n">
        <f aca="false">ROUND(MAX(0,(H99-(H46-I46))),0)</f>
        <v>484822534</v>
      </c>
      <c r="I45" s="32" t="n">
        <f aca="false">ROUND(MAX(0,-(H99-(H46-I46))),0)</f>
        <v>0</v>
      </c>
      <c r="J45" s="32" t="n">
        <f aca="false">(D45-E45)+(F45-G45)-(H45-I45)</f>
        <v>0</v>
      </c>
    </row>
    <row r="46" customFormat="false" ht="15" hidden="false" customHeight="false" outlineLevel="0" collapsed="false">
      <c r="A46" s="33" t="n">
        <v>571101</v>
      </c>
      <c r="B46" s="12" t="s">
        <v>264</v>
      </c>
      <c r="C46" s="13" t="s">
        <v>265</v>
      </c>
      <c r="D46" s="15" t="n">
        <f aca="false">'BALANCE 2027'!H46</f>
        <v>10603976</v>
      </c>
      <c r="E46" s="15" t="n">
        <f aca="false">'BALANCE 2027'!I46</f>
        <v>0</v>
      </c>
      <c r="F46" s="20" t="n">
        <f aca="false">ROUND(H101,0)</f>
        <v>174589147</v>
      </c>
      <c r="G46" s="20" t="n">
        <f aca="false">ROUND(H101,0)+(D46-E46)-(H46-I46)</f>
        <v>172843256</v>
      </c>
      <c r="H46" s="15" t="n">
        <f aca="false">ROUND(MAX(0,((D46-E46)+H101*(1-HYPOTHESES!G$30))),0)</f>
        <v>12349867</v>
      </c>
      <c r="I46" s="15" t="n">
        <f aca="false">ROUND(MAX(0,-((D46-E46)+H101*(1-HYPOTHESES!G$30))),0)</f>
        <v>0</v>
      </c>
      <c r="J46" s="20" t="n">
        <f aca="false">(D46-E46)+(F46-G46)-(H46-I46)</f>
        <v>0</v>
      </c>
    </row>
    <row r="47" customFormat="false" ht="15" hidden="false" customHeight="false" outlineLevel="0" collapsed="false">
      <c r="A47" s="33" t="n">
        <v>585000</v>
      </c>
      <c r="B47" s="12" t="s">
        <v>266</v>
      </c>
      <c r="C47" s="13" t="s">
        <v>265</v>
      </c>
      <c r="D47" s="15" t="n">
        <f aca="false">'BALANCE 2027'!H47</f>
        <v>0</v>
      </c>
      <c r="E47" s="15" t="n">
        <f aca="false">'BALANCE 2027'!I47</f>
        <v>0</v>
      </c>
      <c r="F47" s="20" t="n">
        <f aca="false">ROUND(H101,0)</f>
        <v>174589147</v>
      </c>
      <c r="G47" s="20" t="n">
        <f aca="false">ROUND(H101,0)+(D47-E47)-(H47-I47)</f>
        <v>174589147</v>
      </c>
      <c r="H47" s="20" t="n">
        <f aca="false">ROUND(D47,0)</f>
        <v>0</v>
      </c>
      <c r="I47" s="20" t="n">
        <f aca="false">ROUND(E47,0)</f>
        <v>0</v>
      </c>
      <c r="J47" s="20" t="n">
        <f aca="false">(D47-E47)+(F47-G47)-(H47-I47)</f>
        <v>0</v>
      </c>
    </row>
    <row r="48" customFormat="false" ht="15" hidden="false" customHeight="false" outlineLevel="0" collapsed="false">
      <c r="A48" s="28" t="n">
        <v>604300</v>
      </c>
      <c r="B48" s="29" t="s">
        <v>267</v>
      </c>
      <c r="C48" s="30" t="s">
        <v>268</v>
      </c>
      <c r="D48" s="32" t="n">
        <v>0</v>
      </c>
      <c r="E48" s="32" t="n">
        <v>0</v>
      </c>
      <c r="F48" s="32" t="n">
        <f aca="false">MAX(0,(H48-I48)-(D48-E48))</f>
        <v>1548961</v>
      </c>
      <c r="G48" s="32" t="n">
        <f aca="false">MAX(0,(D48-E48)-(H48-I48))</f>
        <v>0</v>
      </c>
      <c r="H48" s="37" t="n">
        <f aca="false">ROUND(IF(HYPOTHESES!$C$43=0,0,'BALANCE 2024'!$H$48*HYPOTHESES!G$43/HYPOTHESES!$C$43),0)</f>
        <v>1548961</v>
      </c>
      <c r="I48" s="32" t="n">
        <v>0</v>
      </c>
      <c r="J48" s="32" t="n">
        <f aca="false">(D48-E48)+(F48-G48)-(H48-I48)</f>
        <v>0</v>
      </c>
    </row>
    <row r="49" customFormat="false" ht="15" hidden="false" customHeight="false" outlineLevel="0" collapsed="false">
      <c r="A49" s="33" t="n">
        <v>605100</v>
      </c>
      <c r="B49" s="12" t="s">
        <v>269</v>
      </c>
      <c r="C49" s="13" t="s">
        <v>268</v>
      </c>
      <c r="D49" s="20" t="n">
        <v>0</v>
      </c>
      <c r="E49" s="20" t="n">
        <v>0</v>
      </c>
      <c r="F49" s="20" t="n">
        <f aca="false">MAX(0,(H49-I49)-(D49-E49))</f>
        <v>154322</v>
      </c>
      <c r="G49" s="20" t="n">
        <f aca="false">MAX(0,(D49-E49)-(H49-I49))</f>
        <v>0</v>
      </c>
      <c r="H49" s="15" t="n">
        <f aca="false">ROUND(IF(HYPOTHESES!$C$43=0,0,'BALANCE 2024'!$H$49*HYPOTHESES!G$43/HYPOTHESES!$C$43),0)</f>
        <v>154322</v>
      </c>
      <c r="I49" s="20" t="n">
        <v>0</v>
      </c>
      <c r="J49" s="20" t="n">
        <f aca="false">(D49-E49)+(F49-G49)-(H49-I49)</f>
        <v>0</v>
      </c>
    </row>
    <row r="50" customFormat="false" ht="15" hidden="false" customHeight="false" outlineLevel="0" collapsed="false">
      <c r="A50" s="33" t="n">
        <v>605200</v>
      </c>
      <c r="B50" s="12" t="s">
        <v>270</v>
      </c>
      <c r="C50" s="13" t="s">
        <v>268</v>
      </c>
      <c r="D50" s="20" t="n">
        <v>0</v>
      </c>
      <c r="E50" s="20" t="n">
        <v>0</v>
      </c>
      <c r="F50" s="20" t="n">
        <f aca="false">MAX(0,(H50-I50)-(D50-E50))</f>
        <v>49503138</v>
      </c>
      <c r="G50" s="20" t="n">
        <f aca="false">MAX(0,(D50-E50)-(H50-I50))</f>
        <v>0</v>
      </c>
      <c r="H50" s="15" t="n">
        <f aca="false">ROUND(IF(HYPOTHESES!$C$43=0,0,'BALANCE 2024'!$H$50*HYPOTHESES!G$43/HYPOTHESES!$C$43),0)</f>
        <v>49503138</v>
      </c>
      <c r="I50" s="20" t="n">
        <v>0</v>
      </c>
      <c r="J50" s="20" t="n">
        <f aca="false">(D50-E50)+(F50-G50)-(H50-I50)</f>
        <v>0</v>
      </c>
    </row>
    <row r="51" customFormat="false" ht="15" hidden="false" customHeight="false" outlineLevel="0" collapsed="false">
      <c r="A51" s="33" t="n">
        <v>605300</v>
      </c>
      <c r="B51" s="12" t="s">
        <v>271</v>
      </c>
      <c r="C51" s="13" t="s">
        <v>268</v>
      </c>
      <c r="D51" s="20" t="n">
        <v>0</v>
      </c>
      <c r="E51" s="20" t="n">
        <v>0</v>
      </c>
      <c r="F51" s="20" t="n">
        <f aca="false">MAX(0,(H51-I51)-(D51-E51))</f>
        <v>24576109</v>
      </c>
      <c r="G51" s="20" t="n">
        <f aca="false">MAX(0,(D51-E51)-(H51-I51))</f>
        <v>0</v>
      </c>
      <c r="H51" s="15" t="n">
        <f aca="false">ROUND(IF(HYPOTHESES!$C$43=0,0,'BALANCE 2024'!$H$51*HYPOTHESES!G$43/HYPOTHESES!$C$43),0)</f>
        <v>24576109</v>
      </c>
      <c r="I51" s="20" t="n">
        <v>0</v>
      </c>
      <c r="J51" s="20" t="n">
        <f aca="false">(D51-E51)+(F51-G51)-(H51-I51)</f>
        <v>0</v>
      </c>
    </row>
    <row r="52" customFormat="false" ht="15" hidden="false" customHeight="false" outlineLevel="0" collapsed="false">
      <c r="A52" s="33" t="n">
        <v>605500</v>
      </c>
      <c r="B52" s="12" t="s">
        <v>272</v>
      </c>
      <c r="C52" s="13" t="s">
        <v>268</v>
      </c>
      <c r="D52" s="20" t="n">
        <v>0</v>
      </c>
      <c r="E52" s="20" t="n">
        <v>0</v>
      </c>
      <c r="F52" s="20" t="n">
        <f aca="false">MAX(0,(H52-I52)-(D52-E52))</f>
        <v>15947499</v>
      </c>
      <c r="G52" s="20" t="n">
        <f aca="false">MAX(0,(D52-E52)-(H52-I52))</f>
        <v>0</v>
      </c>
      <c r="H52" s="15" t="n">
        <f aca="false">ROUND(IF(HYPOTHESES!$C$43=0,0,'BALANCE 2024'!$H$52*HYPOTHESES!G$43/HYPOTHESES!$C$43),0)</f>
        <v>15947499</v>
      </c>
      <c r="I52" s="20" t="n">
        <v>0</v>
      </c>
      <c r="J52" s="20" t="n">
        <f aca="false">(D52-E52)+(F52-G52)-(H52-I52)</f>
        <v>0</v>
      </c>
    </row>
    <row r="53" customFormat="false" ht="15" hidden="false" customHeight="false" outlineLevel="0" collapsed="false">
      <c r="A53" s="33" t="n">
        <v>605600</v>
      </c>
      <c r="B53" s="12" t="s">
        <v>273</v>
      </c>
      <c r="C53" s="13" t="s">
        <v>268</v>
      </c>
      <c r="D53" s="20" t="n">
        <v>0</v>
      </c>
      <c r="E53" s="20" t="n">
        <v>0</v>
      </c>
      <c r="F53" s="20" t="n">
        <f aca="false">MAX(0,(H53-I53)-(D53-E53))</f>
        <v>4573090</v>
      </c>
      <c r="G53" s="20" t="n">
        <f aca="false">MAX(0,(D53-E53)-(H53-I53))</f>
        <v>0</v>
      </c>
      <c r="H53" s="15" t="n">
        <f aca="false">ROUND(IF(HYPOTHESES!$C$43=0,0,'BALANCE 2024'!$H$53*HYPOTHESES!G$43/HYPOTHESES!$C$43),0)</f>
        <v>4573090</v>
      </c>
      <c r="I53" s="20" t="n">
        <v>0</v>
      </c>
      <c r="J53" s="20" t="n">
        <f aca="false">(D53-E53)+(F53-G53)-(H53-I53)</f>
        <v>0</v>
      </c>
    </row>
    <row r="54" customFormat="false" ht="15" hidden="false" customHeight="false" outlineLevel="0" collapsed="false">
      <c r="A54" s="33" t="n">
        <v>605700</v>
      </c>
      <c r="B54" s="12" t="s">
        <v>274</v>
      </c>
      <c r="C54" s="13" t="s">
        <v>268</v>
      </c>
      <c r="D54" s="20" t="n">
        <v>0</v>
      </c>
      <c r="E54" s="20" t="n">
        <v>0</v>
      </c>
      <c r="F54" s="20" t="n">
        <f aca="false">MAX(0,(H54-I54)-(D54-E54))</f>
        <v>99300543</v>
      </c>
      <c r="G54" s="20" t="n">
        <f aca="false">MAX(0,(D54-E54)-(H54-I54))</f>
        <v>0</v>
      </c>
      <c r="H54" s="15" t="n">
        <f aca="false">ROUND(IF(HYPOTHESES!$C$43=0,0,'BALANCE 2024'!$H$54*HYPOTHESES!G$43/HYPOTHESES!$C$43),0)</f>
        <v>99300543</v>
      </c>
      <c r="I54" s="20" t="n">
        <v>0</v>
      </c>
      <c r="J54" s="20" t="n">
        <f aca="false">(D54-E54)+(F54-G54)-(H54-I54)</f>
        <v>0</v>
      </c>
    </row>
    <row r="55" customFormat="false" ht="15" hidden="false" customHeight="false" outlineLevel="0" collapsed="false">
      <c r="A55" s="33" t="n">
        <v>605800</v>
      </c>
      <c r="B55" s="12" t="s">
        <v>275</v>
      </c>
      <c r="C55" s="13" t="s">
        <v>268</v>
      </c>
      <c r="D55" s="20" t="n">
        <v>0</v>
      </c>
      <c r="E55" s="20" t="n">
        <v>0</v>
      </c>
      <c r="F55" s="20" t="n">
        <f aca="false">MAX(0,(H55-I55)-(D55-E55))</f>
        <v>148950813</v>
      </c>
      <c r="G55" s="20" t="n">
        <f aca="false">MAX(0,(D55-E55)-(H55-I55))</f>
        <v>0</v>
      </c>
      <c r="H55" s="15" t="n">
        <f aca="false">ROUND(HYPOTHESES!G$43-(H48+H49+H50+H51+H52+H53+H54),0)</f>
        <v>148950813</v>
      </c>
      <c r="I55" s="20" t="n">
        <v>0</v>
      </c>
      <c r="J55" s="20" t="n">
        <f aca="false">(D55-E55)+(F55-G55)-(H55-I55)</f>
        <v>0</v>
      </c>
    </row>
    <row r="56" customFormat="false" ht="15" hidden="false" customHeight="false" outlineLevel="0" collapsed="false">
      <c r="A56" s="33" t="n">
        <v>616000</v>
      </c>
      <c r="B56" s="12" t="s">
        <v>276</v>
      </c>
      <c r="C56" s="13" t="s">
        <v>277</v>
      </c>
      <c r="D56" s="20" t="n">
        <v>0</v>
      </c>
      <c r="E56" s="20" t="n">
        <v>0</v>
      </c>
      <c r="F56" s="20" t="n">
        <f aca="false">MAX(0,(H56-I56)-(D56-E56))</f>
        <v>115264</v>
      </c>
      <c r="G56" s="20" t="n">
        <f aca="false">MAX(0,(D56-E56)-(H56-I56))</f>
        <v>0</v>
      </c>
      <c r="H56" s="15" t="n">
        <f aca="false">ROUND(IF(HYPOTHESES!$C$44=0,0,'BALANCE 2024'!$H$56*HYPOTHESES!G$44/HYPOTHESES!$C$44),0)</f>
        <v>115264</v>
      </c>
      <c r="I56" s="20" t="n">
        <v>0</v>
      </c>
      <c r="J56" s="20" t="n">
        <f aca="false">(D56-E56)+(F56-G56)-(H56-I56)</f>
        <v>0</v>
      </c>
    </row>
    <row r="57" customFormat="false" ht="15" hidden="false" customHeight="false" outlineLevel="0" collapsed="false">
      <c r="A57" s="33" t="n">
        <v>618200</v>
      </c>
      <c r="B57" s="12" t="s">
        <v>278</v>
      </c>
      <c r="C57" s="13" t="s">
        <v>277</v>
      </c>
      <c r="D57" s="20" t="n">
        <v>0</v>
      </c>
      <c r="E57" s="20" t="n">
        <v>0</v>
      </c>
      <c r="F57" s="20" t="n">
        <f aca="false">MAX(0,(H57-I57)-(D57-E57))</f>
        <v>1923353</v>
      </c>
      <c r="G57" s="20" t="n">
        <f aca="false">MAX(0,(D57-E57)-(H57-I57))</f>
        <v>0</v>
      </c>
      <c r="H57" s="15" t="n">
        <f aca="false">ROUND(IF(HYPOTHESES!$C$44=0,0,'BALANCE 2024'!$H$57*HYPOTHESES!G$44/HYPOTHESES!$C$44),0)</f>
        <v>1923353</v>
      </c>
      <c r="I57" s="20" t="n">
        <v>0</v>
      </c>
      <c r="J57" s="20" t="n">
        <f aca="false">(D57-E57)+(F57-G57)-(H57-I57)</f>
        <v>0</v>
      </c>
    </row>
    <row r="58" customFormat="false" ht="15" hidden="false" customHeight="false" outlineLevel="0" collapsed="false">
      <c r="A58" s="33" t="n">
        <v>618300</v>
      </c>
      <c r="B58" s="12" t="s">
        <v>279</v>
      </c>
      <c r="C58" s="13" t="s">
        <v>277</v>
      </c>
      <c r="D58" s="20" t="n">
        <v>0</v>
      </c>
      <c r="E58" s="20" t="n">
        <v>0</v>
      </c>
      <c r="F58" s="20" t="n">
        <f aca="false">MAX(0,(H58-I58)-(D58-E58))</f>
        <v>2650380</v>
      </c>
      <c r="G58" s="20" t="n">
        <f aca="false">MAX(0,(D58-E58)-(H58-I58))</f>
        <v>0</v>
      </c>
      <c r="H58" s="15" t="n">
        <f aca="false">ROUND(HYPOTHESES!G$44-(H56+H57),0)</f>
        <v>2650380</v>
      </c>
      <c r="I58" s="20" t="n">
        <v>0</v>
      </c>
      <c r="J58" s="20" t="n">
        <f aca="false">(D58-E58)+(F58-G58)-(H58-I58)</f>
        <v>0</v>
      </c>
    </row>
    <row r="59" customFormat="false" ht="15" hidden="false" customHeight="false" outlineLevel="0" collapsed="false">
      <c r="A59" s="33" t="n">
        <v>622200</v>
      </c>
      <c r="B59" s="12" t="s">
        <v>280</v>
      </c>
      <c r="C59" s="13" t="s">
        <v>281</v>
      </c>
      <c r="D59" s="20" t="n">
        <v>0</v>
      </c>
      <c r="E59" s="20" t="n">
        <v>0</v>
      </c>
      <c r="F59" s="20" t="n">
        <f aca="false">MAX(0,(H59-I59)-(D59-E59))</f>
        <v>20604677</v>
      </c>
      <c r="G59" s="20" t="n">
        <f aca="false">MAX(0,(D59-E59)-(H59-I59))</f>
        <v>0</v>
      </c>
      <c r="H59" s="15" t="n">
        <f aca="false">ROUND(IF(HYPOTHESES!$C$45=0,0,'BALANCE 2024'!$H$59*HYPOTHESES!G$45/HYPOTHESES!$C$45),0)</f>
        <v>20604677</v>
      </c>
      <c r="I59" s="20" t="n">
        <v>0</v>
      </c>
      <c r="J59" s="20" t="n">
        <f aca="false">(D59-E59)+(F59-G59)-(H59-I59)</f>
        <v>0</v>
      </c>
    </row>
    <row r="60" customFormat="false" ht="15" hidden="false" customHeight="false" outlineLevel="0" collapsed="false">
      <c r="A60" s="33" t="n">
        <v>624200</v>
      </c>
      <c r="B60" s="12" t="s">
        <v>282</v>
      </c>
      <c r="C60" s="13" t="s">
        <v>281</v>
      </c>
      <c r="D60" s="20" t="n">
        <v>0</v>
      </c>
      <c r="E60" s="20" t="n">
        <v>0</v>
      </c>
      <c r="F60" s="20" t="n">
        <f aca="false">MAX(0,(H60-I60)-(D60-E60))</f>
        <v>42365360</v>
      </c>
      <c r="G60" s="20" t="n">
        <f aca="false">MAX(0,(D60-E60)-(H60-I60))</f>
        <v>0</v>
      </c>
      <c r="H60" s="15" t="n">
        <f aca="false">ROUND(HYPOTHESES!G$45-(H59+H61+H62+H63+H64+H65+H66+H67),0)</f>
        <v>42365360</v>
      </c>
      <c r="I60" s="20" t="n">
        <v>0</v>
      </c>
      <c r="J60" s="20" t="n">
        <f aca="false">(D60-E60)+(F60-G60)-(H60-I60)</f>
        <v>0</v>
      </c>
    </row>
    <row r="61" customFormat="false" ht="15" hidden="false" customHeight="false" outlineLevel="0" collapsed="false">
      <c r="A61" s="33" t="n">
        <v>625800</v>
      </c>
      <c r="B61" s="12" t="s">
        <v>283</v>
      </c>
      <c r="C61" s="13" t="s">
        <v>281</v>
      </c>
      <c r="D61" s="20" t="n">
        <v>0</v>
      </c>
      <c r="E61" s="20" t="n">
        <v>0</v>
      </c>
      <c r="F61" s="20" t="n">
        <f aca="false">MAX(0,(H61-I61)-(D61-E61))</f>
        <v>5684868</v>
      </c>
      <c r="G61" s="20" t="n">
        <f aca="false">MAX(0,(D61-E61)-(H61-I61))</f>
        <v>0</v>
      </c>
      <c r="H61" s="15" t="n">
        <f aca="false">ROUND(IF(HYPOTHESES!$C$45=0,0,'BALANCE 2024'!$H$61*HYPOTHESES!G$45/HYPOTHESES!$C$45),0)</f>
        <v>5684868</v>
      </c>
      <c r="I61" s="20" t="n">
        <v>0</v>
      </c>
      <c r="J61" s="20" t="n">
        <f aca="false">(D61-E61)+(F61-G61)-(H61-I61)</f>
        <v>0</v>
      </c>
    </row>
    <row r="62" customFormat="false" ht="15" hidden="false" customHeight="false" outlineLevel="0" collapsed="false">
      <c r="A62" s="33" t="n">
        <v>626600</v>
      </c>
      <c r="B62" s="12" t="s">
        <v>284</v>
      </c>
      <c r="C62" s="13" t="s">
        <v>281</v>
      </c>
      <c r="D62" s="20" t="n">
        <v>0</v>
      </c>
      <c r="E62" s="20" t="n">
        <v>0</v>
      </c>
      <c r="F62" s="20" t="n">
        <f aca="false">MAX(0,(H62-I62)-(D62-E62))</f>
        <v>39636</v>
      </c>
      <c r="G62" s="20" t="n">
        <f aca="false">MAX(0,(D62-E62)-(H62-I62))</f>
        <v>0</v>
      </c>
      <c r="H62" s="15" t="n">
        <f aca="false">ROUND(IF(HYPOTHESES!$C$45=0,0,'BALANCE 2024'!$H$62*HYPOTHESES!G$45/HYPOTHESES!$C$45),0)</f>
        <v>39636</v>
      </c>
      <c r="I62" s="20" t="n">
        <v>0</v>
      </c>
      <c r="J62" s="20" t="n">
        <f aca="false">(D62-E62)+(F62-G62)-(H62-I62)</f>
        <v>0</v>
      </c>
    </row>
    <row r="63" customFormat="false" ht="15" hidden="false" customHeight="false" outlineLevel="0" collapsed="false">
      <c r="A63" s="33" t="n">
        <v>627700</v>
      </c>
      <c r="B63" s="12" t="s">
        <v>285</v>
      </c>
      <c r="C63" s="13" t="s">
        <v>281</v>
      </c>
      <c r="D63" s="20" t="n">
        <v>0</v>
      </c>
      <c r="E63" s="20" t="n">
        <v>0</v>
      </c>
      <c r="F63" s="20" t="n">
        <f aca="false">MAX(0,(H63-I63)-(D63-E63))</f>
        <v>72460</v>
      </c>
      <c r="G63" s="20" t="n">
        <f aca="false">MAX(0,(D63-E63)-(H63-I63))</f>
        <v>0</v>
      </c>
      <c r="H63" s="15" t="n">
        <f aca="false">ROUND(IF(HYPOTHESES!$C$45=0,0,'BALANCE 2024'!$H$63*HYPOTHESES!G$45/HYPOTHESES!$C$45),0)</f>
        <v>72460</v>
      </c>
      <c r="I63" s="20" t="n">
        <v>0</v>
      </c>
      <c r="J63" s="20" t="n">
        <f aca="false">(D63-E63)+(F63-G63)-(H63-I63)</f>
        <v>0</v>
      </c>
    </row>
    <row r="64" customFormat="false" ht="15" hidden="false" customHeight="false" outlineLevel="0" collapsed="false">
      <c r="A64" s="33" t="n">
        <v>628800</v>
      </c>
      <c r="B64" s="12" t="s">
        <v>286</v>
      </c>
      <c r="C64" s="13" t="s">
        <v>281</v>
      </c>
      <c r="D64" s="20" t="n">
        <v>0</v>
      </c>
      <c r="E64" s="20" t="n">
        <v>0</v>
      </c>
      <c r="F64" s="20" t="n">
        <f aca="false">MAX(0,(H64-I64)-(D64-E64))</f>
        <v>983525</v>
      </c>
      <c r="G64" s="20" t="n">
        <f aca="false">MAX(0,(D64-E64)-(H64-I64))</f>
        <v>0</v>
      </c>
      <c r="H64" s="15" t="n">
        <f aca="false">ROUND(IF(HYPOTHESES!$C$45=0,0,'BALANCE 2024'!$H$64*HYPOTHESES!G$45/HYPOTHESES!$C$45),0)</f>
        <v>983525</v>
      </c>
      <c r="I64" s="20" t="n">
        <v>0</v>
      </c>
      <c r="J64" s="20" t="n">
        <f aca="false">(D64-E64)+(F64-G64)-(H64-I64)</f>
        <v>0</v>
      </c>
    </row>
    <row r="65" customFormat="false" ht="15" hidden="false" customHeight="false" outlineLevel="0" collapsed="false">
      <c r="A65" s="33" t="n">
        <v>631800</v>
      </c>
      <c r="B65" s="12" t="s">
        <v>287</v>
      </c>
      <c r="C65" s="13" t="s">
        <v>281</v>
      </c>
      <c r="D65" s="20" t="n">
        <v>0</v>
      </c>
      <c r="E65" s="20" t="n">
        <v>0</v>
      </c>
      <c r="F65" s="20" t="n">
        <f aca="false">MAX(0,(H65-I65)-(D65-E65))</f>
        <v>27980792</v>
      </c>
      <c r="G65" s="20" t="n">
        <f aca="false">MAX(0,(D65-E65)-(H65-I65))</f>
        <v>0</v>
      </c>
      <c r="H65" s="15" t="n">
        <f aca="false">ROUND(IF(HYPOTHESES!$C$45=0,0,'BALANCE 2024'!$H$65*HYPOTHESES!G$45/HYPOTHESES!$C$45),0)</f>
        <v>27980792</v>
      </c>
      <c r="I65" s="20" t="n">
        <v>0</v>
      </c>
      <c r="J65" s="20" t="n">
        <f aca="false">(D65-E65)+(F65-G65)-(H65-I65)</f>
        <v>0</v>
      </c>
    </row>
    <row r="66" customFormat="false" ht="15" hidden="false" customHeight="false" outlineLevel="0" collapsed="false">
      <c r="A66" s="33" t="n">
        <v>632800</v>
      </c>
      <c r="B66" s="12" t="s">
        <v>288</v>
      </c>
      <c r="C66" s="13" t="s">
        <v>281</v>
      </c>
      <c r="D66" s="20" t="n">
        <v>0</v>
      </c>
      <c r="E66" s="20" t="n">
        <v>0</v>
      </c>
      <c r="F66" s="20" t="n">
        <f aca="false">MAX(0,(H66-I66)-(D66-E66))</f>
        <v>5887245</v>
      </c>
      <c r="G66" s="20" t="n">
        <f aca="false">MAX(0,(D66-E66)-(H66-I66))</f>
        <v>0</v>
      </c>
      <c r="H66" s="15" t="n">
        <f aca="false">ROUND(IF(HYPOTHESES!$C$45=0,0,'BALANCE 2024'!$H$66*HYPOTHESES!G$45/HYPOTHESES!$C$45),0)</f>
        <v>5887245</v>
      </c>
      <c r="I66" s="20" t="n">
        <v>0</v>
      </c>
      <c r="J66" s="20" t="n">
        <f aca="false">(D66-E66)+(F66-G66)-(H66-I66)</f>
        <v>0</v>
      </c>
    </row>
    <row r="67" customFormat="false" ht="15" hidden="false" customHeight="false" outlineLevel="0" collapsed="false">
      <c r="A67" s="33" t="n">
        <v>638800</v>
      </c>
      <c r="B67" s="12" t="s">
        <v>289</v>
      </c>
      <c r="C67" s="13" t="s">
        <v>281</v>
      </c>
      <c r="D67" s="20" t="n">
        <v>0</v>
      </c>
      <c r="E67" s="20" t="n">
        <v>0</v>
      </c>
      <c r="F67" s="20" t="n">
        <f aca="false">MAX(0,(H67-I67)-(D67-E67))</f>
        <v>28628530</v>
      </c>
      <c r="G67" s="20" t="n">
        <f aca="false">MAX(0,(D67-E67)-(H67-I67))</f>
        <v>0</v>
      </c>
      <c r="H67" s="15" t="n">
        <f aca="false">ROUND(IF(HYPOTHESES!$C$45=0,0,'BALANCE 2024'!$H$67*HYPOTHESES!G$45/HYPOTHESES!$C$45),0)</f>
        <v>28628530</v>
      </c>
      <c r="I67" s="20" t="n">
        <v>0</v>
      </c>
      <c r="J67" s="20" t="n">
        <f aca="false">(D67-E67)+(F67-G67)-(H67-I67)</f>
        <v>0</v>
      </c>
    </row>
    <row r="68" customFormat="false" ht="15" hidden="false" customHeight="false" outlineLevel="0" collapsed="false">
      <c r="A68" s="33" t="n">
        <v>641100</v>
      </c>
      <c r="B68" s="12" t="s">
        <v>290</v>
      </c>
      <c r="C68" s="13" t="s">
        <v>291</v>
      </c>
      <c r="D68" s="20" t="n">
        <v>0</v>
      </c>
      <c r="E68" s="20" t="n">
        <v>0</v>
      </c>
      <c r="F68" s="20" t="n">
        <f aca="false">MAX(0,(H68-I68)-(D68-E68))</f>
        <v>445680</v>
      </c>
      <c r="G68" s="20" t="n">
        <f aca="false">MAX(0,(D68-E68)-(H68-I68))</f>
        <v>0</v>
      </c>
      <c r="H68" s="15" t="n">
        <f aca="false">ROUND(IF(HYPOTHESES!$C$46=0,0,'BALANCE 2024'!$H$68*HYPOTHESES!G$46/HYPOTHESES!$C$46),0)</f>
        <v>445680</v>
      </c>
      <c r="I68" s="20" t="n">
        <v>0</v>
      </c>
      <c r="J68" s="20" t="n">
        <f aca="false">(D68-E68)+(F68-G68)-(H68-I68)</f>
        <v>0</v>
      </c>
    </row>
    <row r="69" customFormat="false" ht="15" hidden="false" customHeight="false" outlineLevel="0" collapsed="false">
      <c r="A69" s="33" t="n">
        <v>641201</v>
      </c>
      <c r="B69" s="12" t="s">
        <v>292</v>
      </c>
      <c r="C69" s="13" t="s">
        <v>291</v>
      </c>
      <c r="D69" s="20" t="n">
        <v>0</v>
      </c>
      <c r="E69" s="20" t="n">
        <v>0</v>
      </c>
      <c r="F69" s="20" t="n">
        <f aca="false">MAX(0,(H69-I69)-(D69-E69))</f>
        <v>11210257</v>
      </c>
      <c r="G69" s="20" t="n">
        <f aca="false">MAX(0,(D69-E69)-(H69-I69))</f>
        <v>0</v>
      </c>
      <c r="H69" s="15" t="n">
        <f aca="false">ROUND(HYPOTHESES!G$46-(H68+H70+H71+H72+H73+H74+H75+H76),0)</f>
        <v>11210257</v>
      </c>
      <c r="I69" s="20" t="n">
        <v>0</v>
      </c>
      <c r="J69" s="20" t="n">
        <f aca="false">(D69-E69)+(F69-G69)-(H69-I69)</f>
        <v>0</v>
      </c>
    </row>
    <row r="70" customFormat="false" ht="15" hidden="false" customHeight="false" outlineLevel="0" collapsed="false">
      <c r="A70" s="33" t="n">
        <v>641202</v>
      </c>
      <c r="B70" s="12" t="s">
        <v>293</v>
      </c>
      <c r="C70" s="13" t="s">
        <v>291</v>
      </c>
      <c r="D70" s="20" t="n">
        <v>0</v>
      </c>
      <c r="E70" s="20" t="n">
        <v>0</v>
      </c>
      <c r="F70" s="20" t="n">
        <f aca="false">MAX(0,(H70-I70)-(D70-E70))</f>
        <v>1917285</v>
      </c>
      <c r="G70" s="20" t="n">
        <f aca="false">MAX(0,(D70-E70)-(H70-I70))</f>
        <v>0</v>
      </c>
      <c r="H70" s="15" t="n">
        <f aca="false">ROUND(IF(HYPOTHESES!$C$46=0,0,'BALANCE 2024'!$H$70*HYPOTHESES!G$46/HYPOTHESES!$C$46),0)</f>
        <v>1917285</v>
      </c>
      <c r="I70" s="20" t="n">
        <v>0</v>
      </c>
      <c r="J70" s="20" t="n">
        <f aca="false">(D70-E70)+(F70-G70)-(H70-I70)</f>
        <v>0</v>
      </c>
    </row>
    <row r="71" customFormat="false" ht="15" hidden="false" customHeight="false" outlineLevel="0" collapsed="false">
      <c r="A71" s="33" t="n">
        <v>641300</v>
      </c>
      <c r="B71" s="12" t="s">
        <v>294</v>
      </c>
      <c r="C71" s="13" t="s">
        <v>291</v>
      </c>
      <c r="D71" s="20" t="n">
        <v>0</v>
      </c>
      <c r="E71" s="20" t="n">
        <v>0</v>
      </c>
      <c r="F71" s="20" t="n">
        <f aca="false">MAX(0,(H71-I71)-(D71-E71))</f>
        <v>1023300</v>
      </c>
      <c r="G71" s="20" t="n">
        <f aca="false">MAX(0,(D71-E71)-(H71-I71))</f>
        <v>0</v>
      </c>
      <c r="H71" s="15" t="n">
        <f aca="false">ROUND(IF(HYPOTHESES!$C$46=0,0,'BALANCE 2024'!$H$71*HYPOTHESES!G$46/HYPOTHESES!$C$46),0)</f>
        <v>1023300</v>
      </c>
      <c r="I71" s="20" t="n">
        <v>0</v>
      </c>
      <c r="J71" s="20" t="n">
        <f aca="false">(D71-E71)+(F71-G71)-(H71-I71)</f>
        <v>0</v>
      </c>
    </row>
    <row r="72" customFormat="false" ht="15" hidden="false" customHeight="false" outlineLevel="0" collapsed="false">
      <c r="A72" s="33" t="n">
        <v>641400</v>
      </c>
      <c r="B72" s="12" t="s">
        <v>295</v>
      </c>
      <c r="C72" s="13" t="s">
        <v>291</v>
      </c>
      <c r="D72" s="20" t="n">
        <v>0</v>
      </c>
      <c r="E72" s="20" t="n">
        <v>0</v>
      </c>
      <c r="F72" s="20" t="n">
        <f aca="false">MAX(0,(H72-I72)-(D72-E72))</f>
        <v>128834</v>
      </c>
      <c r="G72" s="20" t="n">
        <f aca="false">MAX(0,(D72-E72)-(H72-I72))</f>
        <v>0</v>
      </c>
      <c r="H72" s="15" t="n">
        <f aca="false">ROUND(IF(HYPOTHESES!$C$46=0,0,'BALANCE 2024'!$H$72*HYPOTHESES!G$46/HYPOTHESES!$C$46),0)</f>
        <v>128834</v>
      </c>
      <c r="I72" s="20" t="n">
        <v>0</v>
      </c>
      <c r="J72" s="20" t="n">
        <f aca="false">(D72-E72)+(F72-G72)-(H72-I72)</f>
        <v>0</v>
      </c>
    </row>
    <row r="73" customFormat="false" ht="15" hidden="false" customHeight="false" outlineLevel="0" collapsed="false">
      <c r="A73" s="33" t="n">
        <v>641500</v>
      </c>
      <c r="B73" s="12" t="s">
        <v>296</v>
      </c>
      <c r="C73" s="13" t="s">
        <v>291</v>
      </c>
      <c r="D73" s="20" t="n">
        <v>0</v>
      </c>
      <c r="E73" s="20" t="n">
        <v>0</v>
      </c>
      <c r="F73" s="20" t="n">
        <f aca="false">MAX(0,(H73-I73)-(D73-E73))</f>
        <v>386517</v>
      </c>
      <c r="G73" s="20" t="n">
        <f aca="false">MAX(0,(D73-E73)-(H73-I73))</f>
        <v>0</v>
      </c>
      <c r="H73" s="15" t="n">
        <f aca="false">ROUND(IF(HYPOTHESES!$C$46=0,0,'BALANCE 2024'!$H$73*HYPOTHESES!G$46/HYPOTHESES!$C$46),0)</f>
        <v>386517</v>
      </c>
      <c r="I73" s="20" t="n">
        <v>0</v>
      </c>
      <c r="J73" s="20" t="n">
        <f aca="false">(D73-E73)+(F73-G73)-(H73-I73)</f>
        <v>0</v>
      </c>
    </row>
    <row r="74" customFormat="false" ht="15" hidden="false" customHeight="false" outlineLevel="0" collapsed="false">
      <c r="A74" s="33" t="n">
        <v>641830</v>
      </c>
      <c r="B74" s="12" t="s">
        <v>297</v>
      </c>
      <c r="C74" s="13" t="s">
        <v>291</v>
      </c>
      <c r="D74" s="20" t="n">
        <v>0</v>
      </c>
      <c r="E74" s="20" t="n">
        <v>0</v>
      </c>
      <c r="F74" s="20" t="n">
        <f aca="false">MAX(0,(H74-I74)-(D74-E74))</f>
        <v>262066</v>
      </c>
      <c r="G74" s="20" t="n">
        <f aca="false">MAX(0,(D74-E74)-(H74-I74))</f>
        <v>0</v>
      </c>
      <c r="H74" s="15" t="n">
        <f aca="false">ROUND(IF(HYPOTHESES!$C$46=0,0,'BALANCE 2024'!$H$74*HYPOTHESES!G$46/HYPOTHESES!$C$46),0)</f>
        <v>262066</v>
      </c>
      <c r="I74" s="20" t="n">
        <v>0</v>
      </c>
      <c r="J74" s="20" t="n">
        <f aca="false">(D74-E74)+(F74-G74)-(H74-I74)</f>
        <v>0</v>
      </c>
    </row>
    <row r="75" customFormat="false" ht="15" hidden="false" customHeight="false" outlineLevel="0" collapsed="false">
      <c r="A75" s="33" t="n">
        <v>646200</v>
      </c>
      <c r="B75" s="12" t="s">
        <v>298</v>
      </c>
      <c r="C75" s="13" t="s">
        <v>291</v>
      </c>
      <c r="D75" s="20" t="n">
        <v>0</v>
      </c>
      <c r="E75" s="20" t="n">
        <v>0</v>
      </c>
      <c r="F75" s="20" t="n">
        <f aca="false">MAX(0,(H75-I75)-(D75-E75))</f>
        <v>2136352</v>
      </c>
      <c r="G75" s="20" t="n">
        <f aca="false">MAX(0,(D75-E75)-(H75-I75))</f>
        <v>0</v>
      </c>
      <c r="H75" s="15" t="n">
        <f aca="false">ROUND(IF(HYPOTHESES!$C$46=0,0,'BALANCE 2024'!$H$75*HYPOTHESES!G$46/HYPOTHESES!$C$46),0)</f>
        <v>2136352</v>
      </c>
      <c r="I75" s="20" t="n">
        <v>0</v>
      </c>
      <c r="J75" s="20" t="n">
        <f aca="false">(D75-E75)+(F75-G75)-(H75-I75)</f>
        <v>0</v>
      </c>
    </row>
    <row r="76" customFormat="false" ht="15" hidden="false" customHeight="false" outlineLevel="0" collapsed="false">
      <c r="A76" s="33" t="n">
        <v>648000</v>
      </c>
      <c r="B76" s="12" t="s">
        <v>299</v>
      </c>
      <c r="C76" s="13" t="s">
        <v>291</v>
      </c>
      <c r="D76" s="20" t="n">
        <v>0</v>
      </c>
      <c r="E76" s="20" t="n">
        <v>0</v>
      </c>
      <c r="F76" s="20" t="n">
        <f aca="false">MAX(0,(H76-I76)-(D76-E76))</f>
        <v>898365</v>
      </c>
      <c r="G76" s="20" t="n">
        <f aca="false">MAX(0,(D76-E76)-(H76-I76))</f>
        <v>0</v>
      </c>
      <c r="H76" s="15" t="n">
        <f aca="false">ROUND(IF(HYPOTHESES!$C$46=0,0,'BALANCE 2024'!$H$76*HYPOTHESES!G$46/HYPOTHESES!$C$46),0)</f>
        <v>898365</v>
      </c>
      <c r="I76" s="20" t="n">
        <v>0</v>
      </c>
      <c r="J76" s="20" t="n">
        <f aca="false">(D76-E76)+(F76-G76)-(H76-I76)</f>
        <v>0</v>
      </c>
    </row>
    <row r="77" customFormat="false" ht="15" hidden="false" customHeight="false" outlineLevel="0" collapsed="false">
      <c r="A77" s="33" t="n">
        <v>658800</v>
      </c>
      <c r="B77" s="12" t="s">
        <v>300</v>
      </c>
      <c r="C77" s="13" t="s">
        <v>301</v>
      </c>
      <c r="D77" s="20" t="n">
        <v>0</v>
      </c>
      <c r="E77" s="20" t="n">
        <v>0</v>
      </c>
      <c r="F77" s="20" t="n">
        <f aca="false">MAX(0,(H77-I77)-(D77-E77))</f>
        <v>1649832</v>
      </c>
      <c r="G77" s="20" t="n">
        <f aca="false">MAX(0,(D77-E77)-(H77-I77))</f>
        <v>0</v>
      </c>
      <c r="H77" s="15" t="n">
        <f aca="false">ROUND(HYPOTHESES!G$47,0)</f>
        <v>1649832</v>
      </c>
      <c r="I77" s="20" t="n">
        <v>0</v>
      </c>
      <c r="J77" s="20" t="n">
        <f aca="false">(D77-E77)+(F77-G77)-(H77-I77)</f>
        <v>0</v>
      </c>
    </row>
    <row r="78" customFormat="false" ht="15" hidden="false" customHeight="false" outlineLevel="0" collapsed="false">
      <c r="A78" s="33" t="n">
        <v>661100</v>
      </c>
      <c r="B78" s="12" t="s">
        <v>302</v>
      </c>
      <c r="C78" s="13" t="s">
        <v>303</v>
      </c>
      <c r="D78" s="20" t="n">
        <v>0</v>
      </c>
      <c r="E78" s="20" t="n">
        <v>0</v>
      </c>
      <c r="F78" s="20" t="n">
        <f aca="false">MAX(0,(H78-I78)-(D78-E78))</f>
        <v>73034430</v>
      </c>
      <c r="G78" s="20" t="n">
        <f aca="false">MAX(0,(D78-E78)-(H78-I78))</f>
        <v>0</v>
      </c>
      <c r="H78" s="15" t="n">
        <f aca="false">ROUND(HYPOTHESES!G$48-(H79+H80+H81+H82+H83),0)</f>
        <v>73034430</v>
      </c>
      <c r="I78" s="20" t="n">
        <v>0</v>
      </c>
      <c r="J78" s="20" t="n">
        <f aca="false">(D78-E78)+(F78-G78)-(H78-I78)</f>
        <v>0</v>
      </c>
    </row>
    <row r="79" customFormat="false" ht="15" hidden="false" customHeight="false" outlineLevel="0" collapsed="false">
      <c r="A79" s="33" t="n">
        <v>661200</v>
      </c>
      <c r="B79" s="12" t="s">
        <v>304</v>
      </c>
      <c r="C79" s="13" t="s">
        <v>303</v>
      </c>
      <c r="D79" s="20" t="n">
        <v>0</v>
      </c>
      <c r="E79" s="20" t="n">
        <v>0</v>
      </c>
      <c r="F79" s="20" t="n">
        <f aca="false">MAX(0,(H79-I79)-(D79-E79))</f>
        <v>24689324</v>
      </c>
      <c r="G79" s="20" t="n">
        <f aca="false">MAX(0,(D79-E79)-(H79-I79))</f>
        <v>0</v>
      </c>
      <c r="H79" s="15" t="n">
        <f aca="false">ROUND(IF(HYPOTHESES!$C$48=0,0,'BALANCE 2024'!$H$79*HYPOTHESES!G$48/HYPOTHESES!$C$48),0)</f>
        <v>24689324</v>
      </c>
      <c r="I79" s="20" t="n">
        <v>0</v>
      </c>
      <c r="J79" s="20" t="n">
        <f aca="false">(D79-E79)+(F79-G79)-(H79-I79)</f>
        <v>0</v>
      </c>
    </row>
    <row r="80" customFormat="false" ht="15" hidden="false" customHeight="false" outlineLevel="0" collapsed="false">
      <c r="A80" s="33" t="n">
        <v>661300</v>
      </c>
      <c r="B80" s="12" t="s">
        <v>305</v>
      </c>
      <c r="C80" s="13" t="s">
        <v>303</v>
      </c>
      <c r="D80" s="20" t="n">
        <v>0</v>
      </c>
      <c r="E80" s="20" t="n">
        <v>0</v>
      </c>
      <c r="F80" s="20" t="n">
        <f aca="false">MAX(0,(H80-I80)-(D80-E80))</f>
        <v>8146286</v>
      </c>
      <c r="G80" s="20" t="n">
        <f aca="false">MAX(0,(D80-E80)-(H80-I80))</f>
        <v>0</v>
      </c>
      <c r="H80" s="15" t="n">
        <f aca="false">ROUND(IF(HYPOTHESES!$C$48=0,0,'BALANCE 2024'!$H$80*HYPOTHESES!G$48/HYPOTHESES!$C$48),0)</f>
        <v>8146286</v>
      </c>
      <c r="I80" s="20" t="n">
        <v>0</v>
      </c>
      <c r="J80" s="20" t="n">
        <f aca="false">(D80-E80)+(F80-G80)-(H80-I80)</f>
        <v>0</v>
      </c>
    </row>
    <row r="81" customFormat="false" ht="15" hidden="false" customHeight="false" outlineLevel="0" collapsed="false">
      <c r="A81" s="33" t="n">
        <v>661400</v>
      </c>
      <c r="B81" s="12" t="s">
        <v>306</v>
      </c>
      <c r="C81" s="13" t="s">
        <v>303</v>
      </c>
      <c r="D81" s="20" t="n">
        <v>0</v>
      </c>
      <c r="E81" s="20" t="n">
        <v>0</v>
      </c>
      <c r="F81" s="20" t="n">
        <f aca="false">MAX(0,(H81-I81)-(D81-E81))</f>
        <v>8226697</v>
      </c>
      <c r="G81" s="20" t="n">
        <f aca="false">MAX(0,(D81-E81)-(H81-I81))</f>
        <v>0</v>
      </c>
      <c r="H81" s="15" t="n">
        <f aca="false">ROUND(IF(HYPOTHESES!$C$48=0,0,'BALANCE 2024'!$H$81*HYPOTHESES!G$48/HYPOTHESES!$C$48),0)</f>
        <v>8226697</v>
      </c>
      <c r="I81" s="20" t="n">
        <v>0</v>
      </c>
      <c r="J81" s="20" t="n">
        <f aca="false">(D81-E81)+(F81-G81)-(H81-I81)</f>
        <v>0</v>
      </c>
    </row>
    <row r="82" customFormat="false" ht="15" hidden="false" customHeight="false" outlineLevel="0" collapsed="false">
      <c r="A82" s="33" t="n">
        <v>663400</v>
      </c>
      <c r="B82" s="12" t="s">
        <v>307</v>
      </c>
      <c r="C82" s="13" t="s">
        <v>303</v>
      </c>
      <c r="D82" s="20" t="n">
        <v>0</v>
      </c>
      <c r="E82" s="20" t="n">
        <v>0</v>
      </c>
      <c r="F82" s="20" t="n">
        <f aca="false">MAX(0,(H82-I82)-(D82-E82))</f>
        <v>8520525</v>
      </c>
      <c r="G82" s="20" t="n">
        <f aca="false">MAX(0,(D82-E82)-(H82-I82))</f>
        <v>0</v>
      </c>
      <c r="H82" s="15" t="n">
        <f aca="false">ROUND(IF(HYPOTHESES!$C$48=0,0,'BALANCE 2024'!$H$82*HYPOTHESES!G$48/HYPOTHESES!$C$48),0)</f>
        <v>8520525</v>
      </c>
      <c r="I82" s="20" t="n">
        <v>0</v>
      </c>
      <c r="J82" s="20" t="n">
        <f aca="false">(D82-E82)+(F82-G82)-(H82-I82)</f>
        <v>0</v>
      </c>
    </row>
    <row r="83" customFormat="false" ht="15" hidden="false" customHeight="false" outlineLevel="0" collapsed="false">
      <c r="A83" s="33" t="n">
        <v>664104</v>
      </c>
      <c r="B83" s="12" t="s">
        <v>308</v>
      </c>
      <c r="C83" s="13" t="s">
        <v>303</v>
      </c>
      <c r="D83" s="20" t="n">
        <v>0</v>
      </c>
      <c r="E83" s="20" t="n">
        <v>0</v>
      </c>
      <c r="F83" s="20" t="n">
        <f aca="false">MAX(0,(H83-I83)-(D83-E83))</f>
        <v>8674665</v>
      </c>
      <c r="G83" s="20" t="n">
        <f aca="false">MAX(0,(D83-E83)-(H83-I83))</f>
        <v>0</v>
      </c>
      <c r="H83" s="15" t="n">
        <f aca="false">ROUND(IF(HYPOTHESES!$C$48=0,0,'BALANCE 2024'!$H$83*HYPOTHESES!G$48/HYPOTHESES!$C$48),0)</f>
        <v>8674665</v>
      </c>
      <c r="I83" s="20" t="n">
        <v>0</v>
      </c>
      <c r="J83" s="20" t="n">
        <f aca="false">(D83-E83)+(F83-G83)-(H83-I83)</f>
        <v>0</v>
      </c>
    </row>
    <row r="84" customFormat="false" ht="15" hidden="false" customHeight="false" outlineLevel="0" collapsed="false">
      <c r="A84" s="33" t="n">
        <v>671201</v>
      </c>
      <c r="B84" s="12" t="s">
        <v>309</v>
      </c>
      <c r="C84" s="13" t="s">
        <v>310</v>
      </c>
      <c r="D84" s="20" t="n">
        <v>0</v>
      </c>
      <c r="E84" s="20" t="n">
        <v>0</v>
      </c>
      <c r="F84" s="20" t="n">
        <f aca="false">MAX(0,(H84-I84)-(D84-E84))</f>
        <v>0</v>
      </c>
      <c r="G84" s="20" t="n">
        <f aca="false">MAX(0,(D84-E84)-(H84-I84))</f>
        <v>0</v>
      </c>
      <c r="H84" s="15" t="n">
        <f aca="false">ROUND('INVEST ET FINANCEMENT'!G$64,0)</f>
        <v>0</v>
      </c>
      <c r="I84" s="20" t="n">
        <v>0</v>
      </c>
      <c r="J84" s="20" t="n">
        <f aca="false">(D84-E84)+(F84-G84)-(H84-I84)</f>
        <v>0</v>
      </c>
    </row>
    <row r="85" customFormat="false" ht="15" hidden="false" customHeight="false" outlineLevel="0" collapsed="false">
      <c r="A85" s="33" t="n">
        <v>672301</v>
      </c>
      <c r="B85" s="12" t="s">
        <v>311</v>
      </c>
      <c r="C85" s="13" t="s">
        <v>310</v>
      </c>
      <c r="D85" s="20" t="n">
        <v>0</v>
      </c>
      <c r="E85" s="20" t="n">
        <v>0</v>
      </c>
      <c r="F85" s="20" t="n">
        <f aca="false">MAX(0,(H85-I85)-(D85-E85))</f>
        <v>0</v>
      </c>
      <c r="G85" s="20" t="n">
        <f aca="false">MAX(0,(D85-E85)-(H85-I85))</f>
        <v>0</v>
      </c>
      <c r="H85" s="15" t="n">
        <f aca="false">ROUND('INVEST ET FINANCEMENT'!G$65,0)</f>
        <v>0</v>
      </c>
      <c r="I85" s="20" t="n">
        <v>0</v>
      </c>
      <c r="J85" s="20" t="n">
        <f aca="false">(D85-E85)+(F85-G85)-(H85-I85)</f>
        <v>0</v>
      </c>
    </row>
    <row r="86" customFormat="false" ht="15" hidden="false" customHeight="false" outlineLevel="0" collapsed="false">
      <c r="A86" s="33" t="n">
        <v>681301</v>
      </c>
      <c r="B86" s="12" t="s">
        <v>312</v>
      </c>
      <c r="C86" s="13" t="s">
        <v>313</v>
      </c>
      <c r="D86" s="20" t="n">
        <v>0</v>
      </c>
      <c r="E86" s="20" t="n">
        <v>0</v>
      </c>
      <c r="F86" s="20" t="n">
        <f aca="false">MAX(0,(H86-I86)-(D86-E86))</f>
        <v>3816481</v>
      </c>
      <c r="G86" s="20" t="n">
        <f aca="false">MAX(0,(D86-E86)-(H86-I86))</f>
        <v>0</v>
      </c>
      <c r="H86" s="15" t="n">
        <f aca="false">ROUND('INVEST ET FINANCEMENT'!G$31,0)</f>
        <v>3816481</v>
      </c>
      <c r="I86" s="20" t="n">
        <v>0</v>
      </c>
      <c r="J86" s="20" t="n">
        <f aca="false">(D86-E86)+(F86-G86)-(H86-I86)</f>
        <v>0</v>
      </c>
    </row>
    <row r="87" customFormat="false" ht="15" hidden="false" customHeight="false" outlineLevel="0" collapsed="false">
      <c r="A87" s="33" t="n">
        <v>681302</v>
      </c>
      <c r="B87" s="12" t="s">
        <v>314</v>
      </c>
      <c r="C87" s="13" t="s">
        <v>313</v>
      </c>
      <c r="D87" s="20" t="n">
        <v>0</v>
      </c>
      <c r="E87" s="20" t="n">
        <v>0</v>
      </c>
      <c r="F87" s="20" t="n">
        <f aca="false">MAX(0,(H87-I87)-(D87-E87))</f>
        <v>62854932</v>
      </c>
      <c r="G87" s="20" t="n">
        <f aca="false">MAX(0,(D87-E87)-(H87-I87))</f>
        <v>0</v>
      </c>
      <c r="H87" s="15" t="n">
        <f aca="false">ROUND('INVEST ET FINANCEMENT'!G$34,0)</f>
        <v>62854932</v>
      </c>
      <c r="I87" s="20" t="n">
        <v>0</v>
      </c>
      <c r="J87" s="20" t="n">
        <f aca="false">(D87-E87)+(F87-G87)-(H87-I87)</f>
        <v>0</v>
      </c>
    </row>
    <row r="88" customFormat="false" ht="15" hidden="false" customHeight="false" outlineLevel="0" collapsed="false">
      <c r="A88" s="33" t="n">
        <v>681303</v>
      </c>
      <c r="B88" s="12" t="s">
        <v>315</v>
      </c>
      <c r="C88" s="13" t="s">
        <v>313</v>
      </c>
      <c r="D88" s="20" t="n">
        <v>0</v>
      </c>
      <c r="E88" s="20" t="n">
        <v>0</v>
      </c>
      <c r="F88" s="20" t="n">
        <f aca="false">MAX(0,(H88-I88)-(D88-E88))</f>
        <v>5000000</v>
      </c>
      <c r="G88" s="20" t="n">
        <f aca="false">MAX(0,(D88-E88)-(H88-I88))</f>
        <v>0</v>
      </c>
      <c r="H88" s="15" t="n">
        <f aca="false">ROUND('INVEST ET FINANCEMENT'!G$37,0)</f>
        <v>5000000</v>
      </c>
      <c r="I88" s="20" t="n">
        <v>0</v>
      </c>
      <c r="J88" s="20" t="n">
        <f aca="false">(D88-E88)+(F88-G88)-(H88-I88)</f>
        <v>0</v>
      </c>
    </row>
    <row r="89" customFormat="false" ht="15" hidden="false" customHeight="false" outlineLevel="0" collapsed="false">
      <c r="A89" s="33" t="n">
        <v>681304</v>
      </c>
      <c r="B89" s="12" t="s">
        <v>316</v>
      </c>
      <c r="C89" s="13" t="s">
        <v>313</v>
      </c>
      <c r="D89" s="20" t="n">
        <v>0</v>
      </c>
      <c r="E89" s="20" t="n">
        <v>0</v>
      </c>
      <c r="F89" s="20" t="n">
        <f aca="false">MAX(0,(H89-I89)-(D89-E89))</f>
        <v>24093971</v>
      </c>
      <c r="G89" s="20" t="n">
        <f aca="false">MAX(0,(D89-E89)-(H89-I89))</f>
        <v>0</v>
      </c>
      <c r="H89" s="15" t="n">
        <f aca="false">ROUND('INVEST ET FINANCEMENT'!G$40,0)</f>
        <v>24093971</v>
      </c>
      <c r="I89" s="20" t="n">
        <v>0</v>
      </c>
      <c r="J89" s="20" t="n">
        <f aca="false">(D89-E89)+(F89-G89)-(H89-I89)</f>
        <v>0</v>
      </c>
    </row>
    <row r="90" customFormat="false" ht="15" hidden="false" customHeight="false" outlineLevel="0" collapsed="false">
      <c r="A90" s="33" t="n">
        <v>691100</v>
      </c>
      <c r="B90" s="12" t="s">
        <v>317</v>
      </c>
      <c r="C90" s="13" t="s">
        <v>313</v>
      </c>
      <c r="D90" s="20" t="n">
        <v>0</v>
      </c>
      <c r="E90" s="20" t="n">
        <v>0</v>
      </c>
      <c r="F90" s="20" t="n">
        <f aca="false">MAX(0,(H90-I90)-(D90-E90))</f>
        <v>6059296</v>
      </c>
      <c r="G90" s="20" t="n">
        <f aca="false">MAX(0,(D90-E90)-(H90-I90))</f>
        <v>0</v>
      </c>
      <c r="H90" s="15" t="n">
        <f aca="false">ROUND(HYPOTHESES!G$50,0)</f>
        <v>6059296</v>
      </c>
      <c r="I90" s="20" t="n">
        <v>0</v>
      </c>
      <c r="J90" s="20" t="n">
        <f aca="false">(D90-E90)+(F90-G90)-(H90-I90)</f>
        <v>0</v>
      </c>
    </row>
    <row r="91" customFormat="false" ht="15" hidden="false" customHeight="false" outlineLevel="0" collapsed="false">
      <c r="A91" s="28" t="n">
        <v>705100</v>
      </c>
      <c r="B91" s="29" t="s">
        <v>318</v>
      </c>
      <c r="C91" s="30" t="s">
        <v>319</v>
      </c>
      <c r="D91" s="32" t="n">
        <v>0</v>
      </c>
      <c r="E91" s="32" t="n">
        <v>0</v>
      </c>
      <c r="F91" s="32" t="n">
        <f aca="false">MAX(0,(H91-I91)-(D91-E91))</f>
        <v>0</v>
      </c>
      <c r="G91" s="32" t="n">
        <f aca="false">MAX(0,(D91-E91)-(H91-I91))</f>
        <v>868332850</v>
      </c>
      <c r="H91" s="32" t="n">
        <v>0</v>
      </c>
      <c r="I91" s="37" t="n">
        <f aca="false">ROUND(HYPOTHESES!G$42,0)</f>
        <v>868332850</v>
      </c>
      <c r="J91" s="32" t="n">
        <f aca="false">(D91-E91)+(F91-G91)-(H91-I91)</f>
        <v>0</v>
      </c>
    </row>
    <row r="92" customFormat="false" ht="15" hidden="false" customHeight="false" outlineLevel="0" collapsed="false">
      <c r="A92" s="33" t="n">
        <v>771200</v>
      </c>
      <c r="B92" s="12" t="s">
        <v>320</v>
      </c>
      <c r="C92" s="13" t="s">
        <v>321</v>
      </c>
      <c r="D92" s="20" t="n">
        <v>0</v>
      </c>
      <c r="E92" s="20" t="n">
        <v>0</v>
      </c>
      <c r="F92" s="20" t="n">
        <f aca="false">MAX(0,(H92-I92)-(D92-E92))</f>
        <v>0</v>
      </c>
      <c r="G92" s="20" t="n">
        <f aca="false">MAX(0,(D92-E92)-(H92-I92))</f>
        <v>848594</v>
      </c>
      <c r="H92" s="20" t="n">
        <v>0</v>
      </c>
      <c r="I92" s="15" t="n">
        <f aca="false">ROUND(HYPOTHESES!G$51,0)</f>
        <v>848594</v>
      </c>
      <c r="J92" s="20" t="n">
        <f aca="false">(D92-E92)+(F92-G92)-(H92-I92)</f>
        <v>0</v>
      </c>
    </row>
    <row r="93" customFormat="false" ht="15" hidden="false" customHeight="false" outlineLevel="0" collapsed="false">
      <c r="A93" s="28" t="n">
        <v>891100</v>
      </c>
      <c r="B93" s="29" t="s">
        <v>322</v>
      </c>
      <c r="C93" s="30" t="s">
        <v>323</v>
      </c>
      <c r="D93" s="32" t="n">
        <v>0</v>
      </c>
      <c r="E93" s="32" t="n">
        <v>0</v>
      </c>
      <c r="F93" s="32" t="n">
        <f aca="false">MAX(0,(H93-I93)-(D93-E93))</f>
        <v>33628946</v>
      </c>
      <c r="G93" s="32" t="n">
        <f aca="false">MAX(0,(D93-E93)-(H93-I93))</f>
        <v>0</v>
      </c>
      <c r="H93" s="37" t="n">
        <f aca="false">ROUND(IF(HYPOTHESES!G$54&gt;=HYPOTHESES!G$55,HYPOTHESES!G$56,0),0)</f>
        <v>33628946</v>
      </c>
      <c r="I93" s="32" t="n">
        <v>0</v>
      </c>
      <c r="J93" s="32" t="n">
        <f aca="false">(D93-E93)+(F93-G93)-(H93-I93)</f>
        <v>0</v>
      </c>
    </row>
    <row r="94" customFormat="false" ht="15" hidden="false" customHeight="false" outlineLevel="0" collapsed="false">
      <c r="A94" s="33" t="n">
        <v>895000</v>
      </c>
      <c r="B94" s="12" t="s">
        <v>324</v>
      </c>
      <c r="C94" s="13" t="s">
        <v>323</v>
      </c>
      <c r="D94" s="20" t="n">
        <v>0</v>
      </c>
      <c r="E94" s="20" t="n">
        <v>0</v>
      </c>
      <c r="F94" s="20" t="n">
        <f aca="false">MAX(0,(H94-I94)-(D94-E94))</f>
        <v>0</v>
      </c>
      <c r="G94" s="20" t="n">
        <f aca="false">MAX(0,(D94-E94)-(H94-I94))</f>
        <v>0</v>
      </c>
      <c r="H94" s="15" t="n">
        <f aca="false">ROUND(IF(HYPOTHESES!G$54&lt;HYPOTHESES!G$55,HYPOTHESES!G$56,0),0)</f>
        <v>0</v>
      </c>
      <c r="I94" s="20" t="n">
        <v>0</v>
      </c>
      <c r="J94" s="20" t="n">
        <f aca="false">(D94-E94)+(F94-G94)-(H94-I94)</f>
        <v>0</v>
      </c>
    </row>
    <row r="96" customFormat="false" ht="15" hidden="false" customHeight="false" outlineLevel="0" collapsed="false">
      <c r="A96" s="34"/>
      <c r="B96" s="35" t="s">
        <v>325</v>
      </c>
      <c r="C96" s="34"/>
      <c r="D96" s="36" t="n">
        <f aca="false">SUM(D5:D94)</f>
        <v>2122934917</v>
      </c>
      <c r="E96" s="36" t="n">
        <f aca="false">SUM(E5:E94)</f>
        <v>2122934917</v>
      </c>
      <c r="F96" s="36" t="n">
        <f aca="false">SUM(F5:F94)</f>
        <v>4259084264</v>
      </c>
      <c r="G96" s="36" t="n">
        <f aca="false">SUM(G5:G94)</f>
        <v>4259084264</v>
      </c>
      <c r="H96" s="36" t="n">
        <f aca="false">SUM(H5:H94)</f>
        <v>3120511037</v>
      </c>
      <c r="I96" s="36" t="n">
        <f aca="false">SUM(I5:I94)</f>
        <v>3120511037</v>
      </c>
      <c r="J96" s="36" t="n">
        <f aca="false">SUM(J5:J94)</f>
        <v>0</v>
      </c>
    </row>
    <row r="97" customFormat="false" ht="15" hidden="false" customHeight="false" outlineLevel="0" collapsed="false">
      <c r="B97" s="4" t="s">
        <v>326</v>
      </c>
      <c r="D97" s="21" t="n">
        <f aca="false">D96-E96</f>
        <v>0</v>
      </c>
      <c r="F97" s="21" t="n">
        <f aca="false">F96-G96</f>
        <v>0</v>
      </c>
      <c r="H97" s="21" t="n">
        <f aca="false">H96-I96</f>
        <v>0</v>
      </c>
    </row>
    <row r="99" customFormat="false" ht="15" hidden="false" customHeight="false" outlineLevel="0" collapsed="false">
      <c r="B99" s="7" t="s">
        <v>329</v>
      </c>
      <c r="H99" s="20" t="n">
        <f aca="false">-(SUM(H5:H44)-SUM(I5:I44)+SUM(H47:H94)-SUM(I47:I94))</f>
        <v>497172401</v>
      </c>
    </row>
    <row r="100" customFormat="false" ht="15" hidden="false" customHeight="false" outlineLevel="0" collapsed="false">
      <c r="B100" s="7" t="s">
        <v>330</v>
      </c>
      <c r="H100" s="20" t="n">
        <f aca="false">ROUND((G26+HYPOTHESES!G$51+'INVEST ET FINANCEMENT'!G$47+'INVEST ET FINANCEMENT'!G$51+(D45-E45)+(D46-E46)-H99)/(1-HYPOTHESES!G$29*(1-HYPOTHESES!G$30)),0)</f>
        <v>872945734</v>
      </c>
    </row>
    <row r="101" customFormat="false" ht="15" hidden="false" customHeight="false" outlineLevel="0" collapsed="false">
      <c r="B101" s="7" t="s">
        <v>331</v>
      </c>
      <c r="H101" s="20" t="n">
        <f aca="false">ROUND(HYPOTHESES!G$29*H100,0)</f>
        <v>174589147</v>
      </c>
    </row>
  </sheetData>
  <mergeCells count="4">
    <mergeCell ref="A1:J1"/>
    <mergeCell ref="D3:E3"/>
    <mergeCell ref="F3:G3"/>
    <mergeCell ref="H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ignoredErrors>
    <ignoredError sqref="A1:Z400" formula="1" formulaRange="1" unlockedFormula="1" numberStoredAsText="1" emptyCellReferenc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J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6"/>
    <col collapsed="false" customWidth="true" hidden="false" outlineLevel="0" max="3" min="3" style="0" width="7"/>
    <col collapsed="false" customWidth="true" hidden="false" outlineLevel="0" max="9" min="4" style="0" width="15"/>
    <col collapsed="false" customWidth="true" hidden="false" outlineLevel="0" max="10" min="10" style="0" width="13"/>
  </cols>
  <sheetData>
    <row r="1" customFormat="false" ht="24" hidden="false" customHeight="true" outlineLevel="0" collapsed="false">
      <c r="A1" s="1" t="s">
        <v>335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328</v>
      </c>
    </row>
    <row r="3" customFormat="false" ht="15" hidden="false" customHeight="false" outlineLevel="0" collapsed="false">
      <c r="A3" s="25"/>
      <c r="B3" s="25"/>
      <c r="C3" s="25"/>
      <c r="D3" s="26" t="s">
        <v>196</v>
      </c>
      <c r="E3" s="26"/>
      <c r="F3" s="26" t="s">
        <v>197</v>
      </c>
      <c r="G3" s="26"/>
      <c r="H3" s="26" t="s">
        <v>198</v>
      </c>
      <c r="I3" s="26"/>
      <c r="J3" s="27" t="s">
        <v>199</v>
      </c>
    </row>
    <row r="4" customFormat="false" ht="15" hidden="false" customHeight="false" outlineLevel="0" collapsed="false">
      <c r="A4" s="8" t="s">
        <v>200</v>
      </c>
      <c r="B4" s="8" t="s">
        <v>201</v>
      </c>
      <c r="C4" s="8" t="s">
        <v>202</v>
      </c>
      <c r="D4" s="8" t="s">
        <v>203</v>
      </c>
      <c r="E4" s="8" t="s">
        <v>204</v>
      </c>
      <c r="F4" s="8" t="s">
        <v>203</v>
      </c>
      <c r="G4" s="8" t="s">
        <v>204</v>
      </c>
      <c r="H4" s="8" t="s">
        <v>203</v>
      </c>
      <c r="I4" s="8" t="s">
        <v>204</v>
      </c>
      <c r="J4" s="8" t="s">
        <v>205</v>
      </c>
    </row>
    <row r="5" customFormat="false" ht="15" hidden="false" customHeight="false" outlineLevel="0" collapsed="false">
      <c r="A5" s="28" t="n">
        <v>101000</v>
      </c>
      <c r="B5" s="29" t="s">
        <v>206</v>
      </c>
      <c r="C5" s="30" t="s">
        <v>207</v>
      </c>
      <c r="D5" s="37" t="n">
        <f aca="false">'BALANCE 2028'!H5</f>
        <v>0</v>
      </c>
      <c r="E5" s="37" t="n">
        <f aca="false">'BALANCE 2028'!I5</f>
        <v>10000000</v>
      </c>
      <c r="F5" s="37" t="n">
        <f aca="false">ROUND('INVEST ET FINANCEMENT'!H$51,0)+(H5-I5)-(D5-E5)</f>
        <v>0</v>
      </c>
      <c r="G5" s="37" t="n">
        <f aca="false">ROUND('INVEST ET FINANCEMENT'!H$51,0)</f>
        <v>0</v>
      </c>
      <c r="H5" s="32" t="n">
        <v>0</v>
      </c>
      <c r="I5" s="37" t="n">
        <f aca="false">ROUND(E5+'INVEST ET FINANCEMENT'!H$51,0)</f>
        <v>10000000</v>
      </c>
      <c r="J5" s="32" t="n">
        <f aca="false">(D5-E5)+(F5-G5)-(H5-I5)</f>
        <v>0</v>
      </c>
    </row>
    <row r="6" customFormat="false" ht="15" hidden="false" customHeight="false" outlineLevel="0" collapsed="false">
      <c r="A6" s="33" t="n">
        <v>111000</v>
      </c>
      <c r="B6" s="12" t="s">
        <v>208</v>
      </c>
      <c r="C6" s="13" t="s">
        <v>209</v>
      </c>
      <c r="D6" s="15" t="n">
        <f aca="false">'BALANCE 2028'!H6</f>
        <v>0</v>
      </c>
      <c r="E6" s="15" t="n">
        <f aca="false">'BALANCE 2028'!I6</f>
        <v>2000000</v>
      </c>
      <c r="F6" s="15" t="n">
        <f aca="false">ROUND(HYPOTHESES!H$58,0)+(H6-I6)-(D6-E6)</f>
        <v>0</v>
      </c>
      <c r="G6" s="15" t="n">
        <f aca="false">ROUND(HYPOTHESES!H$58,0)</f>
        <v>0</v>
      </c>
      <c r="H6" s="20" t="n">
        <v>0</v>
      </c>
      <c r="I6" s="15" t="n">
        <f aca="false">ROUND(E6+HYPOTHESES!H$58,0)</f>
        <v>2000000</v>
      </c>
      <c r="J6" s="20" t="n">
        <f aca="false">(D6-E6)+(F6-G6)-(H6-I6)</f>
        <v>0</v>
      </c>
    </row>
    <row r="7" customFormat="false" ht="15" hidden="false" customHeight="false" outlineLevel="0" collapsed="false">
      <c r="A7" s="33" t="n">
        <v>121000</v>
      </c>
      <c r="B7" s="12" t="s">
        <v>210</v>
      </c>
      <c r="C7" s="13" t="s">
        <v>211</v>
      </c>
      <c r="D7" s="15" t="n">
        <f aca="false">'BALANCE 2028'!H7</f>
        <v>0</v>
      </c>
      <c r="E7" s="15" t="n">
        <f aca="false">'BALANCE 2028'!I7</f>
        <v>1114503458</v>
      </c>
      <c r="F7" s="20" t="n">
        <f aca="false">MAX(0,(H7-I7)-(D7-E7))</f>
        <v>0</v>
      </c>
      <c r="G7" s="20" t="n">
        <f aca="false">MAX(0,(D7-E7)-(H7-I7))</f>
        <v>100886838</v>
      </c>
      <c r="H7" s="15" t="n">
        <f aca="false">ROUND(MAX(0,-(E7-D7+HYPOTHESES!H$60)),0)</f>
        <v>0</v>
      </c>
      <c r="I7" s="15" t="n">
        <f aca="false">ROUND(MAX(0,(E7-D7+HYPOTHESES!H$60)),0)</f>
        <v>1215390296</v>
      </c>
      <c r="J7" s="20" t="n">
        <f aca="false">(D7-E7)+(F7-G7)-(H7-I7)</f>
        <v>0</v>
      </c>
    </row>
    <row r="8" customFormat="false" ht="15" hidden="false" customHeight="false" outlineLevel="0" collapsed="false">
      <c r="A8" s="33" t="n">
        <v>130100</v>
      </c>
      <c r="B8" s="12" t="s">
        <v>212</v>
      </c>
      <c r="C8" s="13" t="s">
        <v>213</v>
      </c>
      <c r="D8" s="15" t="n">
        <f aca="false">MAX(0,-(SUM('BALANCE 2028'!I48:I94)-SUM('BALANCE 2028'!H48:H94)))</f>
        <v>0</v>
      </c>
      <c r="E8" s="15" t="n">
        <f aca="false">MAX(0,(SUM('BALANCE 2028'!I48:I94)-SUM('BALANCE 2028'!H48:H94)))</f>
        <v>100886838</v>
      </c>
      <c r="F8" s="20" t="n">
        <f aca="false">MAX(0,(H8-I8)-(D8-E8))</f>
        <v>100886838</v>
      </c>
      <c r="G8" s="20" t="n">
        <f aca="false">MAX(0,(D8-E8)-(H8-I8))</f>
        <v>0</v>
      </c>
      <c r="H8" s="20" t="n">
        <v>0</v>
      </c>
      <c r="I8" s="20" t="n">
        <v>0</v>
      </c>
      <c r="J8" s="20" t="n">
        <f aca="false">(D8-E8)+(F8-G8)-(H8-I8)</f>
        <v>0</v>
      </c>
    </row>
    <row r="9" customFormat="false" ht="15" hidden="false" customHeight="false" outlineLevel="0" collapsed="false">
      <c r="A9" s="33" t="n">
        <v>162002</v>
      </c>
      <c r="B9" s="12" t="s">
        <v>214</v>
      </c>
      <c r="C9" s="13" t="s">
        <v>172</v>
      </c>
      <c r="D9" s="15" t="n">
        <f aca="false">'BALANCE 2028'!H9</f>
        <v>0</v>
      </c>
      <c r="E9" s="15" t="n">
        <f aca="false">'BALANCE 2028'!I9</f>
        <v>0</v>
      </c>
      <c r="F9" s="15" t="n">
        <f aca="false">ROUND('INVEST ET FINANCEMENT'!H$47,0)+(H9-I9)-(D9-E9)</f>
        <v>0</v>
      </c>
      <c r="G9" s="15" t="n">
        <f aca="false">ROUND('INVEST ET FINANCEMENT'!H$47,0)</f>
        <v>0</v>
      </c>
      <c r="H9" s="20" t="n">
        <v>0</v>
      </c>
      <c r="I9" s="15" t="n">
        <f aca="false">ROUND(E9+'INVEST ET FINANCEMENT'!H$47-'INVEST ET FINANCEMENT'!H$48,0)</f>
        <v>0</v>
      </c>
      <c r="J9" s="20" t="n">
        <f aca="false">(D9-E9)+(F9-G9)-(H9-I9)</f>
        <v>0</v>
      </c>
    </row>
    <row r="10" customFormat="false" ht="15" hidden="false" customHeight="false" outlineLevel="0" collapsed="false">
      <c r="A10" s="33" t="n">
        <v>173060</v>
      </c>
      <c r="B10" s="12" t="s">
        <v>215</v>
      </c>
      <c r="C10" s="13" t="s">
        <v>175</v>
      </c>
      <c r="D10" s="15" t="n">
        <f aca="false">'BALANCE 2028'!H10</f>
        <v>0</v>
      </c>
      <c r="E10" s="15" t="n">
        <f aca="false">'BALANCE 2028'!I10</f>
        <v>0</v>
      </c>
      <c r="F10" s="15" t="n">
        <f aca="false">ROUND('INVEST ET FINANCEMENT'!H$49,0)</f>
        <v>0</v>
      </c>
      <c r="G10" s="15" t="n">
        <f aca="false">ROUND('INVEST ET FINANCEMENT'!H$49,0)+(D10-E10)-(H10-I10)</f>
        <v>0</v>
      </c>
      <c r="H10" s="20" t="n">
        <v>0</v>
      </c>
      <c r="I10" s="15" t="n">
        <f aca="false">ROUND(E10-'INVEST ET FINANCEMENT'!H$49,0)</f>
        <v>0</v>
      </c>
      <c r="J10" s="20" t="n">
        <f aca="false">(D10-E10)+(F10-G10)-(H10-I10)</f>
        <v>0</v>
      </c>
    </row>
    <row r="11" customFormat="false" ht="15" hidden="false" customHeight="false" outlineLevel="0" collapsed="false">
      <c r="A11" s="33" t="n">
        <v>196100</v>
      </c>
      <c r="B11" s="12" t="s">
        <v>216</v>
      </c>
      <c r="C11" s="13" t="s">
        <v>217</v>
      </c>
      <c r="D11" s="15" t="n">
        <f aca="false">'BALANCE 2028'!H11</f>
        <v>0</v>
      </c>
      <c r="E11" s="15" t="n">
        <f aca="false">'BALANCE 2028'!I11</f>
        <v>45511080</v>
      </c>
      <c r="F11" s="15" t="n">
        <f aca="false">ROUND(HYPOTHESES!H$20,0)+(H11-I11)-(D11-E11)</f>
        <v>0</v>
      </c>
      <c r="G11" s="15" t="n">
        <f aca="false">ROUND(HYPOTHESES!H$20,0)</f>
        <v>6059296</v>
      </c>
      <c r="H11" s="20" t="n">
        <v>0</v>
      </c>
      <c r="I11" s="15" t="n">
        <f aca="false">ROUND(E11+HYPOTHESES!H$20,0)</f>
        <v>51570376</v>
      </c>
      <c r="J11" s="20" t="n">
        <f aca="false">(D11-E11)+(F11-G11)-(H11-I11)</f>
        <v>0</v>
      </c>
    </row>
    <row r="12" customFormat="false" ht="15" hidden="false" customHeight="false" outlineLevel="0" collapsed="false">
      <c r="A12" s="28" t="n">
        <v>234100</v>
      </c>
      <c r="B12" s="29" t="s">
        <v>218</v>
      </c>
      <c r="C12" s="30" t="s">
        <v>219</v>
      </c>
      <c r="D12" s="37" t="n">
        <f aca="false">'BALANCE 2028'!H12</f>
        <v>103601492</v>
      </c>
      <c r="E12" s="37" t="n">
        <f aca="false">'BALANCE 2028'!I12</f>
        <v>0</v>
      </c>
      <c r="F12" s="37" t="n">
        <f aca="false">ROUND('INVEST ET FINANCEMENT'!H$9,0)</f>
        <v>0</v>
      </c>
      <c r="G12" s="37" t="n">
        <f aca="false">ROUND('INVEST ET FINANCEMENT'!H$9,0)+(D12-E12)-(H12-I12)</f>
        <v>0</v>
      </c>
      <c r="H12" s="37" t="n">
        <f aca="false">ROUND(D12+'INVEST ET FINANCEMENT'!H$9,0)</f>
        <v>103601492</v>
      </c>
      <c r="I12" s="32" t="n">
        <v>0</v>
      </c>
      <c r="J12" s="32" t="n">
        <f aca="false">(D12-E12)+(F12-G12)-(H12-I12)</f>
        <v>0</v>
      </c>
    </row>
    <row r="13" customFormat="false" ht="15" hidden="false" customHeight="false" outlineLevel="0" collapsed="false">
      <c r="A13" s="33" t="n">
        <v>241100</v>
      </c>
      <c r="B13" s="12" t="s">
        <v>220</v>
      </c>
      <c r="C13" s="13" t="s">
        <v>221</v>
      </c>
      <c r="D13" s="15" t="n">
        <f aca="false">'BALANCE 2028'!H13</f>
        <v>403845268</v>
      </c>
      <c r="E13" s="15" t="n">
        <f aca="false">'BALANCE 2028'!I13</f>
        <v>0</v>
      </c>
      <c r="F13" s="15" t="n">
        <f aca="false">ROUND('INVEST ET FINANCEMENT'!H$10,0)</f>
        <v>30000000</v>
      </c>
      <c r="G13" s="15" t="n">
        <f aca="false">ROUND('INVEST ET FINANCEMENT'!H$10,0)+(D13-E13)-(H13-I13)</f>
        <v>0</v>
      </c>
      <c r="H13" s="15" t="n">
        <f aca="false">ROUND(D13+'INVEST ET FINANCEMENT'!H$10,0)</f>
        <v>433845268</v>
      </c>
      <c r="I13" s="20" t="n">
        <v>0</v>
      </c>
      <c r="J13" s="20" t="n">
        <f aca="false">(D13-E13)+(F13-G13)-(H13-I13)</f>
        <v>0</v>
      </c>
    </row>
    <row r="14" customFormat="false" ht="15" hidden="false" customHeight="false" outlineLevel="0" collapsed="false">
      <c r="A14" s="33" t="n">
        <v>244100</v>
      </c>
      <c r="B14" s="12" t="s">
        <v>222</v>
      </c>
      <c r="C14" s="13" t="s">
        <v>221</v>
      </c>
      <c r="D14" s="15" t="n">
        <f aca="false">'BALANCE 2028'!H14</f>
        <v>9306956</v>
      </c>
      <c r="E14" s="15" t="n">
        <f aca="false">'BALANCE 2028'!I14</f>
        <v>0</v>
      </c>
      <c r="F14" s="20" t="n">
        <f aca="false">MAX(0,(H14-I14)-(D14-E14))</f>
        <v>0</v>
      </c>
      <c r="G14" s="20" t="n">
        <f aca="false">MAX(0,(D14-E14)-(H14-I14))</f>
        <v>0</v>
      </c>
      <c r="H14" s="20" t="n">
        <f aca="false">ROUND(D14,0)</f>
        <v>9306956</v>
      </c>
      <c r="I14" s="20" t="n">
        <v>0</v>
      </c>
      <c r="J14" s="20" t="n">
        <f aca="false">(D14-E14)+(F14-G14)-(H14-I14)</f>
        <v>0</v>
      </c>
    </row>
    <row r="15" customFormat="false" ht="15" hidden="false" customHeight="false" outlineLevel="0" collapsed="false">
      <c r="A15" s="33" t="n">
        <v>244200</v>
      </c>
      <c r="B15" s="12" t="s">
        <v>223</v>
      </c>
      <c r="C15" s="13" t="s">
        <v>221</v>
      </c>
      <c r="D15" s="15" t="n">
        <f aca="false">'BALANCE 2028'!H15</f>
        <v>28910459</v>
      </c>
      <c r="E15" s="15" t="n">
        <f aca="false">'BALANCE 2028'!I15</f>
        <v>0</v>
      </c>
      <c r="F15" s="15" t="n">
        <f aca="false">ROUND('INVEST ET FINANCEMENT'!H$11,0)</f>
        <v>5000000</v>
      </c>
      <c r="G15" s="15" t="n">
        <f aca="false">ROUND('INVEST ET FINANCEMENT'!H$11,0)+(D15-E15)-(H15-I15)</f>
        <v>0</v>
      </c>
      <c r="H15" s="15" t="n">
        <f aca="false">ROUND(D15+'INVEST ET FINANCEMENT'!H$11,0)</f>
        <v>33910459</v>
      </c>
      <c r="I15" s="20" t="n">
        <v>0</v>
      </c>
      <c r="J15" s="20" t="n">
        <f aca="false">(D15-E15)+(F15-G15)-(H15-I15)</f>
        <v>0</v>
      </c>
    </row>
    <row r="16" customFormat="false" ht="15" hidden="false" customHeight="false" outlineLevel="0" collapsed="false">
      <c r="A16" s="33" t="n">
        <v>245100</v>
      </c>
      <c r="B16" s="12" t="s">
        <v>224</v>
      </c>
      <c r="C16" s="13" t="s">
        <v>225</v>
      </c>
      <c r="D16" s="15" t="n">
        <f aca="false">'BALANCE 2028'!H16</f>
        <v>463638205</v>
      </c>
      <c r="E16" s="15" t="n">
        <f aca="false">'BALANCE 2028'!I16</f>
        <v>0</v>
      </c>
      <c r="F16" s="15" t="n">
        <f aca="false">ROUND('INVEST ET FINANCEMENT'!H$12,0)</f>
        <v>0</v>
      </c>
      <c r="G16" s="15" t="n">
        <f aca="false">ROUND('INVEST ET FINANCEMENT'!H$12,0)+(D16-E16)-(H16-I16)</f>
        <v>0</v>
      </c>
      <c r="H16" s="15" t="n">
        <f aca="false">ROUND(D16+'INVEST ET FINANCEMENT'!H$12,0)</f>
        <v>463638205</v>
      </c>
      <c r="I16" s="20" t="n">
        <v>0</v>
      </c>
      <c r="J16" s="20" t="n">
        <f aca="false">(D16-E16)+(F16-G16)-(H16-I16)</f>
        <v>0</v>
      </c>
    </row>
    <row r="17" customFormat="false" ht="15" hidden="false" customHeight="false" outlineLevel="0" collapsed="false">
      <c r="A17" s="33" t="n">
        <v>245600</v>
      </c>
      <c r="B17" s="12" t="s">
        <v>226</v>
      </c>
      <c r="C17" s="13" t="s">
        <v>225</v>
      </c>
      <c r="D17" s="15" t="n">
        <f aca="false">'BALANCE 2028'!H17</f>
        <v>28619694</v>
      </c>
      <c r="E17" s="15" t="n">
        <f aca="false">'BALANCE 2028'!I17</f>
        <v>0</v>
      </c>
      <c r="F17" s="20" t="n">
        <f aca="false">MAX(0,(H17-I17)-(D17-E17))</f>
        <v>0</v>
      </c>
      <c r="G17" s="20" t="n">
        <f aca="false">MAX(0,(D17-E17)-(H17-I17))</f>
        <v>0</v>
      </c>
      <c r="H17" s="20" t="n">
        <f aca="false">ROUND(D17,0)</f>
        <v>28619694</v>
      </c>
      <c r="I17" s="20" t="n">
        <v>0</v>
      </c>
      <c r="J17" s="20" t="n">
        <f aca="false">(D17-E17)+(F17-G17)-(H17-I17)</f>
        <v>0</v>
      </c>
    </row>
    <row r="18" customFormat="false" ht="15" hidden="false" customHeight="false" outlineLevel="0" collapsed="false">
      <c r="A18" s="33" t="n">
        <v>271800</v>
      </c>
      <c r="B18" s="12" t="s">
        <v>227</v>
      </c>
      <c r="C18" s="13" t="s">
        <v>228</v>
      </c>
      <c r="D18" s="15" t="n">
        <f aca="false">'BALANCE 2028'!H18</f>
        <v>25000000</v>
      </c>
      <c r="E18" s="15" t="n">
        <f aca="false">'BALANCE 2028'!I18</f>
        <v>0</v>
      </c>
      <c r="F18" s="20" t="n">
        <f aca="false">MAX(0,(H18-I18)-(D18-E18))</f>
        <v>0</v>
      </c>
      <c r="G18" s="20" t="n">
        <f aca="false">MAX(0,(D18-E18)-(H18-I18))</f>
        <v>0</v>
      </c>
      <c r="H18" s="20" t="n">
        <f aca="false">ROUND(D18,0)</f>
        <v>25000000</v>
      </c>
      <c r="I18" s="20" t="n">
        <v>0</v>
      </c>
      <c r="J18" s="20" t="n">
        <f aca="false">(D18-E18)+(F18-G18)-(H18-I18)</f>
        <v>0</v>
      </c>
    </row>
    <row r="19" customFormat="false" ht="15" hidden="false" customHeight="false" outlineLevel="0" collapsed="false">
      <c r="A19" s="33" t="n">
        <v>275100</v>
      </c>
      <c r="B19" s="12" t="s">
        <v>229</v>
      </c>
      <c r="C19" s="13" t="s">
        <v>228</v>
      </c>
      <c r="D19" s="15" t="n">
        <f aca="false">'BALANCE 2028'!H19</f>
        <v>231420138</v>
      </c>
      <c r="E19" s="15" t="n">
        <f aca="false">'BALANCE 2028'!I19</f>
        <v>0</v>
      </c>
      <c r="F19" s="15" t="n">
        <f aca="false">ROUND('INVEST ET FINANCEMENT'!H$13,0)</f>
        <v>0</v>
      </c>
      <c r="G19" s="15" t="n">
        <f aca="false">ROUND('INVEST ET FINANCEMENT'!H$13,0)+(D19-E19)-(H19-I19)</f>
        <v>0</v>
      </c>
      <c r="H19" s="15" t="n">
        <f aca="false">ROUND(D19+'INVEST ET FINANCEMENT'!H$13,0)</f>
        <v>231420138</v>
      </c>
      <c r="I19" s="20" t="n">
        <v>0</v>
      </c>
      <c r="J19" s="20" t="n">
        <f aca="false">(D19-E19)+(F19-G19)-(H19-I19)</f>
        <v>0</v>
      </c>
    </row>
    <row r="20" customFormat="false" ht="15" hidden="false" customHeight="false" outlineLevel="0" collapsed="false">
      <c r="A20" s="33" t="n">
        <v>283400</v>
      </c>
      <c r="B20" s="12" t="s">
        <v>230</v>
      </c>
      <c r="C20" s="13" t="s">
        <v>219</v>
      </c>
      <c r="D20" s="15" t="n">
        <f aca="false">'BALANCE 2028'!H20</f>
        <v>0</v>
      </c>
      <c r="E20" s="15" t="n">
        <f aca="false">'BALANCE 2028'!I20</f>
        <v>103601492</v>
      </c>
      <c r="F20" s="15" t="n">
        <f aca="false">ROUND('INVEST ET FINANCEMENT'!H$31,0)+(H20-I20)-(D20-E20)</f>
        <v>0</v>
      </c>
      <c r="G20" s="15" t="n">
        <f aca="false">ROUND('INVEST ET FINANCEMENT'!H$31,0)</f>
        <v>0</v>
      </c>
      <c r="H20" s="20" t="n">
        <v>0</v>
      </c>
      <c r="I20" s="15" t="n">
        <f aca="false">ROUND(E20+'INVEST ET FINANCEMENT'!H$31,0)</f>
        <v>103601492</v>
      </c>
      <c r="J20" s="20" t="n">
        <f aca="false">(D20-E20)+(F20-G20)-(H20-I20)</f>
        <v>0</v>
      </c>
    </row>
    <row r="21" customFormat="false" ht="15" hidden="false" customHeight="false" outlineLevel="0" collapsed="false">
      <c r="A21" s="33" t="n">
        <v>284100</v>
      </c>
      <c r="B21" s="12" t="s">
        <v>231</v>
      </c>
      <c r="C21" s="13" t="s">
        <v>221</v>
      </c>
      <c r="D21" s="15" t="n">
        <f aca="false">'BALANCE 2028'!H21</f>
        <v>0</v>
      </c>
      <c r="E21" s="15" t="n">
        <f aca="false">'BALANCE 2028'!I21</f>
        <v>254753613</v>
      </c>
      <c r="F21" s="15" t="n">
        <f aca="false">ROUND('INVEST ET FINANCEMENT'!H$34,0)+(H21-I21)-(D21-E21)</f>
        <v>0</v>
      </c>
      <c r="G21" s="15" t="n">
        <f aca="false">ROUND('INVEST ET FINANCEMENT'!H$34,0)</f>
        <v>68854932</v>
      </c>
      <c r="H21" s="20" t="n">
        <v>0</v>
      </c>
      <c r="I21" s="15" t="n">
        <f aca="false">ROUND(E21+'INVEST ET FINANCEMENT'!H$34,0)</f>
        <v>323608545</v>
      </c>
      <c r="J21" s="20" t="n">
        <f aca="false">(D21-E21)+(F21-G21)-(H21-I21)</f>
        <v>0</v>
      </c>
    </row>
    <row r="22" customFormat="false" ht="15" hidden="false" customHeight="false" outlineLevel="0" collapsed="false">
      <c r="A22" s="33" t="n">
        <v>284400</v>
      </c>
      <c r="B22" s="12" t="s">
        <v>232</v>
      </c>
      <c r="C22" s="13" t="s">
        <v>221</v>
      </c>
      <c r="D22" s="15" t="n">
        <f aca="false">'BALANCE 2028'!H22</f>
        <v>0</v>
      </c>
      <c r="E22" s="15" t="n">
        <f aca="false">'BALANCE 2028'!I22</f>
        <v>35717415</v>
      </c>
      <c r="F22" s="15" t="n">
        <f aca="false">ROUND('INVEST ET FINANCEMENT'!H$37,0)+(H22-I22)-(D22-E22)</f>
        <v>0</v>
      </c>
      <c r="G22" s="15" t="n">
        <f aca="false">ROUND('INVEST ET FINANCEMENT'!H$37,0)</f>
        <v>5000000</v>
      </c>
      <c r="H22" s="20" t="n">
        <v>0</v>
      </c>
      <c r="I22" s="15" t="n">
        <f aca="false">ROUND(E22+'INVEST ET FINANCEMENT'!H$37,0)</f>
        <v>40717415</v>
      </c>
      <c r="J22" s="20" t="n">
        <f aca="false">(D22-E22)+(F22-G22)-(H22-I22)</f>
        <v>0</v>
      </c>
    </row>
    <row r="23" customFormat="false" ht="15" hidden="false" customHeight="false" outlineLevel="0" collapsed="false">
      <c r="A23" s="33" t="n">
        <v>284500</v>
      </c>
      <c r="B23" s="12" t="s">
        <v>233</v>
      </c>
      <c r="C23" s="13" t="s">
        <v>225</v>
      </c>
      <c r="D23" s="15" t="n">
        <f aca="false">'BALANCE 2028'!H23</f>
        <v>0</v>
      </c>
      <c r="E23" s="15" t="n">
        <f aca="false">'BALANCE 2028'!I23</f>
        <v>437878181</v>
      </c>
      <c r="F23" s="15" t="n">
        <f aca="false">ROUND('INVEST ET FINANCEMENT'!H$40,0)+(H23-I23)-(D23-E23)</f>
        <v>0</v>
      </c>
      <c r="G23" s="15" t="n">
        <f aca="false">ROUND('INVEST ET FINANCEMENT'!H$40,0)</f>
        <v>24093971</v>
      </c>
      <c r="H23" s="20" t="n">
        <v>0</v>
      </c>
      <c r="I23" s="15" t="n">
        <f aca="false">ROUND(E23+'INVEST ET FINANCEMENT'!H$40,0)</f>
        <v>461972152</v>
      </c>
      <c r="J23" s="20" t="n">
        <f aca="false">(D23-E23)+(F23-G23)-(H23-I23)</f>
        <v>0</v>
      </c>
    </row>
    <row r="24" customFormat="false" ht="15" hidden="false" customHeight="false" outlineLevel="0" collapsed="false">
      <c r="A24" s="28" t="n">
        <v>401100</v>
      </c>
      <c r="B24" s="29" t="s">
        <v>234</v>
      </c>
      <c r="C24" s="30" t="s">
        <v>235</v>
      </c>
      <c r="D24" s="37" t="n">
        <f aca="false">'BALANCE 2028'!H24</f>
        <v>0</v>
      </c>
      <c r="E24" s="37" t="n">
        <f aca="false">'BALANCE 2028'!I24</f>
        <v>89958487</v>
      </c>
      <c r="F24" s="37" t="n">
        <f aca="false">ROUND(HYPOTHESES!H$49*(1+HYPOTHESES!H$10),0)+(H24-I24)-(D24-E24)</f>
        <v>592068886</v>
      </c>
      <c r="G24" s="37" t="n">
        <f aca="false">ROUND(HYPOTHESES!H$49*(1+HYPOTHESES!H$10),0)</f>
        <v>596566811</v>
      </c>
      <c r="H24" s="32" t="n">
        <v>0</v>
      </c>
      <c r="I24" s="37" t="n">
        <f aca="false">ROUND(HYPOTHESES!H$49*(1+HYPOTHESES!H$10)*HYPOTHESES!H$23/360,0)</f>
        <v>94456412</v>
      </c>
      <c r="J24" s="32" t="n">
        <f aca="false">(D24-E24)+(F24-G24)-(H24-I24)</f>
        <v>0</v>
      </c>
    </row>
    <row r="25" customFormat="false" ht="15" hidden="false" customHeight="false" outlineLevel="0" collapsed="false">
      <c r="A25" s="33" t="n">
        <v>409100</v>
      </c>
      <c r="B25" s="12" t="s">
        <v>236</v>
      </c>
      <c r="C25" s="13" t="s">
        <v>237</v>
      </c>
      <c r="D25" s="15" t="n">
        <f aca="false">'BALANCE 2028'!H25</f>
        <v>0</v>
      </c>
      <c r="E25" s="15" t="n">
        <f aca="false">'BALANCE 2028'!I25</f>
        <v>0</v>
      </c>
      <c r="F25" s="20" t="n">
        <f aca="false">MAX(0,(H25-I25)-(D25-E25))</f>
        <v>0</v>
      </c>
      <c r="G25" s="20" t="n">
        <f aca="false">MAX(0,(D25-E25)-(H25-I25))</f>
        <v>0</v>
      </c>
      <c r="H25" s="20" t="n">
        <f aca="false">ROUND(D25,0)</f>
        <v>0</v>
      </c>
      <c r="I25" s="20" t="n">
        <f aca="false">ROUND(E25,0)</f>
        <v>0</v>
      </c>
      <c r="J25" s="20" t="n">
        <f aca="false">(D25-E25)+(F25-G25)-(H25-I25)</f>
        <v>0</v>
      </c>
    </row>
    <row r="26" customFormat="false" ht="15" hidden="false" customHeight="false" outlineLevel="0" collapsed="false">
      <c r="A26" s="33" t="n">
        <v>411100</v>
      </c>
      <c r="B26" s="12" t="s">
        <v>238</v>
      </c>
      <c r="C26" s="13" t="s">
        <v>239</v>
      </c>
      <c r="D26" s="15" t="n">
        <f aca="false">'BALANCE 2028'!H26</f>
        <v>560701818</v>
      </c>
      <c r="E26" s="15" t="n">
        <f aca="false">'BALANCE 2028'!I26</f>
        <v>0</v>
      </c>
      <c r="F26" s="15" t="n">
        <f aca="false">ROUND(HYPOTHESES!H$42*(1+HYPOTHESES!H$10),0)</f>
        <v>1075864402</v>
      </c>
      <c r="G26" s="15" t="n">
        <f aca="false">ROUND(HYPOTHESES!H$42*(1+HYPOTHESES!H$10),0)+(D26-E26)-(H26-I26)</f>
        <v>1047829311</v>
      </c>
      <c r="H26" s="15" t="n">
        <f aca="false">ROUND(HYPOTHESES!H$42*(1+HYPOTHESES!H$10)*HYPOTHESES!H$22/360,0)</f>
        <v>588736909</v>
      </c>
      <c r="I26" s="20" t="n">
        <v>0</v>
      </c>
      <c r="J26" s="20" t="n">
        <f aca="false">(D26-E26)+(F26-G26)-(H26-I26)</f>
        <v>0</v>
      </c>
    </row>
    <row r="27" customFormat="false" ht="15" hidden="false" customHeight="false" outlineLevel="0" collapsed="false">
      <c r="A27" s="33" t="n">
        <v>422000</v>
      </c>
      <c r="B27" s="12" t="s">
        <v>240</v>
      </c>
      <c r="C27" s="13" t="s">
        <v>241</v>
      </c>
      <c r="D27" s="15" t="n">
        <f aca="false">'BALANCE 2028'!H27</f>
        <v>0</v>
      </c>
      <c r="E27" s="15" t="n">
        <f aca="false">'BALANCE 2028'!I27</f>
        <v>13804066</v>
      </c>
      <c r="F27" s="15" t="n">
        <f aca="false">ROUND(IF(HYPOTHESES!$C$48=0,0,'BALANCE 2024'!$G$27*HYPOTHESES!H$48/HYPOTHESES!$C$48),0)+(H27-I27)-(D27-E27)</f>
        <v>104981478</v>
      </c>
      <c r="G27" s="15" t="n">
        <f aca="false">ROUND(IF(HYPOTHESES!$C$48=0,0,'BALANCE 2024'!$G$27*HYPOTHESES!H$48/HYPOTHESES!$C$48),0)</f>
        <v>105671681</v>
      </c>
      <c r="H27" s="20" t="n">
        <v>0</v>
      </c>
      <c r="I27" s="15" t="n">
        <f aca="false">ROUND(IF(HYPOTHESES!$C$48=0,0,'BALANCE 2024'!$I$27*HYPOTHESES!H$48/HYPOTHESES!$C$48),0)</f>
        <v>14494269</v>
      </c>
      <c r="J27" s="20" t="n">
        <f aca="false">(D27-E27)+(F27-G27)-(H27-I27)</f>
        <v>0</v>
      </c>
    </row>
    <row r="28" customFormat="false" ht="15" hidden="false" customHeight="false" outlineLevel="0" collapsed="false">
      <c r="A28" s="33" t="n">
        <v>431301</v>
      </c>
      <c r="B28" s="12" t="s">
        <v>242</v>
      </c>
      <c r="C28" s="13" t="s">
        <v>241</v>
      </c>
      <c r="D28" s="15" t="n">
        <f aca="false">'BALANCE 2028'!H28</f>
        <v>0</v>
      </c>
      <c r="E28" s="15" t="n">
        <f aca="false">'BALANCE 2028'!I28</f>
        <v>6017391</v>
      </c>
      <c r="F28" s="15" t="n">
        <f aca="false">ROUND(IF(HYPOTHESES!$C$48=0,0,'BALANCE 2024'!$G$28*HYPOTHESES!H$48/HYPOTHESES!$C$48),0)+(H28-I28)-(D28-E28)</f>
        <v>8807529</v>
      </c>
      <c r="G28" s="15" t="n">
        <f aca="false">ROUND(IF(HYPOTHESES!$C$48=0,0,'BALANCE 2024'!$G$28*HYPOTHESES!H$48/HYPOTHESES!$C$48),0)</f>
        <v>9108398</v>
      </c>
      <c r="H28" s="20" t="n">
        <v>0</v>
      </c>
      <c r="I28" s="15" t="n">
        <f aca="false">ROUND(IF(HYPOTHESES!$C$48=0,0,'BALANCE 2024'!$I$28*HYPOTHESES!H$48/HYPOTHESES!$C$48),0)</f>
        <v>6318260</v>
      </c>
      <c r="J28" s="20" t="n">
        <f aca="false">(D28-E28)+(F28-G28)-(H28-I28)</f>
        <v>0</v>
      </c>
    </row>
    <row r="29" customFormat="false" ht="15" hidden="false" customHeight="false" outlineLevel="0" collapsed="false">
      <c r="A29" s="33" t="n">
        <v>431302</v>
      </c>
      <c r="B29" s="12" t="s">
        <v>243</v>
      </c>
      <c r="C29" s="13" t="s">
        <v>241</v>
      </c>
      <c r="D29" s="15" t="n">
        <f aca="false">'BALANCE 2028'!H29</f>
        <v>0</v>
      </c>
      <c r="E29" s="15" t="n">
        <f aca="false">'BALANCE 2028'!I29</f>
        <v>1488944</v>
      </c>
      <c r="F29" s="15" t="n">
        <f aca="false">ROUND(IF(HYPOTHESES!$C$48=0,0,'BALANCE 2024'!$G$29*HYPOTHESES!H$48/HYPOTHESES!$C$48),0)+(H29-I29)-(D29-E29)</f>
        <v>14825284</v>
      </c>
      <c r="G29" s="15" t="n">
        <f aca="false">ROUND(IF(HYPOTHESES!$C$48=0,0,'BALANCE 2024'!$G$29*HYPOTHESES!H$48/HYPOTHESES!$C$48),0)</f>
        <v>14899731</v>
      </c>
      <c r="H29" s="20" t="n">
        <v>0</v>
      </c>
      <c r="I29" s="15" t="n">
        <f aca="false">ROUND(IF(HYPOTHESES!$C$48=0,0,'BALANCE 2024'!$I$29*HYPOTHESES!H$48/HYPOTHESES!$C$48),0)</f>
        <v>1563391</v>
      </c>
      <c r="J29" s="20" t="n">
        <f aca="false">(D29-E29)+(F29-G29)-(H29-I29)</f>
        <v>0</v>
      </c>
    </row>
    <row r="30" customFormat="false" ht="15" hidden="false" customHeight="false" outlineLevel="0" collapsed="false">
      <c r="A30" s="33" t="n">
        <v>431802</v>
      </c>
      <c r="B30" s="12" t="s">
        <v>244</v>
      </c>
      <c r="C30" s="13" t="s">
        <v>241</v>
      </c>
      <c r="D30" s="15" t="n">
        <f aca="false">'BALANCE 2028'!H30</f>
        <v>0</v>
      </c>
      <c r="E30" s="15" t="n">
        <f aca="false">'BALANCE 2028'!I30</f>
        <v>200529</v>
      </c>
      <c r="F30" s="15" t="n">
        <f aca="false">ROUND(IF(HYPOTHESES!$C$48=0,0,'BALANCE 2024'!$G$30*HYPOTHESES!H$48/HYPOTHESES!$C$48),0)+(H30-I30)-(D30-E30)</f>
        <v>493965</v>
      </c>
      <c r="G30" s="15" t="n">
        <f aca="false">ROUND(IF(HYPOTHESES!$C$48=0,0,'BALANCE 2024'!$G$30*HYPOTHESES!H$48/HYPOTHESES!$C$48),0)</f>
        <v>503991</v>
      </c>
      <c r="H30" s="20" t="n">
        <v>0</v>
      </c>
      <c r="I30" s="15" t="n">
        <f aca="false">ROUND(IF(HYPOTHESES!$C$48=0,0,'BALANCE 2024'!$I$30*HYPOTHESES!H$48/HYPOTHESES!$C$48),0)</f>
        <v>210555</v>
      </c>
      <c r="J30" s="20" t="n">
        <f aca="false">(D30-E30)+(F30-G30)-(H30-I30)</f>
        <v>0</v>
      </c>
    </row>
    <row r="31" customFormat="false" ht="15" hidden="false" customHeight="false" outlineLevel="0" collapsed="false">
      <c r="A31" s="33" t="n">
        <v>433300</v>
      </c>
      <c r="B31" s="12" t="s">
        <v>245</v>
      </c>
      <c r="C31" s="13" t="s">
        <v>241</v>
      </c>
      <c r="D31" s="15" t="n">
        <f aca="false">'BALANCE 2028'!H31</f>
        <v>0</v>
      </c>
      <c r="E31" s="15" t="n">
        <f aca="false">'BALANCE 2028'!I31</f>
        <v>0</v>
      </c>
      <c r="F31" s="15" t="n">
        <f aca="false">ROUND(IF(HYPOTHESES!$C$48=0,0,'BALANCE 2024'!$G$31*HYPOTHESES!H$48/HYPOTHESES!$C$48),0)+(H31-I31)-(D31-E31)</f>
        <v>0</v>
      </c>
      <c r="G31" s="15" t="n">
        <f aca="false">ROUND(IF(HYPOTHESES!$C$48=0,0,'BALANCE 2024'!$G$31*HYPOTHESES!H$48/HYPOTHESES!$C$48),0)</f>
        <v>0</v>
      </c>
      <c r="H31" s="20" t="n">
        <v>0</v>
      </c>
      <c r="I31" s="15" t="n">
        <f aca="false">ROUND(IF(HYPOTHESES!$C$48=0,0,'BALANCE 2024'!$I$31*HYPOTHESES!H$48/HYPOTHESES!$C$48),0)</f>
        <v>0</v>
      </c>
      <c r="J31" s="20" t="n">
        <f aca="false">(D31-E31)+(F31-G31)-(H31-I31)</f>
        <v>0</v>
      </c>
    </row>
    <row r="32" customFormat="false" ht="15" hidden="false" customHeight="false" outlineLevel="0" collapsed="false">
      <c r="A32" s="33" t="n">
        <v>441000</v>
      </c>
      <c r="B32" s="12" t="s">
        <v>246</v>
      </c>
      <c r="C32" s="13" t="s">
        <v>241</v>
      </c>
      <c r="D32" s="15" t="n">
        <f aca="false">'BALANCE 2028'!H32</f>
        <v>0</v>
      </c>
      <c r="E32" s="15" t="n">
        <f aca="false">'BALANCE 2028'!I32</f>
        <v>33628946</v>
      </c>
      <c r="F32" s="15" t="n">
        <f aca="false">ROUND(HYPOTHESES!H$56,0)+(H32-I32)-(D32-E32)</f>
        <v>33628946</v>
      </c>
      <c r="G32" s="15" t="n">
        <f aca="false">ROUND(HYPOTHESES!H$56,0)</f>
        <v>36026715</v>
      </c>
      <c r="H32" s="20" t="n">
        <v>0</v>
      </c>
      <c r="I32" s="15" t="n">
        <f aca="false">ROUND(HYPOTHESES!H$56,0)</f>
        <v>36026715</v>
      </c>
      <c r="J32" s="20" t="n">
        <f aca="false">(D32-E32)+(F32-G32)-(H32-I32)</f>
        <v>0</v>
      </c>
    </row>
    <row r="33" customFormat="false" ht="15" hidden="false" customHeight="false" outlineLevel="0" collapsed="false">
      <c r="A33" s="33" t="n">
        <v>442800</v>
      </c>
      <c r="B33" s="12" t="s">
        <v>247</v>
      </c>
      <c r="C33" s="13" t="s">
        <v>241</v>
      </c>
      <c r="D33" s="15" t="n">
        <f aca="false">'BALANCE 2028'!H33</f>
        <v>0</v>
      </c>
      <c r="E33" s="15" t="n">
        <f aca="false">'BALANCE 2028'!I33</f>
        <v>898365</v>
      </c>
      <c r="F33" s="15" t="n">
        <f aca="false">ROUND(IF(HYPOTHESES!$C$46=0,0,'BALANCE 2024'!$G$33*HYPOTHESES!H$46/HYPOTHESES!$C$46),0)+(H33-I33)-(D33-E33)</f>
        <v>898365</v>
      </c>
      <c r="G33" s="15" t="n">
        <f aca="false">ROUND(IF(HYPOTHESES!$C$46=0,0,'BALANCE 2024'!$G$33*HYPOTHESES!H$46/HYPOTHESES!$C$46),0)</f>
        <v>943283</v>
      </c>
      <c r="H33" s="20" t="n">
        <v>0</v>
      </c>
      <c r="I33" s="15" t="n">
        <f aca="false">ROUND(IF(HYPOTHESES!$C$46=0,0,'BALANCE 2024'!$I$33*HYPOTHESES!H$46/HYPOTHESES!$C$46),0)</f>
        <v>943283</v>
      </c>
      <c r="J33" s="20" t="n">
        <f aca="false">(D33-E33)+(F33-G33)-(H33-I33)</f>
        <v>0</v>
      </c>
    </row>
    <row r="34" customFormat="false" ht="15" hidden="false" customHeight="false" outlineLevel="0" collapsed="false">
      <c r="A34" s="33" t="n">
        <v>442801</v>
      </c>
      <c r="B34" s="12" t="s">
        <v>248</v>
      </c>
      <c r="C34" s="13" t="s">
        <v>241</v>
      </c>
      <c r="D34" s="15" t="n">
        <f aca="false">'BALANCE 2028'!H34</f>
        <v>0</v>
      </c>
      <c r="E34" s="15" t="n">
        <f aca="false">'BALANCE 2028'!I34</f>
        <v>128834</v>
      </c>
      <c r="F34" s="15" t="n">
        <f aca="false">ROUND(IF(HYPOTHESES!$C$46=0,0,'BALANCE 2024'!$G$34*HYPOTHESES!H$46/HYPOTHESES!$C$46),0)+(H34-I34)-(D34-E34)</f>
        <v>128834</v>
      </c>
      <c r="G34" s="15" t="n">
        <f aca="false">ROUND(IF(HYPOTHESES!$C$46=0,0,'BALANCE 2024'!$G$34*HYPOTHESES!H$46/HYPOTHESES!$C$46),0)</f>
        <v>135275</v>
      </c>
      <c r="H34" s="20" t="n">
        <v>0</v>
      </c>
      <c r="I34" s="15" t="n">
        <f aca="false">ROUND(IF(HYPOTHESES!$C$46=0,0,'BALANCE 2024'!$I$34*HYPOTHESES!H$46/HYPOTHESES!$C$46),0)</f>
        <v>135275</v>
      </c>
      <c r="J34" s="20" t="n">
        <f aca="false">(D34-E34)+(F34-G34)-(H34-I34)</f>
        <v>0</v>
      </c>
    </row>
    <row r="35" customFormat="false" ht="15" hidden="false" customHeight="false" outlineLevel="0" collapsed="false">
      <c r="A35" s="33" t="n">
        <v>442802</v>
      </c>
      <c r="B35" s="12" t="s">
        <v>249</v>
      </c>
      <c r="C35" s="13" t="s">
        <v>241</v>
      </c>
      <c r="D35" s="15" t="n">
        <f aca="false">'BALANCE 2028'!H35</f>
        <v>0</v>
      </c>
      <c r="E35" s="15" t="n">
        <f aca="false">'BALANCE 2028'!I35</f>
        <v>193259</v>
      </c>
      <c r="F35" s="15" t="n">
        <f aca="false">ROUND(IF(HYPOTHESES!$C$46=0,0,'BALANCE 2024'!$G$35*HYPOTHESES!H$46/HYPOTHESES!$C$46),0)+(H35-I35)-(D35-E35)</f>
        <v>193259</v>
      </c>
      <c r="G35" s="15" t="n">
        <f aca="false">ROUND(IF(HYPOTHESES!$C$46=0,0,'BALANCE 2024'!$G$35*HYPOTHESES!H$46/HYPOTHESES!$C$46),0)</f>
        <v>202922</v>
      </c>
      <c r="H35" s="20" t="n">
        <v>0</v>
      </c>
      <c r="I35" s="15" t="n">
        <f aca="false">ROUND(IF(HYPOTHESES!$C$46=0,0,'BALANCE 2024'!$I$35*HYPOTHESES!H$46/HYPOTHESES!$C$46),0)</f>
        <v>202922</v>
      </c>
      <c r="J35" s="20" t="n">
        <f aca="false">(D35-E35)+(F35-G35)-(H35-I35)</f>
        <v>0</v>
      </c>
    </row>
    <row r="36" customFormat="false" ht="15" hidden="false" customHeight="false" outlineLevel="0" collapsed="false">
      <c r="A36" s="33" t="n">
        <v>442803</v>
      </c>
      <c r="B36" s="12" t="s">
        <v>250</v>
      </c>
      <c r="C36" s="13" t="s">
        <v>241</v>
      </c>
      <c r="D36" s="15" t="n">
        <f aca="false">'BALANCE 2028'!H36</f>
        <v>0</v>
      </c>
      <c r="E36" s="15" t="n">
        <f aca="false">'BALANCE 2028'!I36</f>
        <v>193258</v>
      </c>
      <c r="F36" s="15" t="n">
        <f aca="false">ROUND(IF(HYPOTHESES!$C$46=0,0,'BALANCE 2024'!$G$36*HYPOTHESES!H$46/HYPOTHESES!$C$46),0)+(H36-I36)-(D36-E36)</f>
        <v>193258</v>
      </c>
      <c r="G36" s="15" t="n">
        <f aca="false">ROUND(IF(HYPOTHESES!$C$46=0,0,'BALANCE 2024'!$G$36*HYPOTHESES!H$46/HYPOTHESES!$C$46),0)</f>
        <v>202921</v>
      </c>
      <c r="H36" s="20" t="n">
        <v>0</v>
      </c>
      <c r="I36" s="15" t="n">
        <f aca="false">ROUND(IF(HYPOTHESES!$C$46=0,0,'BALANCE 2024'!$I$36*HYPOTHESES!H$46/HYPOTHESES!$C$46),0)</f>
        <v>202921</v>
      </c>
      <c r="J36" s="20" t="n">
        <f aca="false">(D36-E36)+(F36-G36)-(H36-I36)</f>
        <v>0</v>
      </c>
    </row>
    <row r="37" customFormat="false" ht="15" hidden="false" customHeight="false" outlineLevel="0" collapsed="false">
      <c r="A37" s="33" t="n">
        <v>442820</v>
      </c>
      <c r="B37" s="12" t="s">
        <v>251</v>
      </c>
      <c r="C37" s="13" t="s">
        <v>241</v>
      </c>
      <c r="D37" s="15" t="n">
        <f aca="false">'BALANCE 2028'!H37</f>
        <v>0</v>
      </c>
      <c r="E37" s="15" t="n">
        <f aca="false">'BALANCE 2028'!I37</f>
        <v>455101</v>
      </c>
      <c r="F37" s="15" t="n">
        <f aca="false">ROUND(IF(HYPOTHESES!$C$46=0,0,'BALANCE 2024'!$G$37*HYPOTHESES!H$46/HYPOTHESES!$C$46),0)+(H37-I37)-(D37-E37)</f>
        <v>1051710</v>
      </c>
      <c r="G37" s="15" t="n">
        <f aca="false">ROUND(IF(HYPOTHESES!$C$46=0,0,'BALANCE 2024'!$G$37*HYPOTHESES!H$46/HYPOTHESES!$C$46),0)</f>
        <v>1074465</v>
      </c>
      <c r="H37" s="20" t="n">
        <v>0</v>
      </c>
      <c r="I37" s="15" t="n">
        <f aca="false">ROUND(IF(HYPOTHESES!$C$46=0,0,'BALANCE 2024'!$I$37*HYPOTHESES!H$46/HYPOTHESES!$C$46),0)</f>
        <v>477856</v>
      </c>
      <c r="J37" s="20" t="n">
        <f aca="false">(D37-E37)+(F37-G37)-(H37-I37)</f>
        <v>0</v>
      </c>
    </row>
    <row r="38" customFormat="false" ht="15" hidden="false" customHeight="false" outlineLevel="0" collapsed="false">
      <c r="A38" s="33" t="n">
        <v>442840</v>
      </c>
      <c r="B38" s="12" t="s">
        <v>252</v>
      </c>
      <c r="C38" s="13" t="s">
        <v>241</v>
      </c>
      <c r="D38" s="15" t="n">
        <f aca="false">'BALANCE 2028'!H38</f>
        <v>0</v>
      </c>
      <c r="E38" s="15" t="n">
        <f aca="false">'BALANCE 2028'!I38</f>
        <v>6190002</v>
      </c>
      <c r="F38" s="15" t="n">
        <f aca="false">ROUND(IF(HYPOTHESES!$C$46=0,0,'BALANCE 2024'!$G$38*HYPOTHESES!H$46/HYPOTHESES!$C$46),0)+(H38-I38)-(D38-E38)</f>
        <v>11461270</v>
      </c>
      <c r="G38" s="15" t="n">
        <f aca="false">ROUND(IF(HYPOTHESES!$C$46=0,0,'BALANCE 2024'!$G$38*HYPOTHESES!H$46/HYPOTHESES!$C$46),0)</f>
        <v>11770770</v>
      </c>
      <c r="H38" s="20" t="n">
        <v>0</v>
      </c>
      <c r="I38" s="15" t="n">
        <f aca="false">ROUND(IF(HYPOTHESES!$C$46=0,0,'BALANCE 2024'!$I$38*HYPOTHESES!H$46/HYPOTHESES!$C$46),0)</f>
        <v>6499502</v>
      </c>
      <c r="J38" s="20" t="n">
        <f aca="false">(D38-E38)+(F38-G38)-(H38-I38)</f>
        <v>0</v>
      </c>
    </row>
    <row r="39" customFormat="false" ht="15" hidden="false" customHeight="false" outlineLevel="0" collapsed="false">
      <c r="A39" s="33" t="n">
        <v>443300</v>
      </c>
      <c r="B39" s="12" t="s">
        <v>253</v>
      </c>
      <c r="C39" s="13" t="s">
        <v>241</v>
      </c>
      <c r="D39" s="15" t="n">
        <f aca="false">'BALANCE 2028'!H39</f>
        <v>0</v>
      </c>
      <c r="E39" s="15" t="n">
        <f aca="false">'BALANCE 2028'!I39</f>
        <v>64647439</v>
      </c>
      <c r="F39" s="15" t="n">
        <f aca="false">ROUND(HYPOTHESES!H$42*HYPOTHESES!H$10,0)+(H39-I39)-(D39-E39)</f>
        <v>160882537</v>
      </c>
      <c r="G39" s="15" t="n">
        <f aca="false">ROUND(HYPOTHESES!H$42*HYPOTHESES!H$10,0)</f>
        <v>164114909</v>
      </c>
      <c r="H39" s="20" t="n">
        <v>0</v>
      </c>
      <c r="I39" s="15" t="n">
        <f aca="false">ROUND(IF('BALANCE 2024'!$H$26=0,0,'BALANCE 2024'!$I$39*H26/'BALANCE 2024'!$H$26),0)</f>
        <v>67879811</v>
      </c>
      <c r="J39" s="20" t="n">
        <f aca="false">(D39-E39)+(F39-G39)-(H39-I39)</f>
        <v>0</v>
      </c>
    </row>
    <row r="40" customFormat="false" ht="15" hidden="false" customHeight="false" outlineLevel="0" collapsed="false">
      <c r="A40" s="33" t="n">
        <v>446000</v>
      </c>
      <c r="B40" s="12" t="s">
        <v>254</v>
      </c>
      <c r="C40" s="13" t="s">
        <v>241</v>
      </c>
      <c r="D40" s="15" t="n">
        <f aca="false">'BALANCE 2028'!H40</f>
        <v>0</v>
      </c>
      <c r="E40" s="15" t="n">
        <f aca="false">'BALANCE 2028'!I40</f>
        <v>247600</v>
      </c>
      <c r="F40" s="15" t="n">
        <f aca="false">ROUND(IF(HYPOTHESES!$C$46=0,0,'BALANCE 2024'!$G$40*HYPOTHESES!H$46/HYPOTHESES!$C$46),0)+(H40-I40)-(D40-E40)</f>
        <v>262789</v>
      </c>
      <c r="G40" s="15" t="n">
        <f aca="false">ROUND(IF(HYPOTHESES!$C$46=0,0,'BALANCE 2024'!$G$40*HYPOTHESES!H$46/HYPOTHESES!$C$46),0)</f>
        <v>275169</v>
      </c>
      <c r="H40" s="20" t="n">
        <v>0</v>
      </c>
      <c r="I40" s="15" t="n">
        <f aca="false">ROUND(IF(HYPOTHESES!$C$46=0,0,'BALANCE 2024'!$I$40*HYPOTHESES!H$46/HYPOTHESES!$C$46),0)</f>
        <v>259980</v>
      </c>
      <c r="J40" s="20" t="n">
        <f aca="false">(D40-E40)+(F40-G40)-(H40-I40)</f>
        <v>0</v>
      </c>
    </row>
    <row r="41" customFormat="false" ht="15" hidden="false" customHeight="false" outlineLevel="0" collapsed="false">
      <c r="A41" s="33" t="n">
        <v>447201</v>
      </c>
      <c r="B41" s="12" t="s">
        <v>255</v>
      </c>
      <c r="C41" s="13" t="s">
        <v>241</v>
      </c>
      <c r="D41" s="15" t="n">
        <f aca="false">'BALANCE 2028'!H41</f>
        <v>0</v>
      </c>
      <c r="E41" s="15" t="n">
        <f aca="false">'BALANCE 2028'!I41</f>
        <v>2020466</v>
      </c>
      <c r="F41" s="15" t="n">
        <f aca="false">ROUND(IF(HYPOTHESES!$C$48=0,0,'BALANCE 2024'!$G$41*HYPOTHESES!H$48/HYPOTHESES!$C$48),0)+(H41-I41)-(D41-E41)</f>
        <v>7571699</v>
      </c>
      <c r="G41" s="15" t="n">
        <f aca="false">ROUND(IF(HYPOTHESES!$C$48=0,0,'BALANCE 2024'!$G$41*HYPOTHESES!H$48/HYPOTHESES!$C$48),0)</f>
        <v>7672722</v>
      </c>
      <c r="H41" s="20" t="n">
        <v>0</v>
      </c>
      <c r="I41" s="15" t="n">
        <f aca="false">ROUND(IF(HYPOTHESES!$C$48=0,0,'BALANCE 2024'!$I$41*HYPOTHESES!H$48/HYPOTHESES!$C$48),0)</f>
        <v>2121489</v>
      </c>
      <c r="J41" s="20" t="n">
        <f aca="false">(D41-E41)+(F41-G41)-(H41-I41)</f>
        <v>0</v>
      </c>
    </row>
    <row r="42" customFormat="false" ht="15" hidden="false" customHeight="false" outlineLevel="0" collapsed="false">
      <c r="A42" s="33" t="n">
        <v>462100</v>
      </c>
      <c r="B42" s="12" t="s">
        <v>256</v>
      </c>
      <c r="C42" s="13" t="s">
        <v>257</v>
      </c>
      <c r="D42" s="15" t="n">
        <f aca="false">'BALANCE 2028'!H42</f>
        <v>0</v>
      </c>
      <c r="E42" s="15" t="n">
        <f aca="false">'BALANCE 2028'!I42</f>
        <v>0</v>
      </c>
      <c r="F42" s="15" t="n">
        <f aca="false">ROUND('INVEST ET FINANCEMENT'!H$53,0)+(H42-I42)-(D42-E42)</f>
        <v>0</v>
      </c>
      <c r="G42" s="15" t="n">
        <f aca="false">ROUND('INVEST ET FINANCEMENT'!H$53,0)</f>
        <v>0</v>
      </c>
      <c r="H42" s="20" t="n">
        <v>0</v>
      </c>
      <c r="I42" s="15" t="n">
        <f aca="false">ROUND('INVEST ET FINANCEMENT'!H$54,0)</f>
        <v>0</v>
      </c>
      <c r="J42" s="20" t="n">
        <f aca="false">(D42-E42)+(F42-G42)-(H42-I42)</f>
        <v>0</v>
      </c>
    </row>
    <row r="43" customFormat="false" ht="15" hidden="false" customHeight="false" outlineLevel="0" collapsed="false">
      <c r="A43" s="33" t="n">
        <v>471200</v>
      </c>
      <c r="B43" s="12" t="s">
        <v>258</v>
      </c>
      <c r="C43" s="13" t="s">
        <v>259</v>
      </c>
      <c r="D43" s="15" t="n">
        <f aca="false">'BALANCE 2028'!H43</f>
        <v>-0</v>
      </c>
      <c r="E43" s="15" t="n">
        <f aca="false">'BALANCE 2028'!I43</f>
        <v>0</v>
      </c>
      <c r="F43" s="20" t="n">
        <f aca="false">MAX(0,(H43-I43)-(D43-E43))</f>
        <v>0</v>
      </c>
      <c r="G43" s="20" t="n">
        <f aca="false">MAX(0,(D43-E43)-(H43-I43))</f>
        <v>0</v>
      </c>
      <c r="H43" s="15" t="n">
        <f aca="false">ROUND(MAX(0,-(E43-D43+HYPOTHESES!H$31)),0)</f>
        <v>-0</v>
      </c>
      <c r="I43" s="15" t="n">
        <f aca="false">ROUND(MAX(0,(E43-D43+HYPOTHESES!H$31)),0)</f>
        <v>0</v>
      </c>
      <c r="J43" s="20" t="n">
        <f aca="false">(D43-E43)+(F43-G43)-(H43-I43)</f>
        <v>0</v>
      </c>
    </row>
    <row r="44" customFormat="false" ht="15" hidden="false" customHeight="false" outlineLevel="0" collapsed="false">
      <c r="A44" s="33" t="n">
        <v>481200</v>
      </c>
      <c r="B44" s="12" t="s">
        <v>260</v>
      </c>
      <c r="C44" s="13" t="s">
        <v>261</v>
      </c>
      <c r="D44" s="15" t="n">
        <f aca="false">'BALANCE 2028'!H44</f>
        <v>0</v>
      </c>
      <c r="E44" s="15" t="n">
        <f aca="false">'BALANCE 2028'!I44</f>
        <v>27291667</v>
      </c>
      <c r="F44" s="15" t="n">
        <f aca="false">ROUND('INVEST ET FINANCEMENT'!H$41,0)+(H44-I44)-(D44-E44)</f>
        <v>49555556</v>
      </c>
      <c r="G44" s="15" t="n">
        <f aca="false">ROUND('INVEST ET FINANCEMENT'!H$41,0)</f>
        <v>35000000</v>
      </c>
      <c r="H44" s="20" t="n">
        <v>0</v>
      </c>
      <c r="I44" s="15" t="n">
        <f aca="false">ROUND(HYPOTHESES!H$28,0)</f>
        <v>12736111</v>
      </c>
      <c r="J44" s="20" t="n">
        <f aca="false">(D44-E44)+(F44-G44)-(H44-I44)</f>
        <v>0</v>
      </c>
    </row>
    <row r="45" customFormat="false" ht="15" hidden="false" customHeight="false" outlineLevel="0" collapsed="false">
      <c r="A45" s="28" t="n">
        <v>521101</v>
      </c>
      <c r="B45" s="29" t="s">
        <v>262</v>
      </c>
      <c r="C45" s="30" t="s">
        <v>263</v>
      </c>
      <c r="D45" s="37" t="n">
        <f aca="false">'BALANCE 2028'!H45</f>
        <v>484822534</v>
      </c>
      <c r="E45" s="37" t="n">
        <f aca="false">'BALANCE 2028'!I45</f>
        <v>0</v>
      </c>
      <c r="F45" s="37" t="n">
        <f aca="false">ROUND(G26+HYPOTHESES!H$51+'INVEST ET FINANCEMENT'!H$47+'INVEST ET FINANCEMENT'!H$51,0)</f>
        <v>1048677905</v>
      </c>
      <c r="G45" s="37" t="n">
        <f aca="false">ROUND(G26+HYPOTHESES!H$51+'INVEST ET FINANCEMENT'!H$47+'INVEST ET FINANCEMENT'!H$51,0)+(D45-E45)-(H45-I45)</f>
        <v>904268794</v>
      </c>
      <c r="H45" s="32" t="n">
        <f aca="false">ROUND(MAX(0,(H99-(H46-I46))),0)</f>
        <v>629231645</v>
      </c>
      <c r="I45" s="32" t="n">
        <f aca="false">ROUND(MAX(0,-(H99-(H46-I46))),0)</f>
        <v>0</v>
      </c>
      <c r="J45" s="32" t="n">
        <f aca="false">(D45-E45)+(F45-G45)-(H45-I45)</f>
        <v>0</v>
      </c>
    </row>
    <row r="46" customFormat="false" ht="15" hidden="false" customHeight="false" outlineLevel="0" collapsed="false">
      <c r="A46" s="33" t="n">
        <v>571101</v>
      </c>
      <c r="B46" s="12" t="s">
        <v>264</v>
      </c>
      <c r="C46" s="13" t="s">
        <v>265</v>
      </c>
      <c r="D46" s="15" t="n">
        <f aca="false">'BALANCE 2028'!H46</f>
        <v>12349867</v>
      </c>
      <c r="E46" s="15" t="n">
        <f aca="false">'BALANCE 2028'!I46</f>
        <v>0</v>
      </c>
      <c r="F46" s="20" t="n">
        <f aca="false">ROUND(H101,0)</f>
        <v>180853759</v>
      </c>
      <c r="G46" s="20" t="n">
        <f aca="false">ROUND(H101,0)+(D46-E46)-(H46-I46)</f>
        <v>179045221</v>
      </c>
      <c r="H46" s="15" t="n">
        <f aca="false">ROUND(MAX(0,((D46-E46)+H101*(1-HYPOTHESES!H$30))),0)</f>
        <v>14158405</v>
      </c>
      <c r="I46" s="15" t="n">
        <f aca="false">ROUND(MAX(0,-((D46-E46)+H101*(1-HYPOTHESES!H$30))),0)</f>
        <v>0</v>
      </c>
      <c r="J46" s="20" t="n">
        <f aca="false">(D46-E46)+(F46-G46)-(H46-I46)</f>
        <v>0</v>
      </c>
    </row>
    <row r="47" customFormat="false" ht="15" hidden="false" customHeight="false" outlineLevel="0" collapsed="false">
      <c r="A47" s="33" t="n">
        <v>585000</v>
      </c>
      <c r="B47" s="12" t="s">
        <v>266</v>
      </c>
      <c r="C47" s="13" t="s">
        <v>265</v>
      </c>
      <c r="D47" s="15" t="n">
        <f aca="false">'BALANCE 2028'!H47</f>
        <v>0</v>
      </c>
      <c r="E47" s="15" t="n">
        <f aca="false">'BALANCE 2028'!I47</f>
        <v>0</v>
      </c>
      <c r="F47" s="20" t="n">
        <f aca="false">ROUND(H101,0)</f>
        <v>180853759</v>
      </c>
      <c r="G47" s="20" t="n">
        <f aca="false">ROUND(H101,0)+(D47-E47)-(H47-I47)</f>
        <v>180853759</v>
      </c>
      <c r="H47" s="20" t="n">
        <f aca="false">ROUND(D47,0)</f>
        <v>0</v>
      </c>
      <c r="I47" s="20" t="n">
        <f aca="false">ROUND(E47,0)</f>
        <v>0</v>
      </c>
      <c r="J47" s="20" t="n">
        <f aca="false">(D47-E47)+(F47-G47)-(H47-I47)</f>
        <v>0</v>
      </c>
    </row>
    <row r="48" customFormat="false" ht="15" hidden="false" customHeight="false" outlineLevel="0" collapsed="false">
      <c r="A48" s="28" t="n">
        <v>604300</v>
      </c>
      <c r="B48" s="29" t="s">
        <v>267</v>
      </c>
      <c r="C48" s="30" t="s">
        <v>268</v>
      </c>
      <c r="D48" s="32" t="n">
        <v>0</v>
      </c>
      <c r="E48" s="32" t="n">
        <v>0</v>
      </c>
      <c r="F48" s="32" t="n">
        <f aca="false">MAX(0,(H48-I48)-(D48-E48))</f>
        <v>1626409</v>
      </c>
      <c r="G48" s="32" t="n">
        <f aca="false">MAX(0,(D48-E48)-(H48-I48))</f>
        <v>0</v>
      </c>
      <c r="H48" s="37" t="n">
        <f aca="false">ROUND(IF(HYPOTHESES!$C$43=0,0,'BALANCE 2024'!$H$48*HYPOTHESES!H$43/HYPOTHESES!$C$43),0)</f>
        <v>1626409</v>
      </c>
      <c r="I48" s="32" t="n">
        <v>0</v>
      </c>
      <c r="J48" s="32" t="n">
        <f aca="false">(D48-E48)+(F48-G48)-(H48-I48)</f>
        <v>0</v>
      </c>
    </row>
    <row r="49" customFormat="false" ht="15" hidden="false" customHeight="false" outlineLevel="0" collapsed="false">
      <c r="A49" s="33" t="n">
        <v>605100</v>
      </c>
      <c r="B49" s="12" t="s">
        <v>269</v>
      </c>
      <c r="C49" s="13" t="s">
        <v>268</v>
      </c>
      <c r="D49" s="20" t="n">
        <v>0</v>
      </c>
      <c r="E49" s="20" t="n">
        <v>0</v>
      </c>
      <c r="F49" s="20" t="n">
        <f aca="false">MAX(0,(H49-I49)-(D49-E49))</f>
        <v>162038</v>
      </c>
      <c r="G49" s="20" t="n">
        <f aca="false">MAX(0,(D49-E49)-(H49-I49))</f>
        <v>0</v>
      </c>
      <c r="H49" s="15" t="n">
        <f aca="false">ROUND(IF(HYPOTHESES!$C$43=0,0,'BALANCE 2024'!$H$49*HYPOTHESES!H$43/HYPOTHESES!$C$43),0)</f>
        <v>162038</v>
      </c>
      <c r="I49" s="20" t="n">
        <v>0</v>
      </c>
      <c r="J49" s="20" t="n">
        <f aca="false">(D49-E49)+(F49-G49)-(H49-I49)</f>
        <v>0</v>
      </c>
    </row>
    <row r="50" customFormat="false" ht="15" hidden="false" customHeight="false" outlineLevel="0" collapsed="false">
      <c r="A50" s="33" t="n">
        <v>605200</v>
      </c>
      <c r="B50" s="12" t="s">
        <v>270</v>
      </c>
      <c r="C50" s="13" t="s">
        <v>268</v>
      </c>
      <c r="D50" s="20" t="n">
        <v>0</v>
      </c>
      <c r="E50" s="20" t="n">
        <v>0</v>
      </c>
      <c r="F50" s="20" t="n">
        <f aca="false">MAX(0,(H50-I50)-(D50-E50))</f>
        <v>51978295</v>
      </c>
      <c r="G50" s="20" t="n">
        <f aca="false">MAX(0,(D50-E50)-(H50-I50))</f>
        <v>0</v>
      </c>
      <c r="H50" s="15" t="n">
        <f aca="false">ROUND(IF(HYPOTHESES!$C$43=0,0,'BALANCE 2024'!$H$50*HYPOTHESES!H$43/HYPOTHESES!$C$43),0)</f>
        <v>51978295</v>
      </c>
      <c r="I50" s="20" t="n">
        <v>0</v>
      </c>
      <c r="J50" s="20" t="n">
        <f aca="false">(D50-E50)+(F50-G50)-(H50-I50)</f>
        <v>0</v>
      </c>
    </row>
    <row r="51" customFormat="false" ht="15" hidden="false" customHeight="false" outlineLevel="0" collapsed="false">
      <c r="A51" s="33" t="n">
        <v>605300</v>
      </c>
      <c r="B51" s="12" t="s">
        <v>271</v>
      </c>
      <c r="C51" s="13" t="s">
        <v>268</v>
      </c>
      <c r="D51" s="20" t="n">
        <v>0</v>
      </c>
      <c r="E51" s="20" t="n">
        <v>0</v>
      </c>
      <c r="F51" s="20" t="n">
        <f aca="false">MAX(0,(H51-I51)-(D51-E51))</f>
        <v>25804914</v>
      </c>
      <c r="G51" s="20" t="n">
        <f aca="false">MAX(0,(D51-E51)-(H51-I51))</f>
        <v>0</v>
      </c>
      <c r="H51" s="15" t="n">
        <f aca="false">ROUND(IF(HYPOTHESES!$C$43=0,0,'BALANCE 2024'!$H$51*HYPOTHESES!H$43/HYPOTHESES!$C$43),0)</f>
        <v>25804914</v>
      </c>
      <c r="I51" s="20" t="n">
        <v>0</v>
      </c>
      <c r="J51" s="20" t="n">
        <f aca="false">(D51-E51)+(F51-G51)-(H51-I51)</f>
        <v>0</v>
      </c>
    </row>
    <row r="52" customFormat="false" ht="15" hidden="false" customHeight="false" outlineLevel="0" collapsed="false">
      <c r="A52" s="33" t="n">
        <v>605500</v>
      </c>
      <c r="B52" s="12" t="s">
        <v>272</v>
      </c>
      <c r="C52" s="13" t="s">
        <v>268</v>
      </c>
      <c r="D52" s="20" t="n">
        <v>0</v>
      </c>
      <c r="E52" s="20" t="n">
        <v>0</v>
      </c>
      <c r="F52" s="20" t="n">
        <f aca="false">MAX(0,(H52-I52)-(D52-E52))</f>
        <v>16744874</v>
      </c>
      <c r="G52" s="20" t="n">
        <f aca="false">MAX(0,(D52-E52)-(H52-I52))</f>
        <v>0</v>
      </c>
      <c r="H52" s="15" t="n">
        <f aca="false">ROUND(IF(HYPOTHESES!$C$43=0,0,'BALANCE 2024'!$H$52*HYPOTHESES!H$43/HYPOTHESES!$C$43),0)</f>
        <v>16744874</v>
      </c>
      <c r="I52" s="20" t="n">
        <v>0</v>
      </c>
      <c r="J52" s="20" t="n">
        <f aca="false">(D52-E52)+(F52-G52)-(H52-I52)</f>
        <v>0</v>
      </c>
    </row>
    <row r="53" customFormat="false" ht="15" hidden="false" customHeight="false" outlineLevel="0" collapsed="false">
      <c r="A53" s="33" t="n">
        <v>605600</v>
      </c>
      <c r="B53" s="12" t="s">
        <v>273</v>
      </c>
      <c r="C53" s="13" t="s">
        <v>268</v>
      </c>
      <c r="D53" s="20" t="n">
        <v>0</v>
      </c>
      <c r="E53" s="20" t="n">
        <v>0</v>
      </c>
      <c r="F53" s="20" t="n">
        <f aca="false">MAX(0,(H53-I53)-(D53-E53))</f>
        <v>4801744</v>
      </c>
      <c r="G53" s="20" t="n">
        <f aca="false">MAX(0,(D53-E53)-(H53-I53))</f>
        <v>0</v>
      </c>
      <c r="H53" s="15" t="n">
        <f aca="false">ROUND(IF(HYPOTHESES!$C$43=0,0,'BALANCE 2024'!$H$53*HYPOTHESES!H$43/HYPOTHESES!$C$43),0)</f>
        <v>4801744</v>
      </c>
      <c r="I53" s="20" t="n">
        <v>0</v>
      </c>
      <c r="J53" s="20" t="n">
        <f aca="false">(D53-E53)+(F53-G53)-(H53-I53)</f>
        <v>0</v>
      </c>
    </row>
    <row r="54" customFormat="false" ht="15" hidden="false" customHeight="false" outlineLevel="0" collapsed="false">
      <c r="A54" s="33" t="n">
        <v>605700</v>
      </c>
      <c r="B54" s="12" t="s">
        <v>274</v>
      </c>
      <c r="C54" s="13" t="s">
        <v>268</v>
      </c>
      <c r="D54" s="20" t="n">
        <v>0</v>
      </c>
      <c r="E54" s="20" t="n">
        <v>0</v>
      </c>
      <c r="F54" s="20" t="n">
        <f aca="false">MAX(0,(H54-I54)-(D54-E54))</f>
        <v>104265570</v>
      </c>
      <c r="G54" s="20" t="n">
        <f aca="false">MAX(0,(D54-E54)-(H54-I54))</f>
        <v>0</v>
      </c>
      <c r="H54" s="15" t="n">
        <f aca="false">ROUND(IF(HYPOTHESES!$C$43=0,0,'BALANCE 2024'!$H$54*HYPOTHESES!H$43/HYPOTHESES!$C$43),0)</f>
        <v>104265570</v>
      </c>
      <c r="I54" s="20" t="n">
        <v>0</v>
      </c>
      <c r="J54" s="20" t="n">
        <f aca="false">(D54-E54)+(F54-G54)-(H54-I54)</f>
        <v>0</v>
      </c>
    </row>
    <row r="55" customFormat="false" ht="15" hidden="false" customHeight="false" outlineLevel="0" collapsed="false">
      <c r="A55" s="33" t="n">
        <v>605800</v>
      </c>
      <c r="B55" s="12" t="s">
        <v>275</v>
      </c>
      <c r="C55" s="13" t="s">
        <v>268</v>
      </c>
      <c r="D55" s="20" t="n">
        <v>0</v>
      </c>
      <c r="E55" s="20" t="n">
        <v>0</v>
      </c>
      <c r="F55" s="20" t="n">
        <f aca="false">MAX(0,(H55-I55)-(D55-E55))</f>
        <v>156398355</v>
      </c>
      <c r="G55" s="20" t="n">
        <f aca="false">MAX(0,(D55-E55)-(H55-I55))</f>
        <v>0</v>
      </c>
      <c r="H55" s="15" t="n">
        <f aca="false">ROUND(HYPOTHESES!H$43-(H48+H49+H50+H51+H52+H53+H54),0)</f>
        <v>156398355</v>
      </c>
      <c r="I55" s="20" t="n">
        <v>0</v>
      </c>
      <c r="J55" s="20" t="n">
        <f aca="false">(D55-E55)+(F55-G55)-(H55-I55)</f>
        <v>0</v>
      </c>
    </row>
    <row r="56" customFormat="false" ht="15" hidden="false" customHeight="false" outlineLevel="0" collapsed="false">
      <c r="A56" s="33" t="n">
        <v>616000</v>
      </c>
      <c r="B56" s="12" t="s">
        <v>276</v>
      </c>
      <c r="C56" s="13" t="s">
        <v>277</v>
      </c>
      <c r="D56" s="20" t="n">
        <v>0</v>
      </c>
      <c r="E56" s="20" t="n">
        <v>0</v>
      </c>
      <c r="F56" s="20" t="n">
        <f aca="false">MAX(0,(H56-I56)-(D56-E56))</f>
        <v>121027</v>
      </c>
      <c r="G56" s="20" t="n">
        <f aca="false">MAX(0,(D56-E56)-(H56-I56))</f>
        <v>0</v>
      </c>
      <c r="H56" s="15" t="n">
        <f aca="false">ROUND(IF(HYPOTHESES!$C$44=0,0,'BALANCE 2024'!$H$56*HYPOTHESES!H$44/HYPOTHESES!$C$44),0)</f>
        <v>121027</v>
      </c>
      <c r="I56" s="20" t="n">
        <v>0</v>
      </c>
      <c r="J56" s="20" t="n">
        <f aca="false">(D56-E56)+(F56-G56)-(H56-I56)</f>
        <v>0</v>
      </c>
    </row>
    <row r="57" customFormat="false" ht="15" hidden="false" customHeight="false" outlineLevel="0" collapsed="false">
      <c r="A57" s="33" t="n">
        <v>618200</v>
      </c>
      <c r="B57" s="12" t="s">
        <v>278</v>
      </c>
      <c r="C57" s="13" t="s">
        <v>277</v>
      </c>
      <c r="D57" s="20" t="n">
        <v>0</v>
      </c>
      <c r="E57" s="20" t="n">
        <v>0</v>
      </c>
      <c r="F57" s="20" t="n">
        <f aca="false">MAX(0,(H57-I57)-(D57-E57))</f>
        <v>2019520</v>
      </c>
      <c r="G57" s="20" t="n">
        <f aca="false">MAX(0,(D57-E57)-(H57-I57))</f>
        <v>0</v>
      </c>
      <c r="H57" s="15" t="n">
        <f aca="false">ROUND(IF(HYPOTHESES!$C$44=0,0,'BALANCE 2024'!$H$57*HYPOTHESES!H$44/HYPOTHESES!$C$44),0)</f>
        <v>2019520</v>
      </c>
      <c r="I57" s="20" t="n">
        <v>0</v>
      </c>
      <c r="J57" s="20" t="n">
        <f aca="false">(D57-E57)+(F57-G57)-(H57-I57)</f>
        <v>0</v>
      </c>
    </row>
    <row r="58" customFormat="false" ht="15" hidden="false" customHeight="false" outlineLevel="0" collapsed="false">
      <c r="A58" s="33" t="n">
        <v>618300</v>
      </c>
      <c r="B58" s="12" t="s">
        <v>279</v>
      </c>
      <c r="C58" s="13" t="s">
        <v>277</v>
      </c>
      <c r="D58" s="20" t="n">
        <v>0</v>
      </c>
      <c r="E58" s="20" t="n">
        <v>0</v>
      </c>
      <c r="F58" s="20" t="n">
        <f aca="false">MAX(0,(H58-I58)-(D58-E58))</f>
        <v>2782900</v>
      </c>
      <c r="G58" s="20" t="n">
        <f aca="false">MAX(0,(D58-E58)-(H58-I58))</f>
        <v>0</v>
      </c>
      <c r="H58" s="15" t="n">
        <f aca="false">ROUND(HYPOTHESES!H$44-(H56+H57),0)</f>
        <v>2782900</v>
      </c>
      <c r="I58" s="20" t="n">
        <v>0</v>
      </c>
      <c r="J58" s="20" t="n">
        <f aca="false">(D58-E58)+(F58-G58)-(H58-I58)</f>
        <v>0</v>
      </c>
    </row>
    <row r="59" customFormat="false" ht="15" hidden="false" customHeight="false" outlineLevel="0" collapsed="false">
      <c r="A59" s="33" t="n">
        <v>622200</v>
      </c>
      <c r="B59" s="12" t="s">
        <v>280</v>
      </c>
      <c r="C59" s="13" t="s">
        <v>281</v>
      </c>
      <c r="D59" s="20" t="n">
        <v>0</v>
      </c>
      <c r="E59" s="20" t="n">
        <v>0</v>
      </c>
      <c r="F59" s="20" t="n">
        <f aca="false">MAX(0,(H59-I59)-(D59-E59))</f>
        <v>21634910</v>
      </c>
      <c r="G59" s="20" t="n">
        <f aca="false">MAX(0,(D59-E59)-(H59-I59))</f>
        <v>0</v>
      </c>
      <c r="H59" s="15" t="n">
        <f aca="false">ROUND(IF(HYPOTHESES!$C$45=0,0,'BALANCE 2024'!$H$59*HYPOTHESES!H$45/HYPOTHESES!$C$45),0)</f>
        <v>21634910</v>
      </c>
      <c r="I59" s="20" t="n">
        <v>0</v>
      </c>
      <c r="J59" s="20" t="n">
        <f aca="false">(D59-E59)+(F59-G59)-(H59-I59)</f>
        <v>0</v>
      </c>
    </row>
    <row r="60" customFormat="false" ht="15" hidden="false" customHeight="false" outlineLevel="0" collapsed="false">
      <c r="A60" s="33" t="n">
        <v>624200</v>
      </c>
      <c r="B60" s="12" t="s">
        <v>282</v>
      </c>
      <c r="C60" s="13" t="s">
        <v>281</v>
      </c>
      <c r="D60" s="20" t="n">
        <v>0</v>
      </c>
      <c r="E60" s="20" t="n">
        <v>0</v>
      </c>
      <c r="F60" s="20" t="n">
        <f aca="false">MAX(0,(H60-I60)-(D60-E60))</f>
        <v>44483630</v>
      </c>
      <c r="G60" s="20" t="n">
        <f aca="false">MAX(0,(D60-E60)-(H60-I60))</f>
        <v>0</v>
      </c>
      <c r="H60" s="15" t="n">
        <f aca="false">ROUND(HYPOTHESES!H$45-(H59+H61+H62+H63+H64+H65+H66+H67),0)</f>
        <v>44483630</v>
      </c>
      <c r="I60" s="20" t="n">
        <v>0</v>
      </c>
      <c r="J60" s="20" t="n">
        <f aca="false">(D60-E60)+(F60-G60)-(H60-I60)</f>
        <v>0</v>
      </c>
    </row>
    <row r="61" customFormat="false" ht="15" hidden="false" customHeight="false" outlineLevel="0" collapsed="false">
      <c r="A61" s="33" t="n">
        <v>625800</v>
      </c>
      <c r="B61" s="12" t="s">
        <v>283</v>
      </c>
      <c r="C61" s="13" t="s">
        <v>281</v>
      </c>
      <c r="D61" s="20" t="n">
        <v>0</v>
      </c>
      <c r="E61" s="20" t="n">
        <v>0</v>
      </c>
      <c r="F61" s="20" t="n">
        <f aca="false">MAX(0,(H61-I61)-(D61-E61))</f>
        <v>5969111</v>
      </c>
      <c r="G61" s="20" t="n">
        <f aca="false">MAX(0,(D61-E61)-(H61-I61))</f>
        <v>0</v>
      </c>
      <c r="H61" s="15" t="n">
        <f aca="false">ROUND(IF(HYPOTHESES!$C$45=0,0,'BALANCE 2024'!$H$61*HYPOTHESES!H$45/HYPOTHESES!$C$45),0)</f>
        <v>5969111</v>
      </c>
      <c r="I61" s="20" t="n">
        <v>0</v>
      </c>
      <c r="J61" s="20" t="n">
        <f aca="false">(D61-E61)+(F61-G61)-(H61-I61)</f>
        <v>0</v>
      </c>
    </row>
    <row r="62" customFormat="false" ht="15" hidden="false" customHeight="false" outlineLevel="0" collapsed="false">
      <c r="A62" s="33" t="n">
        <v>626600</v>
      </c>
      <c r="B62" s="12" t="s">
        <v>284</v>
      </c>
      <c r="C62" s="13" t="s">
        <v>281</v>
      </c>
      <c r="D62" s="20" t="n">
        <v>0</v>
      </c>
      <c r="E62" s="20" t="n">
        <v>0</v>
      </c>
      <c r="F62" s="20" t="n">
        <f aca="false">MAX(0,(H62-I62)-(D62-E62))</f>
        <v>41618</v>
      </c>
      <c r="G62" s="20" t="n">
        <f aca="false">MAX(0,(D62-E62)-(H62-I62))</f>
        <v>0</v>
      </c>
      <c r="H62" s="15" t="n">
        <f aca="false">ROUND(IF(HYPOTHESES!$C$45=0,0,'BALANCE 2024'!$H$62*HYPOTHESES!H$45/HYPOTHESES!$C$45),0)</f>
        <v>41618</v>
      </c>
      <c r="I62" s="20" t="n">
        <v>0</v>
      </c>
      <c r="J62" s="20" t="n">
        <f aca="false">(D62-E62)+(F62-G62)-(H62-I62)</f>
        <v>0</v>
      </c>
    </row>
    <row r="63" customFormat="false" ht="15" hidden="false" customHeight="false" outlineLevel="0" collapsed="false">
      <c r="A63" s="33" t="n">
        <v>627700</v>
      </c>
      <c r="B63" s="12" t="s">
        <v>285</v>
      </c>
      <c r="C63" s="13" t="s">
        <v>281</v>
      </c>
      <c r="D63" s="20" t="n">
        <v>0</v>
      </c>
      <c r="E63" s="20" t="n">
        <v>0</v>
      </c>
      <c r="F63" s="20" t="n">
        <f aca="false">MAX(0,(H63-I63)-(D63-E63))</f>
        <v>76083</v>
      </c>
      <c r="G63" s="20" t="n">
        <f aca="false">MAX(0,(D63-E63)-(H63-I63))</f>
        <v>0</v>
      </c>
      <c r="H63" s="15" t="n">
        <f aca="false">ROUND(IF(HYPOTHESES!$C$45=0,0,'BALANCE 2024'!$H$63*HYPOTHESES!H$45/HYPOTHESES!$C$45),0)</f>
        <v>76083</v>
      </c>
      <c r="I63" s="20" t="n">
        <v>0</v>
      </c>
      <c r="J63" s="20" t="n">
        <f aca="false">(D63-E63)+(F63-G63)-(H63-I63)</f>
        <v>0</v>
      </c>
    </row>
    <row r="64" customFormat="false" ht="15" hidden="false" customHeight="false" outlineLevel="0" collapsed="false">
      <c r="A64" s="33" t="n">
        <v>628800</v>
      </c>
      <c r="B64" s="12" t="s">
        <v>286</v>
      </c>
      <c r="C64" s="13" t="s">
        <v>281</v>
      </c>
      <c r="D64" s="20" t="n">
        <v>0</v>
      </c>
      <c r="E64" s="20" t="n">
        <v>0</v>
      </c>
      <c r="F64" s="20" t="n">
        <f aca="false">MAX(0,(H64-I64)-(D64-E64))</f>
        <v>1032701</v>
      </c>
      <c r="G64" s="20" t="n">
        <f aca="false">MAX(0,(D64-E64)-(H64-I64))</f>
        <v>0</v>
      </c>
      <c r="H64" s="15" t="n">
        <f aca="false">ROUND(IF(HYPOTHESES!$C$45=0,0,'BALANCE 2024'!$H$64*HYPOTHESES!H$45/HYPOTHESES!$C$45),0)</f>
        <v>1032701</v>
      </c>
      <c r="I64" s="20" t="n">
        <v>0</v>
      </c>
      <c r="J64" s="20" t="n">
        <f aca="false">(D64-E64)+(F64-G64)-(H64-I64)</f>
        <v>0</v>
      </c>
    </row>
    <row r="65" customFormat="false" ht="15" hidden="false" customHeight="false" outlineLevel="0" collapsed="false">
      <c r="A65" s="33" t="n">
        <v>631800</v>
      </c>
      <c r="B65" s="12" t="s">
        <v>287</v>
      </c>
      <c r="C65" s="13" t="s">
        <v>281</v>
      </c>
      <c r="D65" s="20" t="n">
        <v>0</v>
      </c>
      <c r="E65" s="20" t="n">
        <v>0</v>
      </c>
      <c r="F65" s="20" t="n">
        <f aca="false">MAX(0,(H65-I65)-(D65-E65))</f>
        <v>29379832</v>
      </c>
      <c r="G65" s="20" t="n">
        <f aca="false">MAX(0,(D65-E65)-(H65-I65))</f>
        <v>0</v>
      </c>
      <c r="H65" s="15" t="n">
        <f aca="false">ROUND(IF(HYPOTHESES!$C$45=0,0,'BALANCE 2024'!$H$65*HYPOTHESES!H$45/HYPOTHESES!$C$45),0)</f>
        <v>29379832</v>
      </c>
      <c r="I65" s="20" t="n">
        <v>0</v>
      </c>
      <c r="J65" s="20" t="n">
        <f aca="false">(D65-E65)+(F65-G65)-(H65-I65)</f>
        <v>0</v>
      </c>
    </row>
    <row r="66" customFormat="false" ht="15" hidden="false" customHeight="false" outlineLevel="0" collapsed="false">
      <c r="A66" s="33" t="n">
        <v>632800</v>
      </c>
      <c r="B66" s="12" t="s">
        <v>288</v>
      </c>
      <c r="C66" s="13" t="s">
        <v>281</v>
      </c>
      <c r="D66" s="20" t="n">
        <v>0</v>
      </c>
      <c r="E66" s="20" t="n">
        <v>0</v>
      </c>
      <c r="F66" s="20" t="n">
        <f aca="false">MAX(0,(H66-I66)-(D66-E66))</f>
        <v>6181607</v>
      </c>
      <c r="G66" s="20" t="n">
        <f aca="false">MAX(0,(D66-E66)-(H66-I66))</f>
        <v>0</v>
      </c>
      <c r="H66" s="15" t="n">
        <f aca="false">ROUND(IF(HYPOTHESES!$C$45=0,0,'BALANCE 2024'!$H$66*HYPOTHESES!H$45/HYPOTHESES!$C$45),0)</f>
        <v>6181607</v>
      </c>
      <c r="I66" s="20" t="n">
        <v>0</v>
      </c>
      <c r="J66" s="20" t="n">
        <f aca="false">(D66-E66)+(F66-G66)-(H66-I66)</f>
        <v>0</v>
      </c>
    </row>
    <row r="67" customFormat="false" ht="15" hidden="false" customHeight="false" outlineLevel="0" collapsed="false">
      <c r="A67" s="33" t="n">
        <v>638800</v>
      </c>
      <c r="B67" s="12" t="s">
        <v>289</v>
      </c>
      <c r="C67" s="13" t="s">
        <v>281</v>
      </c>
      <c r="D67" s="20" t="n">
        <v>0</v>
      </c>
      <c r="E67" s="20" t="n">
        <v>0</v>
      </c>
      <c r="F67" s="20" t="n">
        <f aca="false">MAX(0,(H67-I67)-(D67-E67))</f>
        <v>30059956</v>
      </c>
      <c r="G67" s="20" t="n">
        <f aca="false">MAX(0,(D67-E67)-(H67-I67))</f>
        <v>0</v>
      </c>
      <c r="H67" s="15" t="n">
        <f aca="false">ROUND(IF(HYPOTHESES!$C$45=0,0,'BALANCE 2024'!$H$67*HYPOTHESES!H$45/HYPOTHESES!$C$45),0)</f>
        <v>30059956</v>
      </c>
      <c r="I67" s="20" t="n">
        <v>0</v>
      </c>
      <c r="J67" s="20" t="n">
        <f aca="false">(D67-E67)+(F67-G67)-(H67-I67)</f>
        <v>0</v>
      </c>
    </row>
    <row r="68" customFormat="false" ht="15" hidden="false" customHeight="false" outlineLevel="0" collapsed="false">
      <c r="A68" s="33" t="n">
        <v>641100</v>
      </c>
      <c r="B68" s="12" t="s">
        <v>290</v>
      </c>
      <c r="C68" s="13" t="s">
        <v>291</v>
      </c>
      <c r="D68" s="20" t="n">
        <v>0</v>
      </c>
      <c r="E68" s="20" t="n">
        <v>0</v>
      </c>
      <c r="F68" s="20" t="n">
        <f aca="false">MAX(0,(H68-I68)-(D68-E68))</f>
        <v>467964</v>
      </c>
      <c r="G68" s="20" t="n">
        <f aca="false">MAX(0,(D68-E68)-(H68-I68))</f>
        <v>0</v>
      </c>
      <c r="H68" s="15" t="n">
        <f aca="false">ROUND(IF(HYPOTHESES!$C$46=0,0,'BALANCE 2024'!$H$68*HYPOTHESES!H$46/HYPOTHESES!$C$46),0)</f>
        <v>467964</v>
      </c>
      <c r="I68" s="20" t="n">
        <v>0</v>
      </c>
      <c r="J68" s="20" t="n">
        <f aca="false">(D68-E68)+(F68-G68)-(H68-I68)</f>
        <v>0</v>
      </c>
    </row>
    <row r="69" customFormat="false" ht="15" hidden="false" customHeight="false" outlineLevel="0" collapsed="false">
      <c r="A69" s="33" t="n">
        <v>641201</v>
      </c>
      <c r="B69" s="12" t="s">
        <v>292</v>
      </c>
      <c r="C69" s="13" t="s">
        <v>291</v>
      </c>
      <c r="D69" s="20" t="n">
        <v>0</v>
      </c>
      <c r="E69" s="20" t="n">
        <v>0</v>
      </c>
      <c r="F69" s="20" t="n">
        <f aca="false">MAX(0,(H69-I69)-(D69-E69))</f>
        <v>11770772</v>
      </c>
      <c r="G69" s="20" t="n">
        <f aca="false">MAX(0,(D69-E69)-(H69-I69))</f>
        <v>0</v>
      </c>
      <c r="H69" s="15" t="n">
        <f aca="false">ROUND(HYPOTHESES!H$46-(H68+H70+H71+H72+H73+H74+H75+H76),0)</f>
        <v>11770772</v>
      </c>
      <c r="I69" s="20" t="n">
        <v>0</v>
      </c>
      <c r="J69" s="20" t="n">
        <f aca="false">(D69-E69)+(F69-G69)-(H69-I69)</f>
        <v>0</v>
      </c>
    </row>
    <row r="70" customFormat="false" ht="15" hidden="false" customHeight="false" outlineLevel="0" collapsed="false">
      <c r="A70" s="33" t="n">
        <v>641202</v>
      </c>
      <c r="B70" s="12" t="s">
        <v>293</v>
      </c>
      <c r="C70" s="13" t="s">
        <v>291</v>
      </c>
      <c r="D70" s="20" t="n">
        <v>0</v>
      </c>
      <c r="E70" s="20" t="n">
        <v>0</v>
      </c>
      <c r="F70" s="20" t="n">
        <f aca="false">MAX(0,(H70-I70)-(D70-E70))</f>
        <v>2013149</v>
      </c>
      <c r="G70" s="20" t="n">
        <f aca="false">MAX(0,(D70-E70)-(H70-I70))</f>
        <v>0</v>
      </c>
      <c r="H70" s="15" t="n">
        <f aca="false">ROUND(IF(HYPOTHESES!$C$46=0,0,'BALANCE 2024'!$H$70*HYPOTHESES!H$46/HYPOTHESES!$C$46),0)</f>
        <v>2013149</v>
      </c>
      <c r="I70" s="20" t="n">
        <v>0</v>
      </c>
      <c r="J70" s="20" t="n">
        <f aca="false">(D70-E70)+(F70-G70)-(H70-I70)</f>
        <v>0</v>
      </c>
    </row>
    <row r="71" customFormat="false" ht="15" hidden="false" customHeight="false" outlineLevel="0" collapsed="false">
      <c r="A71" s="33" t="n">
        <v>641300</v>
      </c>
      <c r="B71" s="12" t="s">
        <v>294</v>
      </c>
      <c r="C71" s="13" t="s">
        <v>291</v>
      </c>
      <c r="D71" s="20" t="n">
        <v>0</v>
      </c>
      <c r="E71" s="20" t="n">
        <v>0</v>
      </c>
      <c r="F71" s="20" t="n">
        <f aca="false">MAX(0,(H71-I71)-(D71-E71))</f>
        <v>1074465</v>
      </c>
      <c r="G71" s="20" t="n">
        <f aca="false">MAX(0,(D71-E71)-(H71-I71))</f>
        <v>0</v>
      </c>
      <c r="H71" s="15" t="n">
        <f aca="false">ROUND(IF(HYPOTHESES!$C$46=0,0,'BALANCE 2024'!$H$71*HYPOTHESES!H$46/HYPOTHESES!$C$46),0)</f>
        <v>1074465</v>
      </c>
      <c r="I71" s="20" t="n">
        <v>0</v>
      </c>
      <c r="J71" s="20" t="n">
        <f aca="false">(D71-E71)+(F71-G71)-(H71-I71)</f>
        <v>0</v>
      </c>
    </row>
    <row r="72" customFormat="false" ht="15" hidden="false" customHeight="false" outlineLevel="0" collapsed="false">
      <c r="A72" s="33" t="n">
        <v>641400</v>
      </c>
      <c r="B72" s="12" t="s">
        <v>295</v>
      </c>
      <c r="C72" s="13" t="s">
        <v>291</v>
      </c>
      <c r="D72" s="20" t="n">
        <v>0</v>
      </c>
      <c r="E72" s="20" t="n">
        <v>0</v>
      </c>
      <c r="F72" s="20" t="n">
        <f aca="false">MAX(0,(H72-I72)-(D72-E72))</f>
        <v>135275</v>
      </c>
      <c r="G72" s="20" t="n">
        <f aca="false">MAX(0,(D72-E72)-(H72-I72))</f>
        <v>0</v>
      </c>
      <c r="H72" s="15" t="n">
        <f aca="false">ROUND(IF(HYPOTHESES!$C$46=0,0,'BALANCE 2024'!$H$72*HYPOTHESES!H$46/HYPOTHESES!$C$46),0)</f>
        <v>135275</v>
      </c>
      <c r="I72" s="20" t="n">
        <v>0</v>
      </c>
      <c r="J72" s="20" t="n">
        <f aca="false">(D72-E72)+(F72-G72)-(H72-I72)</f>
        <v>0</v>
      </c>
    </row>
    <row r="73" customFormat="false" ht="15" hidden="false" customHeight="false" outlineLevel="0" collapsed="false">
      <c r="A73" s="33" t="n">
        <v>641500</v>
      </c>
      <c r="B73" s="12" t="s">
        <v>296</v>
      </c>
      <c r="C73" s="13" t="s">
        <v>291</v>
      </c>
      <c r="D73" s="20" t="n">
        <v>0</v>
      </c>
      <c r="E73" s="20" t="n">
        <v>0</v>
      </c>
      <c r="F73" s="20" t="n">
        <f aca="false">MAX(0,(H73-I73)-(D73-E73))</f>
        <v>405843</v>
      </c>
      <c r="G73" s="20" t="n">
        <f aca="false">MAX(0,(D73-E73)-(H73-I73))</f>
        <v>0</v>
      </c>
      <c r="H73" s="15" t="n">
        <f aca="false">ROUND(IF(HYPOTHESES!$C$46=0,0,'BALANCE 2024'!$H$73*HYPOTHESES!H$46/HYPOTHESES!$C$46),0)</f>
        <v>405843</v>
      </c>
      <c r="I73" s="20" t="n">
        <v>0</v>
      </c>
      <c r="J73" s="20" t="n">
        <f aca="false">(D73-E73)+(F73-G73)-(H73-I73)</f>
        <v>0</v>
      </c>
    </row>
    <row r="74" customFormat="false" ht="15" hidden="false" customHeight="false" outlineLevel="0" collapsed="false">
      <c r="A74" s="33" t="n">
        <v>641830</v>
      </c>
      <c r="B74" s="12" t="s">
        <v>297</v>
      </c>
      <c r="C74" s="13" t="s">
        <v>291</v>
      </c>
      <c r="D74" s="20" t="n">
        <v>0</v>
      </c>
      <c r="E74" s="20" t="n">
        <v>0</v>
      </c>
      <c r="F74" s="20" t="n">
        <f aca="false">MAX(0,(H74-I74)-(D74-E74))</f>
        <v>275169</v>
      </c>
      <c r="G74" s="20" t="n">
        <f aca="false">MAX(0,(D74-E74)-(H74-I74))</f>
        <v>0</v>
      </c>
      <c r="H74" s="15" t="n">
        <f aca="false">ROUND(IF(HYPOTHESES!$C$46=0,0,'BALANCE 2024'!$H$74*HYPOTHESES!H$46/HYPOTHESES!$C$46),0)</f>
        <v>275169</v>
      </c>
      <c r="I74" s="20" t="n">
        <v>0</v>
      </c>
      <c r="J74" s="20" t="n">
        <f aca="false">(D74-E74)+(F74-G74)-(H74-I74)</f>
        <v>0</v>
      </c>
    </row>
    <row r="75" customFormat="false" ht="15" hidden="false" customHeight="false" outlineLevel="0" collapsed="false">
      <c r="A75" s="33" t="n">
        <v>646200</v>
      </c>
      <c r="B75" s="12" t="s">
        <v>298</v>
      </c>
      <c r="C75" s="13" t="s">
        <v>291</v>
      </c>
      <c r="D75" s="20" t="n">
        <v>0</v>
      </c>
      <c r="E75" s="20" t="n">
        <v>0</v>
      </c>
      <c r="F75" s="20" t="n">
        <f aca="false">MAX(0,(H75-I75)-(D75-E75))</f>
        <v>2243169</v>
      </c>
      <c r="G75" s="20" t="n">
        <f aca="false">MAX(0,(D75-E75)-(H75-I75))</f>
        <v>0</v>
      </c>
      <c r="H75" s="15" t="n">
        <f aca="false">ROUND(IF(HYPOTHESES!$C$46=0,0,'BALANCE 2024'!$H$75*HYPOTHESES!H$46/HYPOTHESES!$C$46),0)</f>
        <v>2243169</v>
      </c>
      <c r="I75" s="20" t="n">
        <v>0</v>
      </c>
      <c r="J75" s="20" t="n">
        <f aca="false">(D75-E75)+(F75-G75)-(H75-I75)</f>
        <v>0</v>
      </c>
    </row>
    <row r="76" customFormat="false" ht="15" hidden="false" customHeight="false" outlineLevel="0" collapsed="false">
      <c r="A76" s="33" t="n">
        <v>648000</v>
      </c>
      <c r="B76" s="12" t="s">
        <v>299</v>
      </c>
      <c r="C76" s="13" t="s">
        <v>291</v>
      </c>
      <c r="D76" s="20" t="n">
        <v>0</v>
      </c>
      <c r="E76" s="20" t="n">
        <v>0</v>
      </c>
      <c r="F76" s="20" t="n">
        <f aca="false">MAX(0,(H76-I76)-(D76-E76))</f>
        <v>943283</v>
      </c>
      <c r="G76" s="20" t="n">
        <f aca="false">MAX(0,(D76-E76)-(H76-I76))</f>
        <v>0</v>
      </c>
      <c r="H76" s="15" t="n">
        <f aca="false">ROUND(IF(HYPOTHESES!$C$46=0,0,'BALANCE 2024'!$H$76*HYPOTHESES!H$46/HYPOTHESES!$C$46),0)</f>
        <v>943283</v>
      </c>
      <c r="I76" s="20" t="n">
        <v>0</v>
      </c>
      <c r="J76" s="20" t="n">
        <f aca="false">(D76-E76)+(F76-G76)-(H76-I76)</f>
        <v>0</v>
      </c>
    </row>
    <row r="77" customFormat="false" ht="15" hidden="false" customHeight="false" outlineLevel="0" collapsed="false">
      <c r="A77" s="33" t="n">
        <v>658800</v>
      </c>
      <c r="B77" s="12" t="s">
        <v>300</v>
      </c>
      <c r="C77" s="13" t="s">
        <v>301</v>
      </c>
      <c r="D77" s="20" t="n">
        <v>0</v>
      </c>
      <c r="E77" s="20" t="n">
        <v>0</v>
      </c>
      <c r="F77" s="20" t="n">
        <f aca="false">MAX(0,(H77-I77)-(D77-E77))</f>
        <v>1732324</v>
      </c>
      <c r="G77" s="20" t="n">
        <f aca="false">MAX(0,(D77-E77)-(H77-I77))</f>
        <v>0</v>
      </c>
      <c r="H77" s="15" t="n">
        <f aca="false">ROUND(HYPOTHESES!H$47,0)</f>
        <v>1732324</v>
      </c>
      <c r="I77" s="20" t="n">
        <v>0</v>
      </c>
      <c r="J77" s="20" t="n">
        <f aca="false">(D77-E77)+(F77-G77)-(H77-I77)</f>
        <v>0</v>
      </c>
    </row>
    <row r="78" customFormat="false" ht="15" hidden="false" customHeight="false" outlineLevel="0" collapsed="false">
      <c r="A78" s="33" t="n">
        <v>661100</v>
      </c>
      <c r="B78" s="12" t="s">
        <v>302</v>
      </c>
      <c r="C78" s="13" t="s">
        <v>303</v>
      </c>
      <c r="D78" s="20" t="n">
        <v>0</v>
      </c>
      <c r="E78" s="20" t="n">
        <v>0</v>
      </c>
      <c r="F78" s="20" t="n">
        <f aca="false">MAX(0,(H78-I78)-(D78-E78))</f>
        <v>76686151</v>
      </c>
      <c r="G78" s="20" t="n">
        <f aca="false">MAX(0,(D78-E78)-(H78-I78))</f>
        <v>0</v>
      </c>
      <c r="H78" s="15" t="n">
        <f aca="false">ROUND(HYPOTHESES!H$48-(H79+H80+H81+H82+H83),0)</f>
        <v>76686151</v>
      </c>
      <c r="I78" s="20" t="n">
        <v>0</v>
      </c>
      <c r="J78" s="20" t="n">
        <f aca="false">(D78-E78)+(F78-G78)-(H78-I78)</f>
        <v>0</v>
      </c>
    </row>
    <row r="79" customFormat="false" ht="15" hidden="false" customHeight="false" outlineLevel="0" collapsed="false">
      <c r="A79" s="33" t="n">
        <v>661200</v>
      </c>
      <c r="B79" s="12" t="s">
        <v>304</v>
      </c>
      <c r="C79" s="13" t="s">
        <v>303</v>
      </c>
      <c r="D79" s="20" t="n">
        <v>0</v>
      </c>
      <c r="E79" s="20" t="n">
        <v>0</v>
      </c>
      <c r="F79" s="20" t="n">
        <f aca="false">MAX(0,(H79-I79)-(D79-E79))</f>
        <v>25923790</v>
      </c>
      <c r="G79" s="20" t="n">
        <f aca="false">MAX(0,(D79-E79)-(H79-I79))</f>
        <v>0</v>
      </c>
      <c r="H79" s="15" t="n">
        <f aca="false">ROUND(IF(HYPOTHESES!$C$48=0,0,'BALANCE 2024'!$H$79*HYPOTHESES!H$48/HYPOTHESES!$C$48),0)</f>
        <v>25923790</v>
      </c>
      <c r="I79" s="20" t="n">
        <v>0</v>
      </c>
      <c r="J79" s="20" t="n">
        <f aca="false">(D79-E79)+(F79-G79)-(H79-I79)</f>
        <v>0</v>
      </c>
    </row>
    <row r="80" customFormat="false" ht="15" hidden="false" customHeight="false" outlineLevel="0" collapsed="false">
      <c r="A80" s="33" t="n">
        <v>661300</v>
      </c>
      <c r="B80" s="12" t="s">
        <v>305</v>
      </c>
      <c r="C80" s="13" t="s">
        <v>303</v>
      </c>
      <c r="D80" s="20" t="n">
        <v>0</v>
      </c>
      <c r="E80" s="20" t="n">
        <v>0</v>
      </c>
      <c r="F80" s="20" t="n">
        <f aca="false">MAX(0,(H80-I80)-(D80-E80))</f>
        <v>8553600</v>
      </c>
      <c r="G80" s="20" t="n">
        <f aca="false">MAX(0,(D80-E80)-(H80-I80))</f>
        <v>0</v>
      </c>
      <c r="H80" s="15" t="n">
        <f aca="false">ROUND(IF(HYPOTHESES!$C$48=0,0,'BALANCE 2024'!$H$80*HYPOTHESES!H$48/HYPOTHESES!$C$48),0)</f>
        <v>8553600</v>
      </c>
      <c r="I80" s="20" t="n">
        <v>0</v>
      </c>
      <c r="J80" s="20" t="n">
        <f aca="false">(D80-E80)+(F80-G80)-(H80-I80)</f>
        <v>0</v>
      </c>
    </row>
    <row r="81" customFormat="false" ht="15" hidden="false" customHeight="false" outlineLevel="0" collapsed="false">
      <c r="A81" s="33" t="n">
        <v>661400</v>
      </c>
      <c r="B81" s="12" t="s">
        <v>306</v>
      </c>
      <c r="C81" s="13" t="s">
        <v>303</v>
      </c>
      <c r="D81" s="20" t="n">
        <v>0</v>
      </c>
      <c r="E81" s="20" t="n">
        <v>0</v>
      </c>
      <c r="F81" s="20" t="n">
        <f aca="false">MAX(0,(H81-I81)-(D81-E81))</f>
        <v>8638032</v>
      </c>
      <c r="G81" s="20" t="n">
        <f aca="false">MAX(0,(D81-E81)-(H81-I81))</f>
        <v>0</v>
      </c>
      <c r="H81" s="15" t="n">
        <f aca="false">ROUND(IF(HYPOTHESES!$C$48=0,0,'BALANCE 2024'!$H$81*HYPOTHESES!H$48/HYPOTHESES!$C$48),0)</f>
        <v>8638032</v>
      </c>
      <c r="I81" s="20" t="n">
        <v>0</v>
      </c>
      <c r="J81" s="20" t="n">
        <f aca="false">(D81-E81)+(F81-G81)-(H81-I81)</f>
        <v>0</v>
      </c>
    </row>
    <row r="82" customFormat="false" ht="15" hidden="false" customHeight="false" outlineLevel="0" collapsed="false">
      <c r="A82" s="33" t="n">
        <v>663400</v>
      </c>
      <c r="B82" s="12" t="s">
        <v>307</v>
      </c>
      <c r="C82" s="13" t="s">
        <v>303</v>
      </c>
      <c r="D82" s="20" t="n">
        <v>0</v>
      </c>
      <c r="E82" s="20" t="n">
        <v>0</v>
      </c>
      <c r="F82" s="20" t="n">
        <f aca="false">MAX(0,(H82-I82)-(D82-E82))</f>
        <v>8946552</v>
      </c>
      <c r="G82" s="20" t="n">
        <f aca="false">MAX(0,(D82-E82)-(H82-I82))</f>
        <v>0</v>
      </c>
      <c r="H82" s="15" t="n">
        <f aca="false">ROUND(IF(HYPOTHESES!$C$48=0,0,'BALANCE 2024'!$H$82*HYPOTHESES!H$48/HYPOTHESES!$C$48),0)</f>
        <v>8946552</v>
      </c>
      <c r="I82" s="20" t="n">
        <v>0</v>
      </c>
      <c r="J82" s="20" t="n">
        <f aca="false">(D82-E82)+(F82-G82)-(H82-I82)</f>
        <v>0</v>
      </c>
    </row>
    <row r="83" customFormat="false" ht="15" hidden="false" customHeight="false" outlineLevel="0" collapsed="false">
      <c r="A83" s="33" t="n">
        <v>664104</v>
      </c>
      <c r="B83" s="12" t="s">
        <v>308</v>
      </c>
      <c r="C83" s="13" t="s">
        <v>303</v>
      </c>
      <c r="D83" s="20" t="n">
        <v>0</v>
      </c>
      <c r="E83" s="20" t="n">
        <v>0</v>
      </c>
      <c r="F83" s="20" t="n">
        <f aca="false">MAX(0,(H83-I83)-(D83-E83))</f>
        <v>9108398</v>
      </c>
      <c r="G83" s="20" t="n">
        <f aca="false">MAX(0,(D83-E83)-(H83-I83))</f>
        <v>0</v>
      </c>
      <c r="H83" s="15" t="n">
        <f aca="false">ROUND(IF(HYPOTHESES!$C$48=0,0,'BALANCE 2024'!$H$83*HYPOTHESES!H$48/HYPOTHESES!$C$48),0)</f>
        <v>9108398</v>
      </c>
      <c r="I83" s="20" t="n">
        <v>0</v>
      </c>
      <c r="J83" s="20" t="n">
        <f aca="false">(D83-E83)+(F83-G83)-(H83-I83)</f>
        <v>0</v>
      </c>
    </row>
    <row r="84" customFormat="false" ht="15" hidden="false" customHeight="false" outlineLevel="0" collapsed="false">
      <c r="A84" s="33" t="n">
        <v>671201</v>
      </c>
      <c r="B84" s="12" t="s">
        <v>309</v>
      </c>
      <c r="C84" s="13" t="s">
        <v>310</v>
      </c>
      <c r="D84" s="20" t="n">
        <v>0</v>
      </c>
      <c r="E84" s="20" t="n">
        <v>0</v>
      </c>
      <c r="F84" s="20" t="n">
        <f aca="false">MAX(0,(H84-I84)-(D84-E84))</f>
        <v>0</v>
      </c>
      <c r="G84" s="20" t="n">
        <f aca="false">MAX(0,(D84-E84)-(H84-I84))</f>
        <v>0</v>
      </c>
      <c r="H84" s="15" t="n">
        <f aca="false">ROUND('INVEST ET FINANCEMENT'!H$64,0)</f>
        <v>0</v>
      </c>
      <c r="I84" s="20" t="n">
        <v>0</v>
      </c>
      <c r="J84" s="20" t="n">
        <f aca="false">(D84-E84)+(F84-G84)-(H84-I84)</f>
        <v>0</v>
      </c>
    </row>
    <row r="85" customFormat="false" ht="15" hidden="false" customHeight="false" outlineLevel="0" collapsed="false">
      <c r="A85" s="33" t="n">
        <v>672301</v>
      </c>
      <c r="B85" s="12" t="s">
        <v>311</v>
      </c>
      <c r="C85" s="13" t="s">
        <v>310</v>
      </c>
      <c r="D85" s="20" t="n">
        <v>0</v>
      </c>
      <c r="E85" s="20" t="n">
        <v>0</v>
      </c>
      <c r="F85" s="20" t="n">
        <f aca="false">MAX(0,(H85-I85)-(D85-E85))</f>
        <v>0</v>
      </c>
      <c r="G85" s="20" t="n">
        <f aca="false">MAX(0,(D85-E85)-(H85-I85))</f>
        <v>0</v>
      </c>
      <c r="H85" s="15" t="n">
        <f aca="false">ROUND('INVEST ET FINANCEMENT'!H$65,0)</f>
        <v>0</v>
      </c>
      <c r="I85" s="20" t="n">
        <v>0</v>
      </c>
      <c r="J85" s="20" t="n">
        <f aca="false">(D85-E85)+(F85-G85)-(H85-I85)</f>
        <v>0</v>
      </c>
    </row>
    <row r="86" customFormat="false" ht="15" hidden="false" customHeight="false" outlineLevel="0" collapsed="false">
      <c r="A86" s="33" t="n">
        <v>681301</v>
      </c>
      <c r="B86" s="12" t="s">
        <v>312</v>
      </c>
      <c r="C86" s="13" t="s">
        <v>313</v>
      </c>
      <c r="D86" s="20" t="n">
        <v>0</v>
      </c>
      <c r="E86" s="20" t="n">
        <v>0</v>
      </c>
      <c r="F86" s="20" t="n">
        <f aca="false">MAX(0,(H86-I86)-(D86-E86))</f>
        <v>0</v>
      </c>
      <c r="G86" s="20" t="n">
        <f aca="false">MAX(0,(D86-E86)-(H86-I86))</f>
        <v>0</v>
      </c>
      <c r="H86" s="15" t="n">
        <f aca="false">ROUND('INVEST ET FINANCEMENT'!H$31,0)</f>
        <v>0</v>
      </c>
      <c r="I86" s="20" t="n">
        <v>0</v>
      </c>
      <c r="J86" s="20" t="n">
        <f aca="false">(D86-E86)+(F86-G86)-(H86-I86)</f>
        <v>0</v>
      </c>
    </row>
    <row r="87" customFormat="false" ht="15" hidden="false" customHeight="false" outlineLevel="0" collapsed="false">
      <c r="A87" s="33" t="n">
        <v>681302</v>
      </c>
      <c r="B87" s="12" t="s">
        <v>314</v>
      </c>
      <c r="C87" s="13" t="s">
        <v>313</v>
      </c>
      <c r="D87" s="20" t="n">
        <v>0</v>
      </c>
      <c r="E87" s="20" t="n">
        <v>0</v>
      </c>
      <c r="F87" s="20" t="n">
        <f aca="false">MAX(0,(H87-I87)-(D87-E87))</f>
        <v>68854932</v>
      </c>
      <c r="G87" s="20" t="n">
        <f aca="false">MAX(0,(D87-E87)-(H87-I87))</f>
        <v>0</v>
      </c>
      <c r="H87" s="15" t="n">
        <f aca="false">ROUND('INVEST ET FINANCEMENT'!H$34,0)</f>
        <v>68854932</v>
      </c>
      <c r="I87" s="20" t="n">
        <v>0</v>
      </c>
      <c r="J87" s="20" t="n">
        <f aca="false">(D87-E87)+(F87-G87)-(H87-I87)</f>
        <v>0</v>
      </c>
    </row>
    <row r="88" customFormat="false" ht="15" hidden="false" customHeight="false" outlineLevel="0" collapsed="false">
      <c r="A88" s="33" t="n">
        <v>681303</v>
      </c>
      <c r="B88" s="12" t="s">
        <v>315</v>
      </c>
      <c r="C88" s="13" t="s">
        <v>313</v>
      </c>
      <c r="D88" s="20" t="n">
        <v>0</v>
      </c>
      <c r="E88" s="20" t="n">
        <v>0</v>
      </c>
      <c r="F88" s="20" t="n">
        <f aca="false">MAX(0,(H88-I88)-(D88-E88))</f>
        <v>5000000</v>
      </c>
      <c r="G88" s="20" t="n">
        <f aca="false">MAX(0,(D88-E88)-(H88-I88))</f>
        <v>0</v>
      </c>
      <c r="H88" s="15" t="n">
        <f aca="false">ROUND('INVEST ET FINANCEMENT'!H$37,0)</f>
        <v>5000000</v>
      </c>
      <c r="I88" s="20" t="n">
        <v>0</v>
      </c>
      <c r="J88" s="20" t="n">
        <f aca="false">(D88-E88)+(F88-G88)-(H88-I88)</f>
        <v>0</v>
      </c>
    </row>
    <row r="89" customFormat="false" ht="15" hidden="false" customHeight="false" outlineLevel="0" collapsed="false">
      <c r="A89" s="33" t="n">
        <v>681304</v>
      </c>
      <c r="B89" s="12" t="s">
        <v>316</v>
      </c>
      <c r="C89" s="13" t="s">
        <v>313</v>
      </c>
      <c r="D89" s="20" t="n">
        <v>0</v>
      </c>
      <c r="E89" s="20" t="n">
        <v>0</v>
      </c>
      <c r="F89" s="20" t="n">
        <f aca="false">MAX(0,(H89-I89)-(D89-E89))</f>
        <v>24093971</v>
      </c>
      <c r="G89" s="20" t="n">
        <f aca="false">MAX(0,(D89-E89)-(H89-I89))</f>
        <v>0</v>
      </c>
      <c r="H89" s="15" t="n">
        <f aca="false">ROUND('INVEST ET FINANCEMENT'!H$40,0)</f>
        <v>24093971</v>
      </c>
      <c r="I89" s="20" t="n">
        <v>0</v>
      </c>
      <c r="J89" s="20" t="n">
        <f aca="false">(D89-E89)+(F89-G89)-(H89-I89)</f>
        <v>0</v>
      </c>
    </row>
    <row r="90" customFormat="false" ht="15" hidden="false" customHeight="false" outlineLevel="0" collapsed="false">
      <c r="A90" s="33" t="n">
        <v>691100</v>
      </c>
      <c r="B90" s="12" t="s">
        <v>317</v>
      </c>
      <c r="C90" s="13" t="s">
        <v>313</v>
      </c>
      <c r="D90" s="20" t="n">
        <v>0</v>
      </c>
      <c r="E90" s="20" t="n">
        <v>0</v>
      </c>
      <c r="F90" s="20" t="n">
        <f aca="false">MAX(0,(H90-I90)-(D90-E90))</f>
        <v>6059296</v>
      </c>
      <c r="G90" s="20" t="n">
        <f aca="false">MAX(0,(D90-E90)-(H90-I90))</f>
        <v>0</v>
      </c>
      <c r="H90" s="15" t="n">
        <f aca="false">ROUND(HYPOTHESES!H$50,0)</f>
        <v>6059296</v>
      </c>
      <c r="I90" s="20" t="n">
        <v>0</v>
      </c>
      <c r="J90" s="20" t="n">
        <f aca="false">(D90-E90)+(F90-G90)-(H90-I90)</f>
        <v>0</v>
      </c>
    </row>
    <row r="91" customFormat="false" ht="15" hidden="false" customHeight="false" outlineLevel="0" collapsed="false">
      <c r="A91" s="28" t="n">
        <v>705100</v>
      </c>
      <c r="B91" s="29" t="s">
        <v>318</v>
      </c>
      <c r="C91" s="30" t="s">
        <v>319</v>
      </c>
      <c r="D91" s="32" t="n">
        <v>0</v>
      </c>
      <c r="E91" s="32" t="n">
        <v>0</v>
      </c>
      <c r="F91" s="32" t="n">
        <f aca="false">MAX(0,(H91-I91)-(D91-E91))</f>
        <v>0</v>
      </c>
      <c r="G91" s="32" t="n">
        <f aca="false">MAX(0,(D91-E91)-(H91-I91))</f>
        <v>911749493</v>
      </c>
      <c r="H91" s="32" t="n">
        <v>0</v>
      </c>
      <c r="I91" s="37" t="n">
        <f aca="false">ROUND(HYPOTHESES!H$42,0)</f>
        <v>911749493</v>
      </c>
      <c r="J91" s="32" t="n">
        <f aca="false">(D91-E91)+(F91-G91)-(H91-I91)</f>
        <v>0</v>
      </c>
    </row>
    <row r="92" customFormat="false" ht="15" hidden="false" customHeight="false" outlineLevel="0" collapsed="false">
      <c r="A92" s="33" t="n">
        <v>771200</v>
      </c>
      <c r="B92" s="12" t="s">
        <v>320</v>
      </c>
      <c r="C92" s="13" t="s">
        <v>321</v>
      </c>
      <c r="D92" s="20" t="n">
        <v>0</v>
      </c>
      <c r="E92" s="20" t="n">
        <v>0</v>
      </c>
      <c r="F92" s="20" t="n">
        <f aca="false">MAX(0,(H92-I92)-(D92-E92))</f>
        <v>0</v>
      </c>
      <c r="G92" s="20" t="n">
        <f aca="false">MAX(0,(D92-E92)-(H92-I92))</f>
        <v>848594</v>
      </c>
      <c r="H92" s="20" t="n">
        <v>0</v>
      </c>
      <c r="I92" s="15" t="n">
        <f aca="false">ROUND(HYPOTHESES!H$51,0)</f>
        <v>848594</v>
      </c>
      <c r="J92" s="20" t="n">
        <f aca="false">(D92-E92)+(F92-G92)-(H92-I92)</f>
        <v>0</v>
      </c>
    </row>
    <row r="93" customFormat="false" ht="15" hidden="false" customHeight="false" outlineLevel="0" collapsed="false">
      <c r="A93" s="28" t="n">
        <v>891100</v>
      </c>
      <c r="B93" s="29" t="s">
        <v>322</v>
      </c>
      <c r="C93" s="30" t="s">
        <v>323</v>
      </c>
      <c r="D93" s="32" t="n">
        <v>0</v>
      </c>
      <c r="E93" s="32" t="n">
        <v>0</v>
      </c>
      <c r="F93" s="32" t="n">
        <f aca="false">MAX(0,(H93-I93)-(D93-E93))</f>
        <v>36026715</v>
      </c>
      <c r="G93" s="32" t="n">
        <f aca="false">MAX(0,(D93-E93)-(H93-I93))</f>
        <v>0</v>
      </c>
      <c r="H93" s="37" t="n">
        <f aca="false">ROUND(IF(HYPOTHESES!H$54&gt;=HYPOTHESES!H$55,HYPOTHESES!H$56,0),0)</f>
        <v>36026715</v>
      </c>
      <c r="I93" s="32" t="n">
        <v>0</v>
      </c>
      <c r="J93" s="32" t="n">
        <f aca="false">(D93-E93)+(F93-G93)-(H93-I93)</f>
        <v>0</v>
      </c>
    </row>
    <row r="94" customFormat="false" ht="15" hidden="false" customHeight="false" outlineLevel="0" collapsed="false">
      <c r="A94" s="33" t="n">
        <v>895000</v>
      </c>
      <c r="B94" s="12" t="s">
        <v>324</v>
      </c>
      <c r="C94" s="13" t="s">
        <v>323</v>
      </c>
      <c r="D94" s="20" t="n">
        <v>0</v>
      </c>
      <c r="E94" s="20" t="n">
        <v>0</v>
      </c>
      <c r="F94" s="20" t="n">
        <f aca="false">MAX(0,(H94-I94)-(D94-E94))</f>
        <v>0</v>
      </c>
      <c r="G94" s="20" t="n">
        <f aca="false">MAX(0,(D94-E94)-(H94-I94))</f>
        <v>0</v>
      </c>
      <c r="H94" s="15" t="n">
        <f aca="false">ROUND(IF(HYPOTHESES!H$54&lt;HYPOTHESES!H$55,HYPOTHESES!H$56,0),0)</f>
        <v>0</v>
      </c>
      <c r="I94" s="20" t="n">
        <v>0</v>
      </c>
      <c r="J94" s="20" t="n">
        <f aca="false">(D94-E94)+(F94-G94)-(H94-I94)</f>
        <v>0</v>
      </c>
    </row>
    <row r="96" customFormat="false" ht="15" hidden="false" customHeight="false" outlineLevel="0" collapsed="false">
      <c r="A96" s="34"/>
      <c r="B96" s="35" t="s">
        <v>325</v>
      </c>
      <c r="C96" s="34"/>
      <c r="D96" s="36" t="n">
        <f aca="false">SUM(D5:D94)</f>
        <v>2352216431</v>
      </c>
      <c r="E96" s="36" t="n">
        <f aca="false">SUM(E5:E94)</f>
        <v>2352216431</v>
      </c>
      <c r="F96" s="36" t="n">
        <f aca="false">SUM(F5:F94)</f>
        <v>4413659972</v>
      </c>
      <c r="G96" s="36" t="n">
        <f aca="false">SUM(G5:G94)</f>
        <v>4413659972</v>
      </c>
      <c r="H96" s="36" t="n">
        <f aca="false">SUM(H5:H94)</f>
        <v>3365987115</v>
      </c>
      <c r="I96" s="36" t="n">
        <f aca="false">SUM(I5:I94)</f>
        <v>3365987115</v>
      </c>
      <c r="J96" s="36" t="n">
        <f aca="false">SUM(J5:J94)</f>
        <v>0</v>
      </c>
    </row>
    <row r="97" customFormat="false" ht="15" hidden="false" customHeight="false" outlineLevel="0" collapsed="false">
      <c r="B97" s="4" t="s">
        <v>326</v>
      </c>
      <c r="D97" s="21" t="n">
        <f aca="false">D96-E96</f>
        <v>0</v>
      </c>
      <c r="F97" s="21" t="n">
        <f aca="false">F96-G96</f>
        <v>0</v>
      </c>
      <c r="H97" s="21" t="n">
        <f aca="false">H96-I96</f>
        <v>0</v>
      </c>
    </row>
    <row r="99" customFormat="false" ht="15" hidden="false" customHeight="false" outlineLevel="0" collapsed="false">
      <c r="B99" s="7" t="s">
        <v>329</v>
      </c>
      <c r="H99" s="20" t="n">
        <f aca="false">-(SUM(H5:H44)-SUM(I5:I44)+SUM(H47:H94)-SUM(I47:I94))</f>
        <v>643390050</v>
      </c>
    </row>
    <row r="100" customFormat="false" ht="15" hidden="false" customHeight="false" outlineLevel="0" collapsed="false">
      <c r="B100" s="7" t="s">
        <v>330</v>
      </c>
      <c r="H100" s="20" t="n">
        <f aca="false">ROUND((G26+HYPOTHESES!H$51+'INVEST ET FINANCEMENT'!H$47+'INVEST ET FINANCEMENT'!H$51+(D45-E45)+(D46-E46)-H99)/(1-HYPOTHESES!H$29*(1-HYPOTHESES!H$30)),0)</f>
        <v>904268794</v>
      </c>
    </row>
    <row r="101" customFormat="false" ht="15" hidden="false" customHeight="false" outlineLevel="0" collapsed="false">
      <c r="B101" s="7" t="s">
        <v>331</v>
      </c>
      <c r="H101" s="20" t="n">
        <f aca="false">ROUND(HYPOTHESES!H$29*H100,0)</f>
        <v>180853759</v>
      </c>
    </row>
  </sheetData>
  <mergeCells count="4">
    <mergeCell ref="A1:J1"/>
    <mergeCell ref="D3:E3"/>
    <mergeCell ref="F3:G3"/>
    <mergeCell ref="H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ignoredErrors>
    <ignoredError sqref="A1:Z400" formula="1" formulaRange="1" unlockedFormula="1" numberStoredAsText="1" emptyCellReferenc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A1:I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2"/>
    <col collapsed="false" customWidth="true" hidden="false" outlineLevel="0" max="8" min="3" style="0" width="16"/>
    <col collapsed="false" customWidth="true" hidden="false" outlineLevel="0" max="9" min="9" style="0" width="13"/>
  </cols>
  <sheetData>
    <row r="1" customFormat="false" ht="24" hidden="false" customHeight="true" outlineLevel="0" collapsed="false">
      <c r="A1" s="1" t="s">
        <v>336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337</v>
      </c>
    </row>
    <row r="3" customFormat="false" ht="15" hidden="false" customHeight="false" outlineLevel="0" collapsed="false">
      <c r="A3" s="4" t="str">
        <f aca="false">"Entité : "&amp;HYPOTHESES!$C$4</f>
        <v>Entité : MON ENTREPRISE</v>
      </c>
    </row>
    <row r="5" customFormat="false" ht="15" hidden="false" customHeight="false" outlineLevel="0" collapsed="false">
      <c r="A5" s="27" t="s">
        <v>338</v>
      </c>
      <c r="B5" s="27" t="s">
        <v>339</v>
      </c>
      <c r="C5" s="27" t="str">
        <f aca="false">"Réel "&amp;HYPOTHESES!$C$5</f>
        <v>Réel 2024</v>
      </c>
      <c r="D5" s="38" t="n">
        <f aca="false">HYPOTHESES!$C$5+1</f>
        <v>2025</v>
      </c>
      <c r="E5" s="38" t="n">
        <f aca="false">HYPOTHESES!$C$5+2</f>
        <v>2026</v>
      </c>
      <c r="F5" s="38" t="n">
        <f aca="false">HYPOTHESES!$C$5+3</f>
        <v>2027</v>
      </c>
      <c r="G5" s="38" t="n">
        <f aca="false">HYPOTHESES!$C$5+4</f>
        <v>2028</v>
      </c>
      <c r="H5" s="38" t="n">
        <f aca="false">HYPOTHESES!$C$5+5</f>
        <v>2029</v>
      </c>
      <c r="I5" s="27" t="s">
        <v>340</v>
      </c>
    </row>
    <row r="6" customFormat="false" ht="15" hidden="false" customHeight="false" outlineLevel="0" collapsed="false">
      <c r="A6" s="13" t="s">
        <v>341</v>
      </c>
      <c r="B6" s="12" t="s">
        <v>342</v>
      </c>
      <c r="C6" s="15" t="n">
        <f aca="false">SUMIFS('BALANCE 2024'!$H:$H,'BALANCE 2024'!$C:$C,"AD")-(SUMIFS('BALANCE 2024'!$I:$I,'BALANCE 2024'!$C:$C,"AD"))</f>
        <v>0</v>
      </c>
      <c r="D6" s="15" t="n">
        <f aca="false">SUMIFS('BALANCE 2025'!$H:$H,'BALANCE 2025'!$C:$C,"AD")-(SUMIFS('BALANCE 2025'!$I:$I,'BALANCE 2025'!$C:$C,"AD"))</f>
        <v>0</v>
      </c>
      <c r="E6" s="15" t="n">
        <f aca="false">SUMIFS('BALANCE 2026'!$H:$H,'BALANCE 2026'!$C:$C,"AD")-(SUMIFS('BALANCE 2026'!$I:$I,'BALANCE 2026'!$C:$C,"AD"))</f>
        <v>0</v>
      </c>
      <c r="F6" s="15" t="n">
        <f aca="false">SUMIFS('BALANCE 2027'!$H:$H,'BALANCE 2027'!$C:$C,"AD")-(SUMIFS('BALANCE 2027'!$I:$I,'BALANCE 2027'!$C:$C,"AD"))</f>
        <v>0</v>
      </c>
      <c r="G6" s="15" t="n">
        <f aca="false">SUMIFS('BALANCE 2028'!$H:$H,'BALANCE 2028'!$C:$C,"AD")-(SUMIFS('BALANCE 2028'!$I:$I,'BALANCE 2028'!$C:$C,"AD"))</f>
        <v>0</v>
      </c>
      <c r="H6" s="15" t="n">
        <f aca="false">SUMIFS('BALANCE 2029'!$H:$H,'BALANCE 2029'!$C:$C,"AD")-(SUMIFS('BALANCE 2029'!$I:$I,'BALANCE 2029'!$C:$C,"AD"))</f>
        <v>0</v>
      </c>
    </row>
    <row r="7" customFormat="false" ht="15" hidden="false" customHeight="false" outlineLevel="0" collapsed="false">
      <c r="A7" s="13" t="s">
        <v>343</v>
      </c>
      <c r="B7" s="12" t="s">
        <v>344</v>
      </c>
      <c r="C7" s="15" t="n">
        <f aca="false">SUMIFS('BALANCE 2024'!$H:$H,'BALANCE 2024'!$C:$C,"AJ")-(SUMIFS('BALANCE 2024'!$I:$I,'BALANCE 2024'!$C:$C,"AJ"))</f>
        <v>0</v>
      </c>
      <c r="D7" s="15" t="n">
        <f aca="false">SUMIFS('BALANCE 2025'!$H:$H,'BALANCE 2025'!$C:$C,"AJ")-(SUMIFS('BALANCE 2025'!$I:$I,'BALANCE 2025'!$C:$C,"AJ"))</f>
        <v>0</v>
      </c>
      <c r="E7" s="15" t="n">
        <f aca="false">SUMIFS('BALANCE 2026'!$H:$H,'BALANCE 2026'!$C:$C,"AJ")-(SUMIFS('BALANCE 2026'!$I:$I,'BALANCE 2026'!$C:$C,"AJ"))</f>
        <v>0</v>
      </c>
      <c r="F7" s="15" t="n">
        <f aca="false">SUMIFS('BALANCE 2027'!$H:$H,'BALANCE 2027'!$C:$C,"AJ")-(SUMIFS('BALANCE 2027'!$I:$I,'BALANCE 2027'!$C:$C,"AJ"))</f>
        <v>0</v>
      </c>
      <c r="G7" s="15" t="n">
        <f aca="false">SUMIFS('BALANCE 2028'!$H:$H,'BALANCE 2028'!$C:$C,"AJ")-(SUMIFS('BALANCE 2028'!$I:$I,'BALANCE 2028'!$C:$C,"AJ"))</f>
        <v>0</v>
      </c>
      <c r="H7" s="15" t="n">
        <f aca="false">SUMIFS('BALANCE 2029'!$H:$H,'BALANCE 2029'!$C:$C,"AJ")-(SUMIFS('BALANCE 2029'!$I:$I,'BALANCE 2029'!$C:$C,"AJ"))</f>
        <v>0</v>
      </c>
    </row>
    <row r="8" customFormat="false" ht="15" hidden="false" customHeight="false" outlineLevel="0" collapsed="false">
      <c r="A8" s="13" t="s">
        <v>345</v>
      </c>
      <c r="B8" s="12" t="s">
        <v>346</v>
      </c>
      <c r="C8" s="15" t="n">
        <f aca="false">SUMIFS('BALANCE 2024'!$H:$H,'BALANCE 2024'!$C:$C,"AK")-(SUMIFS('BALANCE 2024'!$I:$I,'BALANCE 2024'!$C:$C,"AK"))</f>
        <v>0</v>
      </c>
      <c r="D8" s="15" t="n">
        <f aca="false">SUMIFS('BALANCE 2025'!$H:$H,'BALANCE 2025'!$C:$C,"AK")-(SUMIFS('BALANCE 2025'!$I:$I,'BALANCE 2025'!$C:$C,"AK"))</f>
        <v>0</v>
      </c>
      <c r="E8" s="15" t="n">
        <f aca="false">SUMIFS('BALANCE 2026'!$H:$H,'BALANCE 2026'!$C:$C,"AK")-(SUMIFS('BALANCE 2026'!$I:$I,'BALANCE 2026'!$C:$C,"AK"))</f>
        <v>0</v>
      </c>
      <c r="F8" s="15" t="n">
        <f aca="false">SUMIFS('BALANCE 2027'!$H:$H,'BALANCE 2027'!$C:$C,"AK")-(SUMIFS('BALANCE 2027'!$I:$I,'BALANCE 2027'!$C:$C,"AK"))</f>
        <v>0</v>
      </c>
      <c r="G8" s="15" t="n">
        <f aca="false">SUMIFS('BALANCE 2028'!$H:$H,'BALANCE 2028'!$C:$C,"AK")-(SUMIFS('BALANCE 2028'!$I:$I,'BALANCE 2028'!$C:$C,"AK"))</f>
        <v>0</v>
      </c>
      <c r="H8" s="15" t="n">
        <f aca="false">SUMIFS('BALANCE 2029'!$H:$H,'BALANCE 2029'!$C:$C,"AK")-(SUMIFS('BALANCE 2029'!$I:$I,'BALANCE 2029'!$C:$C,"AK"))</f>
        <v>0</v>
      </c>
    </row>
    <row r="9" customFormat="false" ht="15" hidden="false" customHeight="false" outlineLevel="0" collapsed="false">
      <c r="A9" s="13" t="s">
        <v>219</v>
      </c>
      <c r="B9" s="12" t="s">
        <v>347</v>
      </c>
      <c r="C9" s="15" t="n">
        <f aca="false">SUMIFS('BALANCE 2024'!$H:$H,'BALANCE 2024'!$C:$C,"AL")-(SUMIFS('BALANCE 2024'!$I:$I,'BALANCE 2024'!$C:$C,"AL"))</f>
        <v>61665016</v>
      </c>
      <c r="D9" s="15" t="n">
        <f aca="false">SUMIFS('BALANCE 2025'!$H:$H,'BALANCE 2025'!$C:$C,"AL")-(SUMIFS('BALANCE 2025'!$I:$I,'BALANCE 2025'!$C:$C,"AL"))</f>
        <v>42382171</v>
      </c>
      <c r="E9" s="15" t="n">
        <f aca="false">SUMIFS('BALANCE 2026'!$H:$H,'BALANCE 2026'!$C:$C,"AL")-(SUMIFS('BALANCE 2026'!$I:$I,'BALANCE 2026'!$C:$C,"AL"))</f>
        <v>23099326</v>
      </c>
      <c r="F9" s="15" t="n">
        <f aca="false">SUMIFS('BALANCE 2027'!$H:$H,'BALANCE 2027'!$C:$C,"AL")-(SUMIFS('BALANCE 2027'!$I:$I,'BALANCE 2027'!$C:$C,"AL"))</f>
        <v>3816481</v>
      </c>
      <c r="G9" s="15" t="n">
        <f aca="false">SUMIFS('BALANCE 2028'!$H:$H,'BALANCE 2028'!$C:$C,"AL")-(SUMIFS('BALANCE 2028'!$I:$I,'BALANCE 2028'!$C:$C,"AL"))</f>
        <v>0</v>
      </c>
      <c r="H9" s="15" t="n">
        <f aca="false">SUMIFS('BALANCE 2029'!$H:$H,'BALANCE 2029'!$C:$C,"AL")-(SUMIFS('BALANCE 2029'!$I:$I,'BALANCE 2029'!$C:$C,"AL"))</f>
        <v>0</v>
      </c>
    </row>
    <row r="10" customFormat="false" ht="15" hidden="false" customHeight="false" outlineLevel="0" collapsed="false">
      <c r="A10" s="13" t="s">
        <v>221</v>
      </c>
      <c r="B10" s="12" t="s">
        <v>348</v>
      </c>
      <c r="C10" s="15" t="n">
        <f aca="false">SUMIFS('BALANCE 2024'!$H:$H,'BALANCE 2024'!$C:$C,"AM")-(SUMIFS('BALANCE 2024'!$I:$I,'BALANCE 2024'!$C:$C,"AM"))</f>
        <v>267440561</v>
      </c>
      <c r="D10" s="15" t="n">
        <f aca="false">SUMIFS('BALANCE 2025'!$H:$H,'BALANCE 2025'!$C:$C,"AM")-(SUMIFS('BALANCE 2025'!$I:$I,'BALANCE 2025'!$C:$C,"AM"))</f>
        <v>234765624</v>
      </c>
      <c r="E10" s="15" t="n">
        <f aca="false">SUMIFS('BALANCE 2026'!$H:$H,'BALANCE 2026'!$C:$C,"AM")-(SUMIFS('BALANCE 2026'!$I:$I,'BALANCE 2026'!$C:$C,"AM"))</f>
        <v>211301519</v>
      </c>
      <c r="F10" s="15" t="n">
        <f aca="false">SUMIFS('BALANCE 2027'!$H:$H,'BALANCE 2027'!$C:$C,"AM")-(SUMIFS('BALANCE 2027'!$I:$I,'BALANCE 2027'!$C:$C,"AM"))</f>
        <v>184446587</v>
      </c>
      <c r="G10" s="15" t="n">
        <f aca="false">SUMIFS('BALANCE 2028'!$H:$H,'BALANCE 2028'!$C:$C,"AM")-(SUMIFS('BALANCE 2028'!$I:$I,'BALANCE 2028'!$C:$C,"AM"))</f>
        <v>151591655</v>
      </c>
      <c r="H10" s="15" t="n">
        <f aca="false">SUMIFS('BALANCE 2029'!$H:$H,'BALANCE 2029'!$C:$C,"AM")-(SUMIFS('BALANCE 2029'!$I:$I,'BALANCE 2029'!$C:$C,"AM"))</f>
        <v>112736723</v>
      </c>
    </row>
    <row r="11" customFormat="false" ht="15" hidden="false" customHeight="false" outlineLevel="0" collapsed="false">
      <c r="A11" s="13" t="s">
        <v>225</v>
      </c>
      <c r="B11" s="12" t="s">
        <v>119</v>
      </c>
      <c r="C11" s="15" t="n">
        <f aca="false">SUMIFS('BALANCE 2024'!$H:$H,'BALANCE 2024'!$C:$C,"AN")-(SUMIFS('BALANCE 2024'!$I:$I,'BALANCE 2024'!$C:$C,"AN"))</f>
        <v>73755603</v>
      </c>
      <c r="D11" s="15" t="n">
        <f aca="false">SUMIFS('BALANCE 2025'!$H:$H,'BALANCE 2025'!$C:$C,"AN")-(SUMIFS('BALANCE 2025'!$I:$I,'BALANCE 2025'!$C:$C,"AN"))</f>
        <v>70390445</v>
      </c>
      <c r="E11" s="15" t="n">
        <f aca="false">SUMIFS('BALANCE 2026'!$H:$H,'BALANCE 2026'!$C:$C,"AN")-(SUMIFS('BALANCE 2026'!$I:$I,'BALANCE 2026'!$C:$C,"AN"))</f>
        <v>54432067</v>
      </c>
      <c r="F11" s="15" t="n">
        <f aca="false">SUMIFS('BALANCE 2027'!$H:$H,'BALANCE 2027'!$C:$C,"AN")-(SUMIFS('BALANCE 2027'!$I:$I,'BALANCE 2027'!$C:$C,"AN"))</f>
        <v>38473689</v>
      </c>
      <c r="G11" s="15" t="n">
        <f aca="false">SUMIFS('BALANCE 2028'!$H:$H,'BALANCE 2028'!$C:$C,"AN")-(SUMIFS('BALANCE 2028'!$I:$I,'BALANCE 2028'!$C:$C,"AN"))</f>
        <v>54379718</v>
      </c>
      <c r="H11" s="15" t="n">
        <f aca="false">SUMIFS('BALANCE 2029'!$H:$H,'BALANCE 2029'!$C:$C,"AN")-(SUMIFS('BALANCE 2029'!$I:$I,'BALANCE 2029'!$C:$C,"AN"))</f>
        <v>30285747</v>
      </c>
    </row>
    <row r="12" customFormat="false" ht="15" hidden="false" customHeight="false" outlineLevel="0" collapsed="false">
      <c r="A12" s="35" t="s">
        <v>147</v>
      </c>
      <c r="B12" s="35" t="s">
        <v>349</v>
      </c>
      <c r="C12" s="36" t="n">
        <f aca="false">C7+C8+C9+C10+C11</f>
        <v>402861180</v>
      </c>
      <c r="D12" s="36" t="n">
        <f aca="false">D7+D8+D9+D10+D11</f>
        <v>347538240</v>
      </c>
      <c r="E12" s="36" t="n">
        <f aca="false">E7+E8+E9+E10+E11</f>
        <v>288832912</v>
      </c>
      <c r="F12" s="36" t="n">
        <f aca="false">F7+F8+F9+F10+F11</f>
        <v>226736757</v>
      </c>
      <c r="G12" s="36" t="n">
        <f aca="false">G7+G8+G9+G10+G11</f>
        <v>205971373</v>
      </c>
      <c r="H12" s="36" t="n">
        <f aca="false">H7+H8+H9+H10+H11</f>
        <v>143022470</v>
      </c>
      <c r="I12" s="34"/>
    </row>
    <row r="13" customFormat="false" ht="15" hidden="false" customHeight="false" outlineLevel="0" collapsed="false">
      <c r="A13" s="13" t="s">
        <v>350</v>
      </c>
      <c r="B13" s="12" t="s">
        <v>351</v>
      </c>
      <c r="C13" s="15" t="n">
        <f aca="false">SUMIFS('BALANCE 2024'!$H:$H,'BALANCE 2024'!$C:$C,"AP")-(SUMIFS('BALANCE 2024'!$I:$I,'BALANCE 2024'!$C:$C,"AP"))</f>
        <v>0</v>
      </c>
      <c r="D13" s="15" t="n">
        <f aca="false">SUMIFS('BALANCE 2025'!$H:$H,'BALANCE 2025'!$C:$C,"AP")-(SUMIFS('BALANCE 2025'!$I:$I,'BALANCE 2025'!$C:$C,"AP"))</f>
        <v>0</v>
      </c>
      <c r="E13" s="15" t="n">
        <f aca="false">SUMIFS('BALANCE 2026'!$H:$H,'BALANCE 2026'!$C:$C,"AP")-(SUMIFS('BALANCE 2026'!$I:$I,'BALANCE 2026'!$C:$C,"AP"))</f>
        <v>0</v>
      </c>
      <c r="F13" s="15" t="n">
        <f aca="false">SUMIFS('BALANCE 2027'!$H:$H,'BALANCE 2027'!$C:$C,"AP")-(SUMIFS('BALANCE 2027'!$I:$I,'BALANCE 2027'!$C:$C,"AP"))</f>
        <v>0</v>
      </c>
      <c r="G13" s="15" t="n">
        <f aca="false">SUMIFS('BALANCE 2028'!$H:$H,'BALANCE 2028'!$C:$C,"AP")-(SUMIFS('BALANCE 2028'!$I:$I,'BALANCE 2028'!$C:$C,"AP"))</f>
        <v>0</v>
      </c>
      <c r="H13" s="15" t="n">
        <f aca="false">SUMIFS('BALANCE 2029'!$H:$H,'BALANCE 2029'!$C:$C,"AP")-(SUMIFS('BALANCE 2029'!$I:$I,'BALANCE 2029'!$C:$C,"AP"))</f>
        <v>0</v>
      </c>
    </row>
    <row r="14" customFormat="false" ht="15" hidden="false" customHeight="false" outlineLevel="0" collapsed="false">
      <c r="A14" s="13" t="s">
        <v>352</v>
      </c>
      <c r="B14" s="12" t="s">
        <v>353</v>
      </c>
      <c r="C14" s="15" t="n">
        <f aca="false">SUMIFS('BALANCE 2024'!$H:$H,'BALANCE 2024'!$C:$C,"AR")-(SUMIFS('BALANCE 2024'!$I:$I,'BALANCE 2024'!$C:$C,"AR"))</f>
        <v>0</v>
      </c>
      <c r="D14" s="15" t="n">
        <f aca="false">SUMIFS('BALANCE 2025'!$H:$H,'BALANCE 2025'!$C:$C,"AR")-(SUMIFS('BALANCE 2025'!$I:$I,'BALANCE 2025'!$C:$C,"AR"))</f>
        <v>0</v>
      </c>
      <c r="E14" s="15" t="n">
        <f aca="false">SUMIFS('BALANCE 2026'!$H:$H,'BALANCE 2026'!$C:$C,"AR")-(SUMIFS('BALANCE 2026'!$I:$I,'BALANCE 2026'!$C:$C,"AR"))</f>
        <v>0</v>
      </c>
      <c r="F14" s="15" t="n">
        <f aca="false">SUMIFS('BALANCE 2027'!$H:$H,'BALANCE 2027'!$C:$C,"AR")-(SUMIFS('BALANCE 2027'!$I:$I,'BALANCE 2027'!$C:$C,"AR"))</f>
        <v>0</v>
      </c>
      <c r="G14" s="15" t="n">
        <f aca="false">SUMIFS('BALANCE 2028'!$H:$H,'BALANCE 2028'!$C:$C,"AR")-(SUMIFS('BALANCE 2028'!$I:$I,'BALANCE 2028'!$C:$C,"AR"))</f>
        <v>0</v>
      </c>
      <c r="H14" s="15" t="n">
        <f aca="false">SUMIFS('BALANCE 2029'!$H:$H,'BALANCE 2029'!$C:$C,"AR")-(SUMIFS('BALANCE 2029'!$I:$I,'BALANCE 2029'!$C:$C,"AR"))</f>
        <v>0</v>
      </c>
    </row>
    <row r="15" customFormat="false" ht="15" hidden="false" customHeight="false" outlineLevel="0" collapsed="false">
      <c r="A15" s="13" t="s">
        <v>228</v>
      </c>
      <c r="B15" s="12" t="s">
        <v>354</v>
      </c>
      <c r="C15" s="15" t="n">
        <f aca="false">SUMIFS('BALANCE 2024'!$H:$H,'BALANCE 2024'!$C:$C,"AS")-(SUMIFS('BALANCE 2024'!$I:$I,'BALANCE 2024'!$C:$C,"AS"))</f>
        <v>256420138</v>
      </c>
      <c r="D15" s="15" t="n">
        <f aca="false">SUMIFS('BALANCE 2025'!$H:$H,'BALANCE 2025'!$C:$C,"AS")-(SUMIFS('BALANCE 2025'!$I:$I,'BALANCE 2025'!$C:$C,"AS"))</f>
        <v>256420138</v>
      </c>
      <c r="E15" s="15" t="n">
        <f aca="false">SUMIFS('BALANCE 2026'!$H:$H,'BALANCE 2026'!$C:$C,"AS")-(SUMIFS('BALANCE 2026'!$I:$I,'BALANCE 2026'!$C:$C,"AS"))</f>
        <v>256420138</v>
      </c>
      <c r="F15" s="15" t="n">
        <f aca="false">SUMIFS('BALANCE 2027'!$H:$H,'BALANCE 2027'!$C:$C,"AS")-(SUMIFS('BALANCE 2027'!$I:$I,'BALANCE 2027'!$C:$C,"AS"))</f>
        <v>256420138</v>
      </c>
      <c r="G15" s="15" t="n">
        <f aca="false">SUMIFS('BALANCE 2028'!$H:$H,'BALANCE 2028'!$C:$C,"AS")-(SUMIFS('BALANCE 2028'!$I:$I,'BALANCE 2028'!$C:$C,"AS"))</f>
        <v>256420138</v>
      </c>
      <c r="H15" s="15" t="n">
        <f aca="false">SUMIFS('BALANCE 2029'!$H:$H,'BALANCE 2029'!$C:$C,"AS")-(SUMIFS('BALANCE 2029'!$I:$I,'BALANCE 2029'!$C:$C,"AS"))</f>
        <v>256420138</v>
      </c>
    </row>
    <row r="16" customFormat="false" ht="15" hidden="false" customHeight="false" outlineLevel="0" collapsed="false">
      <c r="A16" s="35" t="s">
        <v>355</v>
      </c>
      <c r="B16" s="35" t="s">
        <v>356</v>
      </c>
      <c r="C16" s="36" t="n">
        <f aca="false">C14+C15</f>
        <v>256420138</v>
      </c>
      <c r="D16" s="36" t="n">
        <f aca="false">D14+D15</f>
        <v>256420138</v>
      </c>
      <c r="E16" s="36" t="n">
        <f aca="false">E14+E15</f>
        <v>256420138</v>
      </c>
      <c r="F16" s="36" t="n">
        <f aca="false">F14+F15</f>
        <v>256420138</v>
      </c>
      <c r="G16" s="36" t="n">
        <f aca="false">G14+G15</f>
        <v>256420138</v>
      </c>
      <c r="H16" s="36" t="n">
        <f aca="false">H14+H15</f>
        <v>256420138</v>
      </c>
      <c r="I16" s="34"/>
    </row>
    <row r="17" customFormat="false" ht="15" hidden="false" customHeight="false" outlineLevel="0" collapsed="false">
      <c r="A17" s="35" t="s">
        <v>357</v>
      </c>
      <c r="B17" s="35" t="s">
        <v>358</v>
      </c>
      <c r="C17" s="36" t="n">
        <f aca="false">C6+C12+C13+C16</f>
        <v>659281318</v>
      </c>
      <c r="D17" s="36" t="n">
        <f aca="false">D6+D12+D13+D16</f>
        <v>603958378</v>
      </c>
      <c r="E17" s="36" t="n">
        <f aca="false">E6+E12+E13+E16</f>
        <v>545253050</v>
      </c>
      <c r="F17" s="36" t="n">
        <f aca="false">F6+F12+F13+F16</f>
        <v>483156895</v>
      </c>
      <c r="G17" s="36" t="n">
        <f aca="false">G6+G12+G13+G16</f>
        <v>462391511</v>
      </c>
      <c r="H17" s="36" t="n">
        <f aca="false">H6+H12+H13+H16</f>
        <v>399442608</v>
      </c>
      <c r="I17" s="39" t="n">
        <f aca="false">IF(OR(C17&lt;=0,H17&lt;=0),"",(H17/C17)^(1/5)-1)</f>
        <v>-0.0953580481298627</v>
      </c>
    </row>
    <row r="18" customFormat="false" ht="15" hidden="false" customHeight="false" outlineLevel="0" collapsed="false">
      <c r="A18" s="13" t="s">
        <v>359</v>
      </c>
      <c r="B18" s="12" t="s">
        <v>360</v>
      </c>
      <c r="C18" s="15" t="n">
        <f aca="false">SUMIFS('BALANCE 2024'!$H:$H,'BALANCE 2024'!$C:$C,"BA")-(SUMIFS('BALANCE 2024'!$I:$I,'BALANCE 2024'!$C:$C,"BA"))</f>
        <v>0</v>
      </c>
      <c r="D18" s="15" t="n">
        <f aca="false">SUMIFS('BALANCE 2025'!$H:$H,'BALANCE 2025'!$C:$C,"BA")-(SUMIFS('BALANCE 2025'!$I:$I,'BALANCE 2025'!$C:$C,"BA"))</f>
        <v>0</v>
      </c>
      <c r="E18" s="15" t="n">
        <f aca="false">SUMIFS('BALANCE 2026'!$H:$H,'BALANCE 2026'!$C:$C,"BA")-(SUMIFS('BALANCE 2026'!$I:$I,'BALANCE 2026'!$C:$C,"BA"))</f>
        <v>0</v>
      </c>
      <c r="F18" s="15" t="n">
        <f aca="false">SUMIFS('BALANCE 2027'!$H:$H,'BALANCE 2027'!$C:$C,"BA")-(SUMIFS('BALANCE 2027'!$I:$I,'BALANCE 2027'!$C:$C,"BA"))</f>
        <v>0</v>
      </c>
      <c r="G18" s="15" t="n">
        <f aca="false">SUMIFS('BALANCE 2028'!$H:$H,'BALANCE 2028'!$C:$C,"BA")-(SUMIFS('BALANCE 2028'!$I:$I,'BALANCE 2028'!$C:$C,"BA"))</f>
        <v>0</v>
      </c>
      <c r="H18" s="15" t="n">
        <f aca="false">SUMIFS('BALANCE 2029'!$H:$H,'BALANCE 2029'!$C:$C,"BA")-(SUMIFS('BALANCE 2029'!$I:$I,'BALANCE 2029'!$C:$C,"BA"))</f>
        <v>0</v>
      </c>
    </row>
    <row r="19" customFormat="false" ht="15" hidden="false" customHeight="false" outlineLevel="0" collapsed="false">
      <c r="A19" s="13" t="s">
        <v>361</v>
      </c>
      <c r="B19" s="12" t="s">
        <v>362</v>
      </c>
      <c r="C19" s="15" t="n">
        <f aca="false">SUMIFS('BALANCE 2024'!$H:$H,'BALANCE 2024'!$C:$C,"BB")-(SUMIFS('BALANCE 2024'!$I:$I,'BALANCE 2024'!$C:$C,"BB"))</f>
        <v>0</v>
      </c>
      <c r="D19" s="15" t="n">
        <f aca="false">SUMIFS('BALANCE 2025'!$H:$H,'BALANCE 2025'!$C:$C,"BB")-(SUMIFS('BALANCE 2025'!$I:$I,'BALANCE 2025'!$C:$C,"BB"))</f>
        <v>0</v>
      </c>
      <c r="E19" s="15" t="n">
        <f aca="false">SUMIFS('BALANCE 2026'!$H:$H,'BALANCE 2026'!$C:$C,"BB")-(SUMIFS('BALANCE 2026'!$I:$I,'BALANCE 2026'!$C:$C,"BB"))</f>
        <v>0</v>
      </c>
      <c r="F19" s="15" t="n">
        <f aca="false">SUMIFS('BALANCE 2027'!$H:$H,'BALANCE 2027'!$C:$C,"BB")-(SUMIFS('BALANCE 2027'!$I:$I,'BALANCE 2027'!$C:$C,"BB"))</f>
        <v>0</v>
      </c>
      <c r="G19" s="15" t="n">
        <f aca="false">SUMIFS('BALANCE 2028'!$H:$H,'BALANCE 2028'!$C:$C,"BB")-(SUMIFS('BALANCE 2028'!$I:$I,'BALANCE 2028'!$C:$C,"BB"))</f>
        <v>0</v>
      </c>
      <c r="H19" s="15" t="n">
        <f aca="false">SUMIFS('BALANCE 2029'!$H:$H,'BALANCE 2029'!$C:$C,"BB")-(SUMIFS('BALANCE 2029'!$I:$I,'BALANCE 2029'!$C:$C,"BB"))</f>
        <v>0</v>
      </c>
    </row>
    <row r="20" customFormat="false" ht="15" hidden="false" customHeight="false" outlineLevel="0" collapsed="false">
      <c r="A20" s="13" t="s">
        <v>237</v>
      </c>
      <c r="B20" s="12" t="s">
        <v>363</v>
      </c>
      <c r="C20" s="15" t="n">
        <f aca="false">SUMIFS('BALANCE 2024'!$H:$H,'BALANCE 2024'!$C:$C,"BH")-(SUMIFS('BALANCE 2024'!$I:$I,'BALANCE 2024'!$C:$C,"BH"))</f>
        <v>0</v>
      </c>
      <c r="D20" s="15" t="n">
        <f aca="false">SUMIFS('BALANCE 2025'!$H:$H,'BALANCE 2025'!$C:$C,"BH")-(SUMIFS('BALANCE 2025'!$I:$I,'BALANCE 2025'!$C:$C,"BH"))</f>
        <v>0</v>
      </c>
      <c r="E20" s="15" t="n">
        <f aca="false">SUMIFS('BALANCE 2026'!$H:$H,'BALANCE 2026'!$C:$C,"BH")-(SUMIFS('BALANCE 2026'!$I:$I,'BALANCE 2026'!$C:$C,"BH"))</f>
        <v>0</v>
      </c>
      <c r="F20" s="15" t="n">
        <f aca="false">SUMIFS('BALANCE 2027'!$H:$H,'BALANCE 2027'!$C:$C,"BH")-(SUMIFS('BALANCE 2027'!$I:$I,'BALANCE 2027'!$C:$C,"BH"))</f>
        <v>0</v>
      </c>
      <c r="G20" s="15" t="n">
        <f aca="false">SUMIFS('BALANCE 2028'!$H:$H,'BALANCE 2028'!$C:$C,"BH")-(SUMIFS('BALANCE 2028'!$I:$I,'BALANCE 2028'!$C:$C,"BH"))</f>
        <v>0</v>
      </c>
      <c r="H20" s="15" t="n">
        <f aca="false">SUMIFS('BALANCE 2029'!$H:$H,'BALANCE 2029'!$C:$C,"BH")-(SUMIFS('BALANCE 2029'!$I:$I,'BALANCE 2029'!$C:$C,"BH"))</f>
        <v>0</v>
      </c>
    </row>
    <row r="21" customFormat="false" ht="15" hidden="false" customHeight="false" outlineLevel="0" collapsed="false">
      <c r="A21" s="13" t="s">
        <v>239</v>
      </c>
      <c r="B21" s="12" t="s">
        <v>364</v>
      </c>
      <c r="C21" s="15" t="n">
        <f aca="false">SUMIFS('BALANCE 2024'!$H:$H,'BALANCE 2024'!$C:$C,"BI")-(SUMIFS('BALANCE 2024'!$I:$I,'BALANCE 2024'!$C:$C,"BI"))</f>
        <v>452271396</v>
      </c>
      <c r="D21" s="15" t="n">
        <f aca="false">SUMIFS('BALANCE 2025'!$H:$H,'BALANCE 2025'!$C:$C,"BI")-(SUMIFS('BALANCE 2025'!$I:$I,'BALANCE 2025'!$C:$C,"BI"))</f>
        <v>467144717</v>
      </c>
      <c r="E21" s="15" t="n">
        <f aca="false">SUMIFS('BALANCE 2026'!$H:$H,'BALANCE 2026'!$C:$C,"BI")-(SUMIFS('BALANCE 2026'!$I:$I,'BALANCE 2026'!$C:$C,"BI"))</f>
        <v>508573077</v>
      </c>
      <c r="F21" s="15" t="n">
        <f aca="false">SUMIFS('BALANCE 2027'!$H:$H,'BALANCE 2027'!$C:$C,"BI")-(SUMIFS('BALANCE 2027'!$I:$I,'BALANCE 2027'!$C:$C,"BI"))</f>
        <v>534001731</v>
      </c>
      <c r="G21" s="15" t="n">
        <f aca="false">SUMIFS('BALANCE 2028'!$H:$H,'BALANCE 2028'!$C:$C,"BI")-(SUMIFS('BALANCE 2028'!$I:$I,'BALANCE 2028'!$C:$C,"BI"))</f>
        <v>560701818</v>
      </c>
      <c r="H21" s="15" t="n">
        <f aca="false">SUMIFS('BALANCE 2029'!$H:$H,'BALANCE 2029'!$C:$C,"BI")-(SUMIFS('BALANCE 2029'!$I:$I,'BALANCE 2029'!$C:$C,"BI"))</f>
        <v>588736909</v>
      </c>
    </row>
    <row r="22" customFormat="false" ht="15" hidden="false" customHeight="false" outlineLevel="0" collapsed="false">
      <c r="A22" s="13" t="s">
        <v>365</v>
      </c>
      <c r="B22" s="12" t="s">
        <v>366</v>
      </c>
      <c r="C22" s="15" t="n">
        <f aca="false">SUMIFS('BALANCE 2024'!$H:$H,'BALANCE 2024'!$C:$C,"BJ")+SUMIFS('BALANCE 2024'!$H:$H,'BALANCE 2024'!$C:$C,"DMBJ")-(SUMIFS('BALANCE 2024'!$I:$I,'BALANCE 2024'!$C:$C,"BJ"))</f>
        <v>0</v>
      </c>
      <c r="D22" s="15" t="n">
        <f aca="false">SUMIFS('BALANCE 2025'!$H:$H,'BALANCE 2025'!$C:$C,"BJ")+SUMIFS('BALANCE 2025'!$H:$H,'BALANCE 2025'!$C:$C,"DMBJ")-(SUMIFS('BALANCE 2025'!$I:$I,'BALANCE 2025'!$C:$C,"BJ"))</f>
        <v>0</v>
      </c>
      <c r="E22" s="15" t="n">
        <f aca="false">SUMIFS('BALANCE 2026'!$H:$H,'BALANCE 2026'!$C:$C,"BJ")+SUMIFS('BALANCE 2026'!$H:$H,'BALANCE 2026'!$C:$C,"DMBJ")-(SUMIFS('BALANCE 2026'!$I:$I,'BALANCE 2026'!$C:$C,"BJ"))</f>
        <v>0</v>
      </c>
      <c r="F22" s="15" t="n">
        <f aca="false">SUMIFS('BALANCE 2027'!$H:$H,'BALANCE 2027'!$C:$C,"BJ")+SUMIFS('BALANCE 2027'!$H:$H,'BALANCE 2027'!$C:$C,"DMBJ")-(SUMIFS('BALANCE 2027'!$I:$I,'BALANCE 2027'!$C:$C,"BJ"))</f>
        <v>0</v>
      </c>
      <c r="G22" s="15" t="n">
        <f aca="false">SUMIFS('BALANCE 2028'!$H:$H,'BALANCE 2028'!$C:$C,"BJ")+SUMIFS('BALANCE 2028'!$H:$H,'BALANCE 2028'!$C:$C,"DMBJ")-(SUMIFS('BALANCE 2028'!$I:$I,'BALANCE 2028'!$C:$C,"BJ"))</f>
        <v>0</v>
      </c>
      <c r="H22" s="15" t="n">
        <f aca="false">SUMIFS('BALANCE 2029'!$H:$H,'BALANCE 2029'!$C:$C,"BJ")+SUMIFS('BALANCE 2029'!$H:$H,'BALANCE 2029'!$C:$C,"DMBJ")-(SUMIFS('BALANCE 2029'!$I:$I,'BALANCE 2029'!$C:$C,"BJ"))</f>
        <v>0</v>
      </c>
    </row>
    <row r="23" customFormat="false" ht="15" hidden="false" customHeight="false" outlineLevel="0" collapsed="false">
      <c r="A23" s="35" t="s">
        <v>367</v>
      </c>
      <c r="B23" s="35" t="s">
        <v>368</v>
      </c>
      <c r="C23" s="36" t="n">
        <f aca="false">C20+C21+C22</f>
        <v>452271396</v>
      </c>
      <c r="D23" s="36" t="n">
        <f aca="false">D20+D21+D22</f>
        <v>467144717</v>
      </c>
      <c r="E23" s="36" t="n">
        <f aca="false">E20+E21+E22</f>
        <v>508573077</v>
      </c>
      <c r="F23" s="36" t="n">
        <f aca="false">F20+F21+F22</f>
        <v>534001731</v>
      </c>
      <c r="G23" s="36" t="n">
        <f aca="false">G20+G21+G22</f>
        <v>560701818</v>
      </c>
      <c r="H23" s="36" t="n">
        <f aca="false">H20+H21+H22</f>
        <v>588736909</v>
      </c>
      <c r="I23" s="34"/>
    </row>
    <row r="24" customFormat="false" ht="15" hidden="false" customHeight="false" outlineLevel="0" collapsed="false">
      <c r="A24" s="35" t="s">
        <v>369</v>
      </c>
      <c r="B24" s="35" t="s">
        <v>370</v>
      </c>
      <c r="C24" s="36" t="n">
        <f aca="false">C18+C19+C23</f>
        <v>452271396</v>
      </c>
      <c r="D24" s="36" t="n">
        <f aca="false">D18+D19+D23</f>
        <v>467144717</v>
      </c>
      <c r="E24" s="36" t="n">
        <f aca="false">E18+E19+E23</f>
        <v>508573077</v>
      </c>
      <c r="F24" s="36" t="n">
        <f aca="false">F18+F19+F23</f>
        <v>534001731</v>
      </c>
      <c r="G24" s="36" t="n">
        <f aca="false">G18+G19+G23</f>
        <v>560701818</v>
      </c>
      <c r="H24" s="36" t="n">
        <f aca="false">H18+H19+H23</f>
        <v>588736909</v>
      </c>
      <c r="I24" s="39" t="n">
        <f aca="false">IF(OR(C24&lt;=0,H24&lt;=0),"",(H24/C24)^(1/5)-1)</f>
        <v>0.0541548916146981</v>
      </c>
    </row>
    <row r="25" customFormat="false" ht="15" hidden="false" customHeight="false" outlineLevel="0" collapsed="false">
      <c r="A25" s="13" t="s">
        <v>371</v>
      </c>
      <c r="B25" s="12" t="s">
        <v>372</v>
      </c>
      <c r="C25" s="15" t="n">
        <f aca="false">SUMIFS('BALANCE 2024'!$H:$H,'BALANCE 2024'!$C:$C,"BQ")-(SUMIFS('BALANCE 2024'!$I:$I,'BALANCE 2024'!$C:$C,"BQ"))</f>
        <v>0</v>
      </c>
      <c r="D25" s="15" t="n">
        <f aca="false">SUMIFS('BALANCE 2025'!$H:$H,'BALANCE 2025'!$C:$C,"BQ")-(SUMIFS('BALANCE 2025'!$I:$I,'BALANCE 2025'!$C:$C,"BQ"))</f>
        <v>0</v>
      </c>
      <c r="E25" s="15" t="n">
        <f aca="false">SUMIFS('BALANCE 2026'!$H:$H,'BALANCE 2026'!$C:$C,"BQ")-(SUMIFS('BALANCE 2026'!$I:$I,'BALANCE 2026'!$C:$C,"BQ"))</f>
        <v>0</v>
      </c>
      <c r="F25" s="15" t="n">
        <f aca="false">SUMIFS('BALANCE 2027'!$H:$H,'BALANCE 2027'!$C:$C,"BQ")-(SUMIFS('BALANCE 2027'!$I:$I,'BALANCE 2027'!$C:$C,"BQ"))</f>
        <v>0</v>
      </c>
      <c r="G25" s="15" t="n">
        <f aca="false">SUMIFS('BALANCE 2028'!$H:$H,'BALANCE 2028'!$C:$C,"BQ")-(SUMIFS('BALANCE 2028'!$I:$I,'BALANCE 2028'!$C:$C,"BQ"))</f>
        <v>0</v>
      </c>
      <c r="H25" s="15" t="n">
        <f aca="false">SUMIFS('BALANCE 2029'!$H:$H,'BALANCE 2029'!$C:$C,"BQ")-(SUMIFS('BALANCE 2029'!$I:$I,'BALANCE 2029'!$C:$C,"BQ"))</f>
        <v>0</v>
      </c>
    </row>
    <row r="26" customFormat="false" ht="15" hidden="false" customHeight="false" outlineLevel="0" collapsed="false">
      <c r="A26" s="13" t="s">
        <v>373</v>
      </c>
      <c r="B26" s="12" t="s">
        <v>374</v>
      </c>
      <c r="C26" s="15" t="n">
        <f aca="false">SUMIFS('BALANCE 2024'!$H:$H,'BALANCE 2024'!$C:$C,"BR")-(SUMIFS('BALANCE 2024'!$I:$I,'BALANCE 2024'!$C:$C,"BR"))</f>
        <v>0</v>
      </c>
      <c r="D26" s="15" t="n">
        <f aca="false">SUMIFS('BALANCE 2025'!$H:$H,'BALANCE 2025'!$C:$C,"BR")-(SUMIFS('BALANCE 2025'!$I:$I,'BALANCE 2025'!$C:$C,"BR"))</f>
        <v>0</v>
      </c>
      <c r="E26" s="15" t="n">
        <f aca="false">SUMIFS('BALANCE 2026'!$H:$H,'BALANCE 2026'!$C:$C,"BR")-(SUMIFS('BALANCE 2026'!$I:$I,'BALANCE 2026'!$C:$C,"BR"))</f>
        <v>0</v>
      </c>
      <c r="F26" s="15" t="n">
        <f aca="false">SUMIFS('BALANCE 2027'!$H:$H,'BALANCE 2027'!$C:$C,"BR")-(SUMIFS('BALANCE 2027'!$I:$I,'BALANCE 2027'!$C:$C,"BR"))</f>
        <v>0</v>
      </c>
      <c r="G26" s="15" t="n">
        <f aca="false">SUMIFS('BALANCE 2028'!$H:$H,'BALANCE 2028'!$C:$C,"BR")-(SUMIFS('BALANCE 2028'!$I:$I,'BALANCE 2028'!$C:$C,"BR"))</f>
        <v>0</v>
      </c>
      <c r="H26" s="15" t="n">
        <f aca="false">SUMIFS('BALANCE 2029'!$H:$H,'BALANCE 2029'!$C:$C,"BR")-(SUMIFS('BALANCE 2029'!$I:$I,'BALANCE 2029'!$C:$C,"BR"))</f>
        <v>0</v>
      </c>
    </row>
    <row r="27" customFormat="false" ht="15" hidden="false" customHeight="false" outlineLevel="0" collapsed="false">
      <c r="A27" s="13" t="s">
        <v>265</v>
      </c>
      <c r="B27" s="12" t="s">
        <v>375</v>
      </c>
      <c r="C27" s="15" t="n">
        <f aca="false">SUMIFS('BALANCE 2024'!$H:$H,'BALANCE 2024'!$C:$C,"BS")+SUMIFS('BALANCE 2024'!$H:$H,'BALANCE 2024'!$C:$C,"TRESO")-(SUMIFS('BALANCE 2024'!$I:$I,'BALANCE 2024'!$C:$C,"BS"))</f>
        <v>128133958</v>
      </c>
      <c r="D27" s="15" t="n">
        <f aca="false">SUMIFS('BALANCE 2025'!$H:$H,'BALANCE 2025'!$C:$C,"BS")+SUMIFS('BALANCE 2025'!$H:$H,'BALANCE 2025'!$C:$C,"TRESO")-(SUMIFS('BALANCE 2025'!$I:$I,'BALANCE 2025'!$C:$C,"BS"))</f>
        <v>154325995</v>
      </c>
      <c r="E27" s="15" t="n">
        <f aca="false">SUMIFS('BALANCE 2026'!$H:$H,'BALANCE 2026'!$C:$C,"BS")+SUMIFS('BALANCE 2026'!$H:$H,'BALANCE 2026'!$C:$C,"TRESO")-(SUMIFS('BALANCE 2026'!$I:$I,'BALANCE 2026'!$C:$C,"BS"))</f>
        <v>225108073</v>
      </c>
      <c r="F27" s="15" t="n">
        <f aca="false">SUMIFS('BALANCE 2027'!$H:$H,'BALANCE 2027'!$C:$C,"BS")+SUMIFS('BALANCE 2027'!$H:$H,'BALANCE 2027'!$C:$C,"TRESO")-(SUMIFS('BALANCE 2027'!$I:$I,'BALANCE 2027'!$C:$C,"BS"))</f>
        <v>369590974</v>
      </c>
      <c r="G27" s="15" t="n">
        <f aca="false">SUMIFS('BALANCE 2028'!$H:$H,'BALANCE 2028'!$C:$C,"BS")+SUMIFS('BALANCE 2028'!$H:$H,'BALANCE 2028'!$C:$C,"TRESO")-(SUMIFS('BALANCE 2028'!$I:$I,'BALANCE 2028'!$C:$C,"BS"))</f>
        <v>497172401</v>
      </c>
      <c r="H27" s="15" t="n">
        <f aca="false">SUMIFS('BALANCE 2029'!$H:$H,'BALANCE 2029'!$C:$C,"BS")+SUMIFS('BALANCE 2029'!$H:$H,'BALANCE 2029'!$C:$C,"TRESO")-(SUMIFS('BALANCE 2029'!$I:$I,'BALANCE 2029'!$C:$C,"BS"))</f>
        <v>643390050</v>
      </c>
    </row>
    <row r="28" customFormat="false" ht="15" hidden="false" customHeight="false" outlineLevel="0" collapsed="false">
      <c r="A28" s="35" t="s">
        <v>376</v>
      </c>
      <c r="B28" s="35" t="s">
        <v>377</v>
      </c>
      <c r="C28" s="36" t="n">
        <f aca="false">C25+C26+C27</f>
        <v>128133958</v>
      </c>
      <c r="D28" s="36" t="n">
        <f aca="false">D25+D26+D27</f>
        <v>154325995</v>
      </c>
      <c r="E28" s="36" t="n">
        <f aca="false">E25+E26+E27</f>
        <v>225108073</v>
      </c>
      <c r="F28" s="36" t="n">
        <f aca="false">F25+F26+F27</f>
        <v>369590974</v>
      </c>
      <c r="G28" s="36" t="n">
        <f aca="false">G25+G26+G27</f>
        <v>497172401</v>
      </c>
      <c r="H28" s="36" t="n">
        <f aca="false">H25+H26+H27</f>
        <v>643390050</v>
      </c>
      <c r="I28" s="34"/>
    </row>
    <row r="29" customFormat="false" ht="15" hidden="false" customHeight="false" outlineLevel="0" collapsed="false">
      <c r="A29" s="13" t="s">
        <v>378</v>
      </c>
      <c r="B29" s="12" t="s">
        <v>379</v>
      </c>
      <c r="C29" s="15" t="n">
        <f aca="false">SUMIFS('BALANCE 2024'!$H:$H,'BALANCE 2024'!$C:$C,"BU")-(SUMIFS('BALANCE 2024'!$I:$I,'BALANCE 2024'!$C:$C,"BU"))</f>
        <v>0</v>
      </c>
      <c r="D29" s="15" t="n">
        <f aca="false">SUMIFS('BALANCE 2025'!$H:$H,'BALANCE 2025'!$C:$C,"BU")-(SUMIFS('BALANCE 2025'!$I:$I,'BALANCE 2025'!$C:$C,"BU"))</f>
        <v>0</v>
      </c>
      <c r="E29" s="15" t="n">
        <f aca="false">SUMIFS('BALANCE 2026'!$H:$H,'BALANCE 2026'!$C:$C,"BU")-(SUMIFS('BALANCE 2026'!$I:$I,'BALANCE 2026'!$C:$C,"BU"))</f>
        <v>0</v>
      </c>
      <c r="F29" s="15" t="n">
        <f aca="false">SUMIFS('BALANCE 2027'!$H:$H,'BALANCE 2027'!$C:$C,"BU")-(SUMIFS('BALANCE 2027'!$I:$I,'BALANCE 2027'!$C:$C,"BU"))</f>
        <v>0</v>
      </c>
      <c r="G29" s="15" t="n">
        <f aca="false">SUMIFS('BALANCE 2028'!$H:$H,'BALANCE 2028'!$C:$C,"BU")-(SUMIFS('BALANCE 2028'!$I:$I,'BALANCE 2028'!$C:$C,"BU"))</f>
        <v>0</v>
      </c>
      <c r="H29" s="15" t="n">
        <f aca="false">SUMIFS('BALANCE 2029'!$H:$H,'BALANCE 2029'!$C:$C,"BU")-(SUMIFS('BALANCE 2029'!$I:$I,'BALANCE 2029'!$C:$C,"BU"))</f>
        <v>0</v>
      </c>
    </row>
    <row r="30" customFormat="false" ht="15" hidden="false" customHeight="false" outlineLevel="0" collapsed="false">
      <c r="A30" s="35" t="s">
        <v>380</v>
      </c>
      <c r="B30" s="35" t="s">
        <v>381</v>
      </c>
      <c r="C30" s="36" t="n">
        <f aca="false">C17+C24+C28+C29</f>
        <v>1239686672</v>
      </c>
      <c r="D30" s="36" t="n">
        <f aca="false">D17+D24+D28+D29</f>
        <v>1225429090</v>
      </c>
      <c r="E30" s="36" t="n">
        <f aca="false">E17+E24+E28+E29</f>
        <v>1278934200</v>
      </c>
      <c r="F30" s="36" t="n">
        <f aca="false">F17+F24+F28+F29</f>
        <v>1386749600</v>
      </c>
      <c r="G30" s="36" t="n">
        <f aca="false">G17+G24+G28+G29</f>
        <v>1520265730</v>
      </c>
      <c r="H30" s="36" t="n">
        <f aca="false">H17+H24+H28+H29</f>
        <v>1631569567</v>
      </c>
      <c r="I30" s="39" t="n">
        <f aca="false">IF(OR(C30&lt;=0,H30&lt;=0),"",(H30/C30)^(1/5)-1)</f>
        <v>0.056473803743418</v>
      </c>
    </row>
    <row r="32" customFormat="false" ht="15" hidden="false" customHeight="false" outlineLevel="0" collapsed="false">
      <c r="A32" s="27" t="s">
        <v>338</v>
      </c>
      <c r="B32" s="27" t="s">
        <v>382</v>
      </c>
      <c r="C32" s="27" t="str">
        <f aca="false">"Réel "&amp;HYPOTHESES!$C$5</f>
        <v>Réel 2024</v>
      </c>
      <c r="D32" s="38" t="n">
        <f aca="false">HYPOTHESES!$C$5+1</f>
        <v>2025</v>
      </c>
      <c r="E32" s="38" t="n">
        <f aca="false">HYPOTHESES!$C$5+2</f>
        <v>2026</v>
      </c>
      <c r="F32" s="38" t="n">
        <f aca="false">HYPOTHESES!$C$5+3</f>
        <v>2027</v>
      </c>
      <c r="G32" s="38" t="n">
        <f aca="false">HYPOTHESES!$C$5+4</f>
        <v>2028</v>
      </c>
      <c r="H32" s="38" t="n">
        <f aca="false">HYPOTHESES!$C$5+5</f>
        <v>2029</v>
      </c>
      <c r="I32" s="27" t="s">
        <v>340</v>
      </c>
    </row>
    <row r="33" customFormat="false" ht="15" hidden="false" customHeight="false" outlineLevel="0" collapsed="false">
      <c r="A33" s="13" t="s">
        <v>207</v>
      </c>
      <c r="B33" s="12" t="s">
        <v>383</v>
      </c>
      <c r="C33" s="15" t="n">
        <f aca="false">SUMIFS('BALANCE 2024'!$I:$I,'BALANCE 2024'!$C:$C,"CA")-(SUMIFS('BALANCE 2024'!$H:$H,'BALANCE 2024'!$C:$C,"CA"))</f>
        <v>10000000</v>
      </c>
      <c r="D33" s="15" t="n">
        <f aca="false">SUMIFS('BALANCE 2025'!$I:$I,'BALANCE 2025'!$C:$C,"CA")-(SUMIFS('BALANCE 2025'!$H:$H,'BALANCE 2025'!$C:$C,"CA"))</f>
        <v>10000000</v>
      </c>
      <c r="E33" s="15" t="n">
        <f aca="false">SUMIFS('BALANCE 2026'!$I:$I,'BALANCE 2026'!$C:$C,"CA")-(SUMIFS('BALANCE 2026'!$H:$H,'BALANCE 2026'!$C:$C,"CA"))</f>
        <v>10000000</v>
      </c>
      <c r="F33" s="15" t="n">
        <f aca="false">SUMIFS('BALANCE 2027'!$I:$I,'BALANCE 2027'!$C:$C,"CA")-(SUMIFS('BALANCE 2027'!$H:$H,'BALANCE 2027'!$C:$C,"CA"))</f>
        <v>10000000</v>
      </c>
      <c r="G33" s="15" t="n">
        <f aca="false">SUMIFS('BALANCE 2028'!$I:$I,'BALANCE 2028'!$C:$C,"CA")-(SUMIFS('BALANCE 2028'!$H:$H,'BALANCE 2028'!$C:$C,"CA"))</f>
        <v>10000000</v>
      </c>
      <c r="H33" s="15" t="n">
        <f aca="false">SUMIFS('BALANCE 2029'!$I:$I,'BALANCE 2029'!$C:$C,"CA")-(SUMIFS('BALANCE 2029'!$H:$H,'BALANCE 2029'!$C:$C,"CA"))</f>
        <v>10000000</v>
      </c>
    </row>
    <row r="34" customFormat="false" ht="15" hidden="false" customHeight="false" outlineLevel="0" collapsed="false">
      <c r="A34" s="13" t="s">
        <v>384</v>
      </c>
      <c r="B34" s="12" t="s">
        <v>385</v>
      </c>
      <c r="C34" s="15" t="n">
        <f aca="false">-(SUMIFS('BALANCE 2024'!$H:$H,'BALANCE 2024'!$C:$C,"CB"))</f>
        <v>-0</v>
      </c>
      <c r="D34" s="15" t="n">
        <f aca="false">-(SUMIFS('BALANCE 2025'!$H:$H,'BALANCE 2025'!$C:$C,"CB"))</f>
        <v>-0</v>
      </c>
      <c r="E34" s="15" t="n">
        <f aca="false">-(SUMIFS('BALANCE 2026'!$H:$H,'BALANCE 2026'!$C:$C,"CB"))</f>
        <v>-0</v>
      </c>
      <c r="F34" s="15" t="n">
        <f aca="false">-(SUMIFS('BALANCE 2027'!$H:$H,'BALANCE 2027'!$C:$C,"CB"))</f>
        <v>-0</v>
      </c>
      <c r="G34" s="15" t="n">
        <f aca="false">-(SUMIFS('BALANCE 2028'!$H:$H,'BALANCE 2028'!$C:$C,"CB"))</f>
        <v>-0</v>
      </c>
      <c r="H34" s="15" t="n">
        <f aca="false">-(SUMIFS('BALANCE 2029'!$H:$H,'BALANCE 2029'!$C:$C,"CB"))</f>
        <v>-0</v>
      </c>
    </row>
    <row r="35" customFormat="false" ht="15" hidden="false" customHeight="false" outlineLevel="0" collapsed="false">
      <c r="A35" s="13" t="s">
        <v>386</v>
      </c>
      <c r="B35" s="12" t="s">
        <v>387</v>
      </c>
      <c r="C35" s="15" t="n">
        <f aca="false">SUMIFS('BALANCE 2024'!$I:$I,'BALANCE 2024'!$C:$C,"CD")-(SUMIFS('BALANCE 2024'!$H:$H,'BALANCE 2024'!$C:$C,"CD"))</f>
        <v>0</v>
      </c>
      <c r="D35" s="15" t="n">
        <f aca="false">SUMIFS('BALANCE 2025'!$I:$I,'BALANCE 2025'!$C:$C,"CD")-(SUMIFS('BALANCE 2025'!$H:$H,'BALANCE 2025'!$C:$C,"CD"))</f>
        <v>0</v>
      </c>
      <c r="E35" s="15" t="n">
        <f aca="false">SUMIFS('BALANCE 2026'!$I:$I,'BALANCE 2026'!$C:$C,"CD")-(SUMIFS('BALANCE 2026'!$H:$H,'BALANCE 2026'!$C:$C,"CD"))</f>
        <v>0</v>
      </c>
      <c r="F35" s="15" t="n">
        <f aca="false">SUMIFS('BALANCE 2027'!$I:$I,'BALANCE 2027'!$C:$C,"CD")-(SUMIFS('BALANCE 2027'!$H:$H,'BALANCE 2027'!$C:$C,"CD"))</f>
        <v>0</v>
      </c>
      <c r="G35" s="15" t="n">
        <f aca="false">SUMIFS('BALANCE 2028'!$I:$I,'BALANCE 2028'!$C:$C,"CD")-(SUMIFS('BALANCE 2028'!$H:$H,'BALANCE 2028'!$C:$C,"CD"))</f>
        <v>0</v>
      </c>
      <c r="H35" s="15" t="n">
        <f aca="false">SUMIFS('BALANCE 2029'!$I:$I,'BALANCE 2029'!$C:$C,"CD")-(SUMIFS('BALANCE 2029'!$H:$H,'BALANCE 2029'!$C:$C,"CD"))</f>
        <v>0</v>
      </c>
    </row>
    <row r="36" customFormat="false" ht="15" hidden="false" customHeight="false" outlineLevel="0" collapsed="false">
      <c r="A36" s="13" t="s">
        <v>388</v>
      </c>
      <c r="B36" s="12" t="s">
        <v>389</v>
      </c>
      <c r="C36" s="15" t="n">
        <f aca="false">SUMIFS('BALANCE 2024'!$I:$I,'BALANCE 2024'!$C:$C,"CE")-(SUMIFS('BALANCE 2024'!$H:$H,'BALANCE 2024'!$C:$C,"CE"))</f>
        <v>0</v>
      </c>
      <c r="D36" s="15" t="n">
        <f aca="false">SUMIFS('BALANCE 2025'!$I:$I,'BALANCE 2025'!$C:$C,"CE")-(SUMIFS('BALANCE 2025'!$H:$H,'BALANCE 2025'!$C:$C,"CE"))</f>
        <v>0</v>
      </c>
      <c r="E36" s="15" t="n">
        <f aca="false">SUMIFS('BALANCE 2026'!$I:$I,'BALANCE 2026'!$C:$C,"CE")-(SUMIFS('BALANCE 2026'!$H:$H,'BALANCE 2026'!$C:$C,"CE"))</f>
        <v>0</v>
      </c>
      <c r="F36" s="15" t="n">
        <f aca="false">SUMIFS('BALANCE 2027'!$I:$I,'BALANCE 2027'!$C:$C,"CE")-(SUMIFS('BALANCE 2027'!$H:$H,'BALANCE 2027'!$C:$C,"CE"))</f>
        <v>0</v>
      </c>
      <c r="G36" s="15" t="n">
        <f aca="false">SUMIFS('BALANCE 2028'!$I:$I,'BALANCE 2028'!$C:$C,"CE")-(SUMIFS('BALANCE 2028'!$H:$H,'BALANCE 2028'!$C:$C,"CE"))</f>
        <v>0</v>
      </c>
      <c r="H36" s="15" t="n">
        <f aca="false">SUMIFS('BALANCE 2029'!$I:$I,'BALANCE 2029'!$C:$C,"CE")-(SUMIFS('BALANCE 2029'!$H:$H,'BALANCE 2029'!$C:$C,"CE"))</f>
        <v>0</v>
      </c>
    </row>
    <row r="37" customFormat="false" ht="15" hidden="false" customHeight="false" outlineLevel="0" collapsed="false">
      <c r="A37" s="13" t="s">
        <v>209</v>
      </c>
      <c r="B37" s="12" t="s">
        <v>390</v>
      </c>
      <c r="C37" s="15" t="n">
        <f aca="false">SUMIFS('BALANCE 2024'!$I:$I,'BALANCE 2024'!$C:$C,"CF")-(SUMIFS('BALANCE 2024'!$H:$H,'BALANCE 2024'!$C:$C,"CF"))</f>
        <v>0</v>
      </c>
      <c r="D37" s="15" t="n">
        <f aca="false">SUMIFS('BALANCE 2025'!$I:$I,'BALANCE 2025'!$C:$C,"CF")-(SUMIFS('BALANCE 2025'!$H:$H,'BALANCE 2025'!$C:$C,"CF"))</f>
        <v>2000000</v>
      </c>
      <c r="E37" s="15" t="n">
        <f aca="false">SUMIFS('BALANCE 2026'!$I:$I,'BALANCE 2026'!$C:$C,"CF")-(SUMIFS('BALANCE 2026'!$H:$H,'BALANCE 2026'!$C:$C,"CF"))</f>
        <v>2000000</v>
      </c>
      <c r="F37" s="15" t="n">
        <f aca="false">SUMIFS('BALANCE 2027'!$I:$I,'BALANCE 2027'!$C:$C,"CF")-(SUMIFS('BALANCE 2027'!$H:$H,'BALANCE 2027'!$C:$C,"CF"))</f>
        <v>2000000</v>
      </c>
      <c r="G37" s="15" t="n">
        <f aca="false">SUMIFS('BALANCE 2028'!$I:$I,'BALANCE 2028'!$C:$C,"CF")-(SUMIFS('BALANCE 2028'!$H:$H,'BALANCE 2028'!$C:$C,"CF"))</f>
        <v>2000000</v>
      </c>
      <c r="H37" s="15" t="n">
        <f aca="false">SUMIFS('BALANCE 2029'!$I:$I,'BALANCE 2029'!$C:$C,"CF")-(SUMIFS('BALANCE 2029'!$H:$H,'BALANCE 2029'!$C:$C,"CF"))</f>
        <v>2000000</v>
      </c>
    </row>
    <row r="38" customFormat="false" ht="15" hidden="false" customHeight="false" outlineLevel="0" collapsed="false">
      <c r="A38" s="13" t="s">
        <v>391</v>
      </c>
      <c r="B38" s="12" t="s">
        <v>392</v>
      </c>
      <c r="C38" s="15" t="n">
        <f aca="false">SUMIFS('BALANCE 2024'!$I:$I,'BALANCE 2024'!$C:$C,"CG")-(SUMIFS('BALANCE 2024'!$H:$H,'BALANCE 2024'!$C:$C,"CG"))</f>
        <v>0</v>
      </c>
      <c r="D38" s="15" t="n">
        <f aca="false">SUMIFS('BALANCE 2025'!$I:$I,'BALANCE 2025'!$C:$C,"CG")-(SUMIFS('BALANCE 2025'!$H:$H,'BALANCE 2025'!$C:$C,"CG"))</f>
        <v>0</v>
      </c>
      <c r="E38" s="15" t="n">
        <f aca="false">SUMIFS('BALANCE 2026'!$I:$I,'BALANCE 2026'!$C:$C,"CG")-(SUMIFS('BALANCE 2026'!$H:$H,'BALANCE 2026'!$C:$C,"CG"))</f>
        <v>0</v>
      </c>
      <c r="F38" s="15" t="n">
        <f aca="false">SUMIFS('BALANCE 2027'!$I:$I,'BALANCE 2027'!$C:$C,"CG")-(SUMIFS('BALANCE 2027'!$H:$H,'BALANCE 2027'!$C:$C,"CG"))</f>
        <v>0</v>
      </c>
      <c r="G38" s="15" t="n">
        <f aca="false">SUMIFS('BALANCE 2028'!$I:$I,'BALANCE 2028'!$C:$C,"CG")-(SUMIFS('BALANCE 2028'!$H:$H,'BALANCE 2028'!$C:$C,"CG"))</f>
        <v>0</v>
      </c>
      <c r="H38" s="15" t="n">
        <f aca="false">SUMIFS('BALANCE 2029'!$I:$I,'BALANCE 2029'!$C:$C,"CG")-(SUMIFS('BALANCE 2029'!$H:$H,'BALANCE 2029'!$C:$C,"CG"))</f>
        <v>0</v>
      </c>
    </row>
    <row r="39" customFormat="false" ht="15" hidden="false" customHeight="false" outlineLevel="0" collapsed="false">
      <c r="A39" s="13" t="s">
        <v>211</v>
      </c>
      <c r="B39" s="12" t="s">
        <v>393</v>
      </c>
      <c r="C39" s="15" t="n">
        <f aca="false">SUMIFS('BALANCE 2024'!$I:$I,'BALANCE 2024'!$C:$C,"CH")-(SUMIFS('BALANCE 2024'!$H:$H,'BALANCE 2024'!$C:$C,"CH"))</f>
        <v>773799851</v>
      </c>
      <c r="D39" s="15" t="n">
        <f aca="false">SUMIFS('BALANCE 2025'!$I:$I,'BALANCE 2025'!$C:$C,"CH")-(SUMIFS('BALANCE 2025'!$H:$H,'BALANCE 2025'!$C:$C,"CH"))</f>
        <v>844498728</v>
      </c>
      <c r="E39" s="15" t="n">
        <f aca="false">SUMIFS('BALANCE 2026'!$I:$I,'BALANCE 2026'!$C:$C,"CH")-(SUMIFS('BALANCE 2026'!$H:$H,'BALANCE 2026'!$C:$C,"CH"))</f>
        <v>937013596</v>
      </c>
      <c r="F39" s="15" t="n">
        <f aca="false">SUMIFS('BALANCE 2027'!$I:$I,'BALANCE 2027'!$C:$C,"CH")-(SUMIFS('BALANCE 2027'!$H:$H,'BALANCE 2027'!$C:$C,"CH"))</f>
        <v>1023025123</v>
      </c>
      <c r="G39" s="15" t="n">
        <f aca="false">SUMIFS('BALANCE 2028'!$I:$I,'BALANCE 2028'!$C:$C,"CH")-(SUMIFS('BALANCE 2028'!$H:$H,'BALANCE 2028'!$C:$C,"CH"))</f>
        <v>1114503458</v>
      </c>
      <c r="H39" s="15" t="n">
        <f aca="false">SUMIFS('BALANCE 2029'!$I:$I,'BALANCE 2029'!$C:$C,"CH")-(SUMIFS('BALANCE 2029'!$H:$H,'BALANCE 2029'!$C:$C,"CH"))</f>
        <v>1215390296</v>
      </c>
    </row>
    <row r="40" customFormat="false" ht="15" hidden="false" customHeight="false" outlineLevel="0" collapsed="false">
      <c r="A40" s="13" t="s">
        <v>394</v>
      </c>
      <c r="B40" s="12" t="s">
        <v>395</v>
      </c>
      <c r="C40" s="15" t="n">
        <f aca="false">'COMPTE DE RESULTAT'!C47</f>
        <v>72698877</v>
      </c>
      <c r="D40" s="15" t="n">
        <f aca="false">'COMPTE DE RESULTAT'!D47</f>
        <v>92514868</v>
      </c>
      <c r="E40" s="15" t="n">
        <f aca="false">'COMPTE DE RESULTAT'!E47</f>
        <v>86011527</v>
      </c>
      <c r="F40" s="15" t="n">
        <f aca="false">'COMPTE DE RESULTAT'!F47</f>
        <v>91478335</v>
      </c>
      <c r="G40" s="15" t="n">
        <f aca="false">'COMPTE DE RESULTAT'!G47</f>
        <v>100886838</v>
      </c>
      <c r="H40" s="15" t="n">
        <f aca="false">'COMPTE DE RESULTAT'!H47</f>
        <v>108080143</v>
      </c>
    </row>
    <row r="41" customFormat="false" ht="15" hidden="false" customHeight="false" outlineLevel="0" collapsed="false">
      <c r="A41" s="13" t="s">
        <v>396</v>
      </c>
      <c r="B41" s="12" t="s">
        <v>397</v>
      </c>
      <c r="C41" s="15" t="n">
        <f aca="false">SUMIFS('BALANCE 2024'!$I:$I,'BALANCE 2024'!$C:$C,"CL")-(SUMIFS('BALANCE 2024'!$H:$H,'BALANCE 2024'!$C:$C,"CL"))</f>
        <v>0</v>
      </c>
      <c r="D41" s="15" t="n">
        <f aca="false">SUMIFS('BALANCE 2025'!$I:$I,'BALANCE 2025'!$C:$C,"CL")-(SUMIFS('BALANCE 2025'!$H:$H,'BALANCE 2025'!$C:$C,"CL"))</f>
        <v>0</v>
      </c>
      <c r="E41" s="15" t="n">
        <f aca="false">SUMIFS('BALANCE 2026'!$I:$I,'BALANCE 2026'!$C:$C,"CL")-(SUMIFS('BALANCE 2026'!$H:$H,'BALANCE 2026'!$C:$C,"CL"))</f>
        <v>0</v>
      </c>
      <c r="F41" s="15" t="n">
        <f aca="false">SUMIFS('BALANCE 2027'!$I:$I,'BALANCE 2027'!$C:$C,"CL")-(SUMIFS('BALANCE 2027'!$H:$H,'BALANCE 2027'!$C:$C,"CL"))</f>
        <v>0</v>
      </c>
      <c r="G41" s="15" t="n">
        <f aca="false">SUMIFS('BALANCE 2028'!$I:$I,'BALANCE 2028'!$C:$C,"CL")-(SUMIFS('BALANCE 2028'!$H:$H,'BALANCE 2028'!$C:$C,"CL"))</f>
        <v>0</v>
      </c>
      <c r="H41" s="15" t="n">
        <f aca="false">SUMIFS('BALANCE 2029'!$I:$I,'BALANCE 2029'!$C:$C,"CL")-(SUMIFS('BALANCE 2029'!$H:$H,'BALANCE 2029'!$C:$C,"CL"))</f>
        <v>0</v>
      </c>
    </row>
    <row r="42" customFormat="false" ht="15" hidden="false" customHeight="false" outlineLevel="0" collapsed="false">
      <c r="A42" s="13" t="s">
        <v>398</v>
      </c>
      <c r="B42" s="12" t="s">
        <v>399</v>
      </c>
      <c r="C42" s="15" t="n">
        <f aca="false">SUMIFS('BALANCE 2024'!$I:$I,'BALANCE 2024'!$C:$C,"CM")-(SUMIFS('BALANCE 2024'!$H:$H,'BALANCE 2024'!$C:$C,"CM"))</f>
        <v>0</v>
      </c>
      <c r="D42" s="15" t="n">
        <f aca="false">SUMIFS('BALANCE 2025'!$I:$I,'BALANCE 2025'!$C:$C,"CM")-(SUMIFS('BALANCE 2025'!$H:$H,'BALANCE 2025'!$C:$C,"CM"))</f>
        <v>0</v>
      </c>
      <c r="E42" s="15" t="n">
        <f aca="false">SUMIFS('BALANCE 2026'!$I:$I,'BALANCE 2026'!$C:$C,"CM")-(SUMIFS('BALANCE 2026'!$H:$H,'BALANCE 2026'!$C:$C,"CM"))</f>
        <v>0</v>
      </c>
      <c r="F42" s="15" t="n">
        <f aca="false">SUMIFS('BALANCE 2027'!$I:$I,'BALANCE 2027'!$C:$C,"CM")-(SUMIFS('BALANCE 2027'!$H:$H,'BALANCE 2027'!$C:$C,"CM"))</f>
        <v>0</v>
      </c>
      <c r="G42" s="15" t="n">
        <f aca="false">SUMIFS('BALANCE 2028'!$I:$I,'BALANCE 2028'!$C:$C,"CM")-(SUMIFS('BALANCE 2028'!$H:$H,'BALANCE 2028'!$C:$C,"CM"))</f>
        <v>0</v>
      </c>
      <c r="H42" s="15" t="n">
        <f aca="false">SUMIFS('BALANCE 2029'!$I:$I,'BALANCE 2029'!$C:$C,"CM")-(SUMIFS('BALANCE 2029'!$H:$H,'BALANCE 2029'!$C:$C,"CM"))</f>
        <v>0</v>
      </c>
    </row>
    <row r="43" customFormat="false" ht="15" hidden="false" customHeight="false" outlineLevel="0" collapsed="false">
      <c r="A43" s="35" t="s">
        <v>400</v>
      </c>
      <c r="B43" s="35" t="s">
        <v>401</v>
      </c>
      <c r="C43" s="36" t="n">
        <f aca="false">C33+C34+C35+C36+C37+C38+C39+C40+C41+C42</f>
        <v>856498728</v>
      </c>
      <c r="D43" s="36" t="n">
        <f aca="false">D33+D34+D35+D36+D37+D38+D39+D40+D41+D42</f>
        <v>949013596</v>
      </c>
      <c r="E43" s="36" t="n">
        <f aca="false">E33+E34+E35+E36+E37+E38+E39+E40+E41+E42</f>
        <v>1035025123</v>
      </c>
      <c r="F43" s="36" t="n">
        <f aca="false">F33+F34+F35+F36+F37+F38+F39+F40+F41+F42</f>
        <v>1126503458</v>
      </c>
      <c r="G43" s="36" t="n">
        <f aca="false">G33+G34+G35+G36+G37+G38+G39+G40+G41+G42</f>
        <v>1227390296</v>
      </c>
      <c r="H43" s="36" t="n">
        <f aca="false">H33+H34+H35+H36+H37+H38+H39+H40+H41+H42</f>
        <v>1335470439</v>
      </c>
      <c r="I43" s="39" t="n">
        <f aca="false">IF(OR(C43&lt;=0,H43&lt;=0),"",(H43/C43)^(1/5)-1)</f>
        <v>0.0929027314604853</v>
      </c>
    </row>
    <row r="44" customFormat="false" ht="15" hidden="false" customHeight="false" outlineLevel="0" collapsed="false">
      <c r="A44" s="13" t="s">
        <v>172</v>
      </c>
      <c r="B44" s="12" t="s">
        <v>402</v>
      </c>
      <c r="C44" s="15" t="n">
        <f aca="false">SUMIFS('BALANCE 2024'!$I:$I,'BALANCE 2024'!$C:$C,"DA")-(SUMIFS('BALANCE 2024'!$H:$H,'BALANCE 2024'!$C:$C,"DA"))</f>
        <v>39658832</v>
      </c>
      <c r="D44" s="15" t="n">
        <f aca="false">SUMIFS('BALANCE 2025'!$I:$I,'BALANCE 2025'!$C:$C,"DA")-(SUMIFS('BALANCE 2025'!$H:$H,'BALANCE 2025'!$C:$C,"DA"))</f>
        <v>0</v>
      </c>
      <c r="E44" s="15" t="n">
        <f aca="false">SUMIFS('BALANCE 2026'!$I:$I,'BALANCE 2026'!$C:$C,"DA")-(SUMIFS('BALANCE 2026'!$H:$H,'BALANCE 2026'!$C:$C,"DA"))</f>
        <v>0</v>
      </c>
      <c r="F44" s="15" t="n">
        <f aca="false">SUMIFS('BALANCE 2027'!$I:$I,'BALANCE 2027'!$C:$C,"DA")-(SUMIFS('BALANCE 2027'!$H:$H,'BALANCE 2027'!$C:$C,"DA"))</f>
        <v>0</v>
      </c>
      <c r="G44" s="15" t="n">
        <f aca="false">SUMIFS('BALANCE 2028'!$I:$I,'BALANCE 2028'!$C:$C,"DA")-(SUMIFS('BALANCE 2028'!$H:$H,'BALANCE 2028'!$C:$C,"DA"))</f>
        <v>0</v>
      </c>
      <c r="H44" s="15" t="n">
        <f aca="false">SUMIFS('BALANCE 2029'!$I:$I,'BALANCE 2029'!$C:$C,"DA")-(SUMIFS('BALANCE 2029'!$H:$H,'BALANCE 2029'!$C:$C,"DA"))</f>
        <v>0</v>
      </c>
    </row>
    <row r="45" customFormat="false" ht="15" hidden="false" customHeight="false" outlineLevel="0" collapsed="false">
      <c r="A45" s="13" t="s">
        <v>175</v>
      </c>
      <c r="B45" s="12" t="s">
        <v>215</v>
      </c>
      <c r="C45" s="15" t="n">
        <f aca="false">SUMIFS('BALANCE 2024'!$I:$I,'BALANCE 2024'!$C:$C,"DB")-(SUMIFS('BALANCE 2024'!$H:$H,'BALANCE 2024'!$C:$C,"DB"))</f>
        <v>10619694</v>
      </c>
      <c r="D45" s="15" t="n">
        <f aca="false">SUMIFS('BALANCE 2025'!$I:$I,'BALANCE 2025'!$C:$C,"DB")-(SUMIFS('BALANCE 2025'!$H:$H,'BALANCE 2025'!$C:$C,"DB"))</f>
        <v>0</v>
      </c>
      <c r="E45" s="15" t="n">
        <f aca="false">SUMIFS('BALANCE 2026'!$I:$I,'BALANCE 2026'!$C:$C,"DB")-(SUMIFS('BALANCE 2026'!$H:$H,'BALANCE 2026'!$C:$C,"DB"))</f>
        <v>0</v>
      </c>
      <c r="F45" s="15" t="n">
        <f aca="false">SUMIFS('BALANCE 2027'!$I:$I,'BALANCE 2027'!$C:$C,"DB")-(SUMIFS('BALANCE 2027'!$H:$H,'BALANCE 2027'!$C:$C,"DB"))</f>
        <v>0</v>
      </c>
      <c r="G45" s="15" t="n">
        <f aca="false">SUMIFS('BALANCE 2028'!$I:$I,'BALANCE 2028'!$C:$C,"DB")-(SUMIFS('BALANCE 2028'!$H:$H,'BALANCE 2028'!$C:$C,"DB"))</f>
        <v>0</v>
      </c>
      <c r="H45" s="15" t="n">
        <f aca="false">SUMIFS('BALANCE 2029'!$I:$I,'BALANCE 2029'!$C:$C,"DB")-(SUMIFS('BALANCE 2029'!$H:$H,'BALANCE 2029'!$C:$C,"DB"))</f>
        <v>0</v>
      </c>
    </row>
    <row r="46" customFormat="false" ht="15" hidden="false" customHeight="false" outlineLevel="0" collapsed="false">
      <c r="A46" s="13" t="s">
        <v>217</v>
      </c>
      <c r="B46" s="12" t="s">
        <v>403</v>
      </c>
      <c r="C46" s="15" t="n">
        <f aca="false">SUMIFS('BALANCE 2024'!$I:$I,'BALANCE 2024'!$C:$C,"DC")-(SUMIFS('BALANCE 2024'!$H:$H,'BALANCE 2024'!$C:$C,"DC"))</f>
        <v>21273896</v>
      </c>
      <c r="D46" s="15" t="n">
        <f aca="false">SUMIFS('BALANCE 2025'!$I:$I,'BALANCE 2025'!$C:$C,"DC")-(SUMIFS('BALANCE 2025'!$H:$H,'BALANCE 2025'!$C:$C,"DC"))</f>
        <v>27333192</v>
      </c>
      <c r="E46" s="15" t="n">
        <f aca="false">SUMIFS('BALANCE 2026'!$I:$I,'BALANCE 2026'!$C:$C,"DC")-(SUMIFS('BALANCE 2026'!$H:$H,'BALANCE 2026'!$C:$C,"DC"))</f>
        <v>33392488</v>
      </c>
      <c r="F46" s="15" t="n">
        <f aca="false">SUMIFS('BALANCE 2027'!$I:$I,'BALANCE 2027'!$C:$C,"DC")-(SUMIFS('BALANCE 2027'!$H:$H,'BALANCE 2027'!$C:$C,"DC"))</f>
        <v>39451784</v>
      </c>
      <c r="G46" s="15" t="n">
        <f aca="false">SUMIFS('BALANCE 2028'!$I:$I,'BALANCE 2028'!$C:$C,"DC")-(SUMIFS('BALANCE 2028'!$H:$H,'BALANCE 2028'!$C:$C,"DC"))</f>
        <v>45511080</v>
      </c>
      <c r="H46" s="15" t="n">
        <f aca="false">SUMIFS('BALANCE 2029'!$I:$I,'BALANCE 2029'!$C:$C,"DC")-(SUMIFS('BALANCE 2029'!$H:$H,'BALANCE 2029'!$C:$C,"DC"))</f>
        <v>51570376</v>
      </c>
    </row>
    <row r="47" customFormat="false" ht="15" hidden="false" customHeight="false" outlineLevel="0" collapsed="false">
      <c r="A47" s="35" t="s">
        <v>404</v>
      </c>
      <c r="B47" s="35" t="s">
        <v>405</v>
      </c>
      <c r="C47" s="36" t="n">
        <f aca="false">C44+C45+C46</f>
        <v>71552422</v>
      </c>
      <c r="D47" s="36" t="n">
        <f aca="false">D44+D45+D46</f>
        <v>27333192</v>
      </c>
      <c r="E47" s="36" t="n">
        <f aca="false">E44+E45+E46</f>
        <v>33392488</v>
      </c>
      <c r="F47" s="36" t="n">
        <f aca="false">F44+F45+F46</f>
        <v>39451784</v>
      </c>
      <c r="G47" s="36" t="n">
        <f aca="false">G44+G45+G46</f>
        <v>45511080</v>
      </c>
      <c r="H47" s="36" t="n">
        <f aca="false">H44+H45+H46</f>
        <v>51570376</v>
      </c>
      <c r="I47" s="34"/>
    </row>
    <row r="48" customFormat="false" ht="15" hidden="false" customHeight="false" outlineLevel="0" collapsed="false">
      <c r="A48" s="35" t="s">
        <v>406</v>
      </c>
      <c r="B48" s="35" t="s">
        <v>407</v>
      </c>
      <c r="C48" s="36" t="n">
        <f aca="false">C43+C47</f>
        <v>928051150</v>
      </c>
      <c r="D48" s="36" t="n">
        <f aca="false">D43+D47</f>
        <v>976346788</v>
      </c>
      <c r="E48" s="36" t="n">
        <f aca="false">E43+E47</f>
        <v>1068417611</v>
      </c>
      <c r="F48" s="36" t="n">
        <f aca="false">F43+F47</f>
        <v>1165955242</v>
      </c>
      <c r="G48" s="36" t="n">
        <f aca="false">G43+G47</f>
        <v>1272901376</v>
      </c>
      <c r="H48" s="36" t="n">
        <f aca="false">H43+H47</f>
        <v>1387040815</v>
      </c>
      <c r="I48" s="34"/>
    </row>
    <row r="49" customFormat="false" ht="15" hidden="false" customHeight="false" outlineLevel="0" collapsed="false">
      <c r="A49" s="13" t="s">
        <v>261</v>
      </c>
      <c r="B49" s="12" t="s">
        <v>408</v>
      </c>
      <c r="C49" s="15" t="n">
        <f aca="false">SUMIFS('BALANCE 2024'!$I:$I,'BALANCE 2024'!$C:$C,"DH")-(SUMIFS('BALANCE 2024'!$H:$H,'BALANCE 2024'!$C:$C,"DH"))</f>
        <v>132896547</v>
      </c>
      <c r="D49" s="15" t="n">
        <f aca="false">SUMIFS('BALANCE 2025'!$I:$I,'BALANCE 2025'!$C:$C,"DH")-(SUMIFS('BALANCE 2025'!$H:$H,'BALANCE 2025'!$C:$C,"DH"))</f>
        <v>59171235</v>
      </c>
      <c r="E49" s="15" t="n">
        <f aca="false">SUMIFS('BALANCE 2026'!$I:$I,'BALANCE 2026'!$C:$C,"DH")-(SUMIFS('BALANCE 2026'!$H:$H,'BALANCE 2026'!$C:$C,"DH"))</f>
        <v>12736111</v>
      </c>
      <c r="F49" s="15" t="n">
        <f aca="false">SUMIFS('BALANCE 2027'!$I:$I,'BALANCE 2027'!$C:$C,"DH")-(SUMIFS('BALANCE 2027'!$H:$H,'BALANCE 2027'!$C:$C,"DH"))</f>
        <v>12736111</v>
      </c>
      <c r="G49" s="15" t="n">
        <f aca="false">SUMIFS('BALANCE 2028'!$I:$I,'BALANCE 2028'!$C:$C,"DH")-(SUMIFS('BALANCE 2028'!$H:$H,'BALANCE 2028'!$C:$C,"DH"))</f>
        <v>27291667</v>
      </c>
      <c r="H49" s="15" t="n">
        <f aca="false">SUMIFS('BALANCE 2029'!$I:$I,'BALANCE 2029'!$C:$C,"DH")-(SUMIFS('BALANCE 2029'!$H:$H,'BALANCE 2029'!$C:$C,"DH"))</f>
        <v>12736111</v>
      </c>
    </row>
    <row r="50" customFormat="false" ht="15" hidden="false" customHeight="false" outlineLevel="0" collapsed="false">
      <c r="A50" s="13" t="s">
        <v>409</v>
      </c>
      <c r="B50" s="12" t="s">
        <v>410</v>
      </c>
      <c r="C50" s="15" t="n">
        <f aca="false">SUMIFS('BALANCE 2024'!$I:$I,'BALANCE 2024'!$C:$C,"DI")-(SUMIFS('BALANCE 2024'!$H:$H,'BALANCE 2024'!$C:$C,"DI"))</f>
        <v>0</v>
      </c>
      <c r="D50" s="15" t="n">
        <f aca="false">SUMIFS('BALANCE 2025'!$I:$I,'BALANCE 2025'!$C:$C,"DI")-(SUMIFS('BALANCE 2025'!$H:$H,'BALANCE 2025'!$C:$C,"DI"))</f>
        <v>0</v>
      </c>
      <c r="E50" s="15" t="n">
        <f aca="false">SUMIFS('BALANCE 2026'!$I:$I,'BALANCE 2026'!$C:$C,"DI")-(SUMIFS('BALANCE 2026'!$H:$H,'BALANCE 2026'!$C:$C,"DI"))</f>
        <v>0</v>
      </c>
      <c r="F50" s="15" t="n">
        <f aca="false">SUMIFS('BALANCE 2027'!$I:$I,'BALANCE 2027'!$C:$C,"DI")-(SUMIFS('BALANCE 2027'!$H:$H,'BALANCE 2027'!$C:$C,"DI"))</f>
        <v>0</v>
      </c>
      <c r="G50" s="15" t="n">
        <f aca="false">SUMIFS('BALANCE 2028'!$I:$I,'BALANCE 2028'!$C:$C,"DI")-(SUMIFS('BALANCE 2028'!$H:$H,'BALANCE 2028'!$C:$C,"DI"))</f>
        <v>0</v>
      </c>
      <c r="H50" s="15" t="n">
        <f aca="false">SUMIFS('BALANCE 2029'!$I:$I,'BALANCE 2029'!$C:$C,"DI")-(SUMIFS('BALANCE 2029'!$H:$H,'BALANCE 2029'!$C:$C,"DI"))</f>
        <v>0</v>
      </c>
    </row>
    <row r="51" customFormat="false" ht="15" hidden="false" customHeight="false" outlineLevel="0" collapsed="false">
      <c r="A51" s="13" t="s">
        <v>235</v>
      </c>
      <c r="B51" s="12" t="s">
        <v>411</v>
      </c>
      <c r="C51" s="15" t="n">
        <f aca="false">SUMIFS('BALANCE 2024'!$I:$I,'BALANCE 2024'!$C:$C,"DJ")-(SUMIFS('BALANCE 2024'!$H:$H,'BALANCE 2024'!$C:$C,"DJ"))</f>
        <v>72947866</v>
      </c>
      <c r="D51" s="15" t="n">
        <f aca="false">SUMIFS('BALANCE 2025'!$I:$I,'BALANCE 2025'!$C:$C,"DJ")-(SUMIFS('BALANCE 2025'!$H:$H,'BALANCE 2025'!$C:$C,"DJ"))</f>
        <v>77709524</v>
      </c>
      <c r="E51" s="15" t="n">
        <f aca="false">SUMIFS('BALANCE 2026'!$I:$I,'BALANCE 2026'!$C:$C,"DJ")-(SUMIFS('BALANCE 2026'!$H:$H,'BALANCE 2026'!$C:$C,"DJ"))</f>
        <v>81595000</v>
      </c>
      <c r="F51" s="15" t="n">
        <f aca="false">SUMIFS('BALANCE 2027'!$I:$I,'BALANCE 2027'!$C:$C,"DJ")-(SUMIFS('BALANCE 2027'!$H:$H,'BALANCE 2027'!$C:$C,"DJ"))</f>
        <v>85674750</v>
      </c>
      <c r="G51" s="15" t="n">
        <f aca="false">SUMIFS('BALANCE 2028'!$I:$I,'BALANCE 2028'!$C:$C,"DJ")-(SUMIFS('BALANCE 2028'!$H:$H,'BALANCE 2028'!$C:$C,"DJ"))</f>
        <v>89958487</v>
      </c>
      <c r="H51" s="15" t="n">
        <f aca="false">SUMIFS('BALANCE 2029'!$I:$I,'BALANCE 2029'!$C:$C,"DJ")-(SUMIFS('BALANCE 2029'!$H:$H,'BALANCE 2029'!$C:$C,"DJ"))</f>
        <v>94456412</v>
      </c>
    </row>
    <row r="52" customFormat="false" ht="15" hidden="false" customHeight="false" outlineLevel="0" collapsed="false">
      <c r="A52" s="13" t="s">
        <v>241</v>
      </c>
      <c r="B52" s="12" t="s">
        <v>412</v>
      </c>
      <c r="C52" s="15" t="n">
        <f aca="false">SUMIFS('BALANCE 2024'!$I:$I,'BALANCE 2024'!$C:$C,"DK")-(SUMIFS('BALANCE 2024'!$H:$H,'BALANCE 2024'!$C:$C,"DK"))</f>
        <v>102091109</v>
      </c>
      <c r="D52" s="15" t="n">
        <f aca="false">SUMIFS('BALANCE 2025'!$I:$I,'BALANCE 2025'!$C:$C,"DK")-(SUMIFS('BALANCE 2025'!$H:$H,'BALANCE 2025'!$C:$C,"DK"))</f>
        <v>112201543</v>
      </c>
      <c r="E52" s="15" t="n">
        <f aca="false">SUMIFS('BALANCE 2026'!$I:$I,'BALANCE 2026'!$C:$C,"DK")-(SUMIFS('BALANCE 2026'!$H:$H,'BALANCE 2026'!$C:$C,"DK"))</f>
        <v>116185478</v>
      </c>
      <c r="F52" s="15" t="n">
        <f aca="false">SUMIFS('BALANCE 2027'!$I:$I,'BALANCE 2027'!$C:$C,"DK")-(SUMIFS('BALANCE 2027'!$H:$H,'BALANCE 2027'!$C:$C,"DK"))</f>
        <v>122383497</v>
      </c>
      <c r="G52" s="15" t="n">
        <f aca="false">SUMIFS('BALANCE 2028'!$I:$I,'BALANCE 2028'!$C:$C,"DK")-(SUMIFS('BALANCE 2028'!$H:$H,'BALANCE 2028'!$C:$C,"DK"))</f>
        <v>130114200</v>
      </c>
      <c r="H52" s="15" t="n">
        <f aca="false">SUMIFS('BALANCE 2029'!$I:$I,'BALANCE 2029'!$C:$C,"DK")-(SUMIFS('BALANCE 2029'!$H:$H,'BALANCE 2029'!$C:$C,"DK"))</f>
        <v>137336229</v>
      </c>
    </row>
    <row r="53" customFormat="false" ht="15" hidden="false" customHeight="false" outlineLevel="0" collapsed="false">
      <c r="A53" s="13" t="s">
        <v>257</v>
      </c>
      <c r="B53" s="12" t="s">
        <v>413</v>
      </c>
      <c r="C53" s="15" t="n">
        <f aca="false">SUMIFS('BALANCE 2024'!$I:$I,'BALANCE 2024'!$C:$C,"DM")+SUMIFS('BALANCE 2024'!$I:$I,'BALANCE 2024'!$C:$C,"DMBJ")-(SUMIFS('BALANCE 2024'!$H:$H,'BALANCE 2024'!$C:$C,"DM"))</f>
        <v>3700000</v>
      </c>
      <c r="D53" s="15" t="n">
        <f aca="false">SUMIFS('BALANCE 2025'!$I:$I,'BALANCE 2025'!$C:$C,"DM")+SUMIFS('BALANCE 2025'!$I:$I,'BALANCE 2025'!$C:$C,"DMBJ")-(SUMIFS('BALANCE 2025'!$H:$H,'BALANCE 2025'!$C:$C,"DM"))</f>
        <v>0</v>
      </c>
      <c r="E53" s="15" t="n">
        <f aca="false">SUMIFS('BALANCE 2026'!$I:$I,'BALANCE 2026'!$C:$C,"DM")+SUMIFS('BALANCE 2026'!$I:$I,'BALANCE 2026'!$C:$C,"DMBJ")-(SUMIFS('BALANCE 2026'!$H:$H,'BALANCE 2026'!$C:$C,"DM"))</f>
        <v>0</v>
      </c>
      <c r="F53" s="15" t="n">
        <f aca="false">SUMIFS('BALANCE 2027'!$I:$I,'BALANCE 2027'!$C:$C,"DM")+SUMIFS('BALANCE 2027'!$I:$I,'BALANCE 2027'!$C:$C,"DMBJ")-(SUMIFS('BALANCE 2027'!$H:$H,'BALANCE 2027'!$C:$C,"DM"))</f>
        <v>0</v>
      </c>
      <c r="G53" s="15" t="n">
        <f aca="false">SUMIFS('BALANCE 2028'!$I:$I,'BALANCE 2028'!$C:$C,"DM")+SUMIFS('BALANCE 2028'!$I:$I,'BALANCE 2028'!$C:$C,"DMBJ")-(SUMIFS('BALANCE 2028'!$H:$H,'BALANCE 2028'!$C:$C,"DM"))</f>
        <v>0</v>
      </c>
      <c r="H53" s="15" t="n">
        <f aca="false">SUMIFS('BALANCE 2029'!$I:$I,'BALANCE 2029'!$C:$C,"DM")+SUMIFS('BALANCE 2029'!$I:$I,'BALANCE 2029'!$C:$C,"DMBJ")-(SUMIFS('BALANCE 2029'!$H:$H,'BALANCE 2029'!$C:$C,"DM"))</f>
        <v>0</v>
      </c>
    </row>
    <row r="54" customFormat="false" ht="15" hidden="false" customHeight="false" outlineLevel="0" collapsed="false">
      <c r="A54" s="13" t="s">
        <v>414</v>
      </c>
      <c r="B54" s="12" t="s">
        <v>415</v>
      </c>
      <c r="C54" s="15" t="n">
        <f aca="false">SUMIFS('BALANCE 2024'!$I:$I,'BALANCE 2024'!$C:$C,"DN")-(SUMIFS('BALANCE 2024'!$H:$H,'BALANCE 2024'!$C:$C,"DN"))</f>
        <v>0</v>
      </c>
      <c r="D54" s="15" t="n">
        <f aca="false">SUMIFS('BALANCE 2025'!$I:$I,'BALANCE 2025'!$C:$C,"DN")-(SUMIFS('BALANCE 2025'!$H:$H,'BALANCE 2025'!$C:$C,"DN"))</f>
        <v>0</v>
      </c>
      <c r="E54" s="15" t="n">
        <f aca="false">SUMIFS('BALANCE 2026'!$I:$I,'BALANCE 2026'!$C:$C,"DN")-(SUMIFS('BALANCE 2026'!$H:$H,'BALANCE 2026'!$C:$C,"DN"))</f>
        <v>0</v>
      </c>
      <c r="F54" s="15" t="n">
        <f aca="false">SUMIFS('BALANCE 2027'!$I:$I,'BALANCE 2027'!$C:$C,"DN")-(SUMIFS('BALANCE 2027'!$H:$H,'BALANCE 2027'!$C:$C,"DN"))</f>
        <v>0</v>
      </c>
      <c r="G54" s="15" t="n">
        <f aca="false">SUMIFS('BALANCE 2028'!$I:$I,'BALANCE 2028'!$C:$C,"DN")-(SUMIFS('BALANCE 2028'!$H:$H,'BALANCE 2028'!$C:$C,"DN"))</f>
        <v>0</v>
      </c>
      <c r="H54" s="15" t="n">
        <f aca="false">SUMIFS('BALANCE 2029'!$I:$I,'BALANCE 2029'!$C:$C,"DN")-(SUMIFS('BALANCE 2029'!$H:$H,'BALANCE 2029'!$C:$C,"DN"))</f>
        <v>0</v>
      </c>
    </row>
    <row r="55" customFormat="false" ht="15" hidden="false" customHeight="false" outlineLevel="0" collapsed="false">
      <c r="A55" s="35" t="s">
        <v>416</v>
      </c>
      <c r="B55" s="35" t="s">
        <v>417</v>
      </c>
      <c r="C55" s="36" t="n">
        <f aca="false">C49+C50+C51+C52+C53+C54</f>
        <v>311635522</v>
      </c>
      <c r="D55" s="36" t="n">
        <f aca="false">D49+D50+D51+D52+D53+D54</f>
        <v>249082302</v>
      </c>
      <c r="E55" s="36" t="n">
        <f aca="false">E49+E50+E51+E52+E53+E54</f>
        <v>210516589</v>
      </c>
      <c r="F55" s="36" t="n">
        <f aca="false">F49+F50+F51+F52+F53+F54</f>
        <v>220794358</v>
      </c>
      <c r="G55" s="36" t="n">
        <f aca="false">G49+G50+G51+G52+G53+G54</f>
        <v>247364354</v>
      </c>
      <c r="H55" s="36" t="n">
        <f aca="false">H49+H50+H51+H52+H53+H54</f>
        <v>244528752</v>
      </c>
      <c r="I55" s="34"/>
    </row>
    <row r="56" customFormat="false" ht="15" hidden="false" customHeight="false" outlineLevel="0" collapsed="false">
      <c r="A56" s="13" t="s">
        <v>418</v>
      </c>
      <c r="B56" s="12" t="s">
        <v>419</v>
      </c>
      <c r="C56" s="15" t="n">
        <f aca="false">SUMIFS('BALANCE 2024'!$I:$I,'BALANCE 2024'!$C:$C,"DQ")-(SUMIFS('BALANCE 2024'!$H:$H,'BALANCE 2024'!$C:$C,"DQ"))</f>
        <v>0</v>
      </c>
      <c r="D56" s="15" t="n">
        <f aca="false">SUMIFS('BALANCE 2025'!$I:$I,'BALANCE 2025'!$C:$C,"DQ")-(SUMIFS('BALANCE 2025'!$H:$H,'BALANCE 2025'!$C:$C,"DQ"))</f>
        <v>0</v>
      </c>
      <c r="E56" s="15" t="n">
        <f aca="false">SUMIFS('BALANCE 2026'!$I:$I,'BALANCE 2026'!$C:$C,"DQ")-(SUMIFS('BALANCE 2026'!$H:$H,'BALANCE 2026'!$C:$C,"DQ"))</f>
        <v>0</v>
      </c>
      <c r="F56" s="15" t="n">
        <f aca="false">SUMIFS('BALANCE 2027'!$I:$I,'BALANCE 2027'!$C:$C,"DQ")-(SUMIFS('BALANCE 2027'!$H:$H,'BALANCE 2027'!$C:$C,"DQ"))</f>
        <v>0</v>
      </c>
      <c r="G56" s="15" t="n">
        <f aca="false">SUMIFS('BALANCE 2028'!$I:$I,'BALANCE 2028'!$C:$C,"DQ")-(SUMIFS('BALANCE 2028'!$H:$H,'BALANCE 2028'!$C:$C,"DQ"))</f>
        <v>0</v>
      </c>
      <c r="H56" s="15" t="n">
        <f aca="false">SUMIFS('BALANCE 2029'!$I:$I,'BALANCE 2029'!$C:$C,"DQ")-(SUMIFS('BALANCE 2029'!$H:$H,'BALANCE 2029'!$C:$C,"DQ"))</f>
        <v>0</v>
      </c>
    </row>
    <row r="57" customFormat="false" ht="15" hidden="false" customHeight="false" outlineLevel="0" collapsed="false">
      <c r="A57" s="13" t="s">
        <v>420</v>
      </c>
      <c r="B57" s="12" t="s">
        <v>421</v>
      </c>
      <c r="C57" s="15" t="n">
        <f aca="false">SUMIFS('BALANCE 2024'!$I:$I,'BALANCE 2024'!$C:$C,"DR")+SUMIFS('BALANCE 2024'!$I:$I,'BALANCE 2024'!$C:$C,"TRESO")-(SUMIFS('BALANCE 2024'!$H:$H,'BALANCE 2024'!$C:$C,"DR"))</f>
        <v>0</v>
      </c>
      <c r="D57" s="15" t="n">
        <f aca="false">SUMIFS('BALANCE 2025'!$I:$I,'BALANCE 2025'!$C:$C,"DR")+SUMIFS('BALANCE 2025'!$I:$I,'BALANCE 2025'!$C:$C,"TRESO")-(SUMIFS('BALANCE 2025'!$H:$H,'BALANCE 2025'!$C:$C,"DR"))</f>
        <v>0</v>
      </c>
      <c r="E57" s="15" t="n">
        <f aca="false">SUMIFS('BALANCE 2026'!$I:$I,'BALANCE 2026'!$C:$C,"DR")+SUMIFS('BALANCE 2026'!$I:$I,'BALANCE 2026'!$C:$C,"TRESO")-(SUMIFS('BALANCE 2026'!$H:$H,'BALANCE 2026'!$C:$C,"DR"))</f>
        <v>0</v>
      </c>
      <c r="F57" s="15" t="n">
        <f aca="false">SUMIFS('BALANCE 2027'!$I:$I,'BALANCE 2027'!$C:$C,"DR")+SUMIFS('BALANCE 2027'!$I:$I,'BALANCE 2027'!$C:$C,"TRESO")-(SUMIFS('BALANCE 2027'!$H:$H,'BALANCE 2027'!$C:$C,"DR"))</f>
        <v>0</v>
      </c>
      <c r="G57" s="15" t="n">
        <f aca="false">SUMIFS('BALANCE 2028'!$I:$I,'BALANCE 2028'!$C:$C,"DR")+SUMIFS('BALANCE 2028'!$I:$I,'BALANCE 2028'!$C:$C,"TRESO")-(SUMIFS('BALANCE 2028'!$H:$H,'BALANCE 2028'!$C:$C,"DR"))</f>
        <v>0</v>
      </c>
      <c r="H57" s="15" t="n">
        <f aca="false">SUMIFS('BALANCE 2029'!$I:$I,'BALANCE 2029'!$C:$C,"DR")+SUMIFS('BALANCE 2029'!$I:$I,'BALANCE 2029'!$C:$C,"TRESO")-(SUMIFS('BALANCE 2029'!$H:$H,'BALANCE 2029'!$C:$C,"DR"))</f>
        <v>0</v>
      </c>
    </row>
    <row r="58" customFormat="false" ht="15" hidden="false" customHeight="false" outlineLevel="0" collapsed="false">
      <c r="A58" s="35" t="s">
        <v>422</v>
      </c>
      <c r="B58" s="35" t="s">
        <v>423</v>
      </c>
      <c r="C58" s="36" t="n">
        <f aca="false">C56+C57</f>
        <v>0</v>
      </c>
      <c r="D58" s="36" t="n">
        <f aca="false">D56+D57</f>
        <v>0</v>
      </c>
      <c r="E58" s="36" t="n">
        <f aca="false">E56+E57</f>
        <v>0</v>
      </c>
      <c r="F58" s="36" t="n">
        <f aca="false">F56+F57</f>
        <v>0</v>
      </c>
      <c r="G58" s="36" t="n">
        <f aca="false">G56+G57</f>
        <v>0</v>
      </c>
      <c r="H58" s="36" t="n">
        <f aca="false">H56+H57</f>
        <v>0</v>
      </c>
      <c r="I58" s="34"/>
    </row>
    <row r="59" customFormat="false" ht="15" hidden="false" customHeight="false" outlineLevel="0" collapsed="false">
      <c r="A59" s="13" t="s">
        <v>424</v>
      </c>
      <c r="B59" s="12" t="s">
        <v>425</v>
      </c>
      <c r="C59" s="15" t="n">
        <f aca="false">SUMIFS('BALANCE 2024'!$I:$I,'BALANCE 2024'!$C:$C,"DV")-(SUMIFS('BALANCE 2024'!$H:$H,'BALANCE 2024'!$C:$C,"DV"))</f>
        <v>0</v>
      </c>
      <c r="D59" s="15" t="n">
        <f aca="false">SUMIFS('BALANCE 2025'!$I:$I,'BALANCE 2025'!$C:$C,"DV")-(SUMIFS('BALANCE 2025'!$H:$H,'BALANCE 2025'!$C:$C,"DV"))</f>
        <v>0</v>
      </c>
      <c r="E59" s="15" t="n">
        <f aca="false">SUMIFS('BALANCE 2026'!$I:$I,'BALANCE 2026'!$C:$C,"DV")-(SUMIFS('BALANCE 2026'!$H:$H,'BALANCE 2026'!$C:$C,"DV"))</f>
        <v>0</v>
      </c>
      <c r="F59" s="15" t="n">
        <f aca="false">SUMIFS('BALANCE 2027'!$I:$I,'BALANCE 2027'!$C:$C,"DV")-(SUMIFS('BALANCE 2027'!$H:$H,'BALANCE 2027'!$C:$C,"DV"))</f>
        <v>0</v>
      </c>
      <c r="G59" s="15" t="n">
        <f aca="false">SUMIFS('BALANCE 2028'!$I:$I,'BALANCE 2028'!$C:$C,"DV")-(SUMIFS('BALANCE 2028'!$H:$H,'BALANCE 2028'!$C:$C,"DV"))</f>
        <v>0</v>
      </c>
      <c r="H59" s="15" t="n">
        <f aca="false">SUMIFS('BALANCE 2029'!$I:$I,'BALANCE 2029'!$C:$C,"DV")-(SUMIFS('BALANCE 2029'!$H:$H,'BALANCE 2029'!$C:$C,"DV"))</f>
        <v>0</v>
      </c>
    </row>
    <row r="60" customFormat="false" ht="15" hidden="false" customHeight="false" outlineLevel="0" collapsed="false">
      <c r="A60" s="35" t="s">
        <v>426</v>
      </c>
      <c r="B60" s="35" t="s">
        <v>427</v>
      </c>
      <c r="C60" s="36" t="n">
        <f aca="false">C48+C55+C58+C59</f>
        <v>1239686672</v>
      </c>
      <c r="D60" s="36" t="n">
        <f aca="false">D48+D55+D58+D59</f>
        <v>1225429090</v>
      </c>
      <c r="E60" s="36" t="n">
        <f aca="false">E48+E55+E58+E59</f>
        <v>1278934200</v>
      </c>
      <c r="F60" s="36" t="n">
        <f aca="false">F48+F55+F58+F59</f>
        <v>1386749600</v>
      </c>
      <c r="G60" s="36" t="n">
        <f aca="false">G48+G55+G58+G59</f>
        <v>1520265730</v>
      </c>
      <c r="H60" s="36" t="n">
        <f aca="false">H48+H55+H58+H59</f>
        <v>1631569567</v>
      </c>
      <c r="I60" s="39" t="n">
        <f aca="false">IF(OR(C60&lt;=0,H60&lt;=0),"",(H60/C60)^(1/5)-1)</f>
        <v>0.056473803743418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ignoredErrors>
    <ignoredError sqref="A1:Z400" formula="1" formulaRange="1" unlockedFormula="1" numberStoredAsText="1" emptyCellReferenc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A1:I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2"/>
    <col collapsed="false" customWidth="true" hidden="false" outlineLevel="0" max="8" min="3" style="0" width="16"/>
    <col collapsed="false" customWidth="true" hidden="false" outlineLevel="0" max="9" min="9" style="0" width="13"/>
  </cols>
  <sheetData>
    <row r="1" customFormat="false" ht="24" hidden="false" customHeight="true" outlineLevel="0" collapsed="false">
      <c r="A1" s="1" t="s">
        <v>428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429</v>
      </c>
    </row>
    <row r="3" customFormat="false" ht="15" hidden="false" customHeight="false" outlineLevel="0" collapsed="false">
      <c r="A3" s="4" t="str">
        <f aca="false">"Entité : "&amp;HYPOTHESES!$C$4</f>
        <v>Entité : MON ENTREPRISE</v>
      </c>
    </row>
    <row r="5" customFormat="false" ht="15" hidden="false" customHeight="false" outlineLevel="0" collapsed="false">
      <c r="A5" s="27" t="s">
        <v>338</v>
      </c>
      <c r="B5" s="27" t="s">
        <v>430</v>
      </c>
      <c r="C5" s="27" t="str">
        <f aca="false">"Réel "&amp;HYPOTHESES!$C$5</f>
        <v>Réel 2024</v>
      </c>
      <c r="D5" s="38" t="n">
        <f aca="false">HYPOTHESES!$C$5+1</f>
        <v>2025</v>
      </c>
      <c r="E5" s="38" t="n">
        <f aca="false">HYPOTHESES!$C$5+2</f>
        <v>2026</v>
      </c>
      <c r="F5" s="38" t="n">
        <f aca="false">HYPOTHESES!$C$5+3</f>
        <v>2027</v>
      </c>
      <c r="G5" s="38" t="n">
        <f aca="false">HYPOTHESES!$C$5+4</f>
        <v>2028</v>
      </c>
      <c r="H5" s="38" t="n">
        <f aca="false">HYPOTHESES!$C$5+5</f>
        <v>2029</v>
      </c>
      <c r="I5" s="27" t="s">
        <v>340</v>
      </c>
    </row>
    <row r="6" customFormat="false" ht="15" hidden="false" customHeight="false" outlineLevel="0" collapsed="false">
      <c r="A6" s="13" t="s">
        <v>431</v>
      </c>
      <c r="B6" s="12" t="s">
        <v>432</v>
      </c>
      <c r="C6" s="15" t="n">
        <f aca="false">SUMIFS('BALANCE 2024'!$I:$I,'BALANCE 2024'!$C:$C,"TA")-(SUMIFS('BALANCE 2024'!$H:$H,'BALANCE 2024'!$C:$C,"TA"))</f>
        <v>0</v>
      </c>
      <c r="D6" s="15" t="n">
        <f aca="false">SUMIFS('BALANCE 2025'!$I:$I,'BALANCE 2025'!$C:$C,"TA")-(SUMIFS('BALANCE 2025'!$H:$H,'BALANCE 2025'!$C:$C,"TA"))</f>
        <v>0</v>
      </c>
      <c r="E6" s="15" t="n">
        <f aca="false">SUMIFS('BALANCE 2026'!$I:$I,'BALANCE 2026'!$C:$C,"TA")-(SUMIFS('BALANCE 2026'!$H:$H,'BALANCE 2026'!$C:$C,"TA"))</f>
        <v>0</v>
      </c>
      <c r="F6" s="15" t="n">
        <f aca="false">SUMIFS('BALANCE 2027'!$I:$I,'BALANCE 2027'!$C:$C,"TA")-(SUMIFS('BALANCE 2027'!$H:$H,'BALANCE 2027'!$C:$C,"TA"))</f>
        <v>0</v>
      </c>
      <c r="G6" s="15" t="n">
        <f aca="false">SUMIFS('BALANCE 2028'!$I:$I,'BALANCE 2028'!$C:$C,"TA")-(SUMIFS('BALANCE 2028'!$H:$H,'BALANCE 2028'!$C:$C,"TA"))</f>
        <v>0</v>
      </c>
      <c r="H6" s="15" t="n">
        <f aca="false">SUMIFS('BALANCE 2029'!$I:$I,'BALANCE 2029'!$C:$C,"TA")-(SUMIFS('BALANCE 2029'!$H:$H,'BALANCE 2029'!$C:$C,"TA"))</f>
        <v>0</v>
      </c>
    </row>
    <row r="7" customFormat="false" ht="15" hidden="false" customHeight="false" outlineLevel="0" collapsed="false">
      <c r="A7" s="13" t="s">
        <v>433</v>
      </c>
      <c r="B7" s="12" t="s">
        <v>434</v>
      </c>
      <c r="C7" s="15" t="n">
        <f aca="false">SUMIFS('BALANCE 2024'!$I:$I,'BALANCE 2024'!$C:$C,"RA")-(SUMIFS('BALANCE 2024'!$H:$H,'BALANCE 2024'!$C:$C,"RA"))</f>
        <v>0</v>
      </c>
      <c r="D7" s="15" t="n">
        <f aca="false">SUMIFS('BALANCE 2025'!$I:$I,'BALANCE 2025'!$C:$C,"RA")-(SUMIFS('BALANCE 2025'!$H:$H,'BALANCE 2025'!$C:$C,"RA"))</f>
        <v>0</v>
      </c>
      <c r="E7" s="15" t="n">
        <f aca="false">SUMIFS('BALANCE 2026'!$I:$I,'BALANCE 2026'!$C:$C,"RA")-(SUMIFS('BALANCE 2026'!$H:$H,'BALANCE 2026'!$C:$C,"RA"))</f>
        <v>0</v>
      </c>
      <c r="F7" s="15" t="n">
        <f aca="false">SUMIFS('BALANCE 2027'!$I:$I,'BALANCE 2027'!$C:$C,"RA")-(SUMIFS('BALANCE 2027'!$H:$H,'BALANCE 2027'!$C:$C,"RA"))</f>
        <v>0</v>
      </c>
      <c r="G7" s="15" t="n">
        <f aca="false">SUMIFS('BALANCE 2028'!$I:$I,'BALANCE 2028'!$C:$C,"RA")-(SUMIFS('BALANCE 2028'!$H:$H,'BALANCE 2028'!$C:$C,"RA"))</f>
        <v>0</v>
      </c>
      <c r="H7" s="15" t="n">
        <f aca="false">SUMIFS('BALANCE 2029'!$I:$I,'BALANCE 2029'!$C:$C,"RA")-(SUMIFS('BALANCE 2029'!$H:$H,'BALANCE 2029'!$C:$C,"RA"))</f>
        <v>0</v>
      </c>
    </row>
    <row r="8" customFormat="false" ht="15" hidden="false" customHeight="false" outlineLevel="0" collapsed="false">
      <c r="A8" s="13" t="s">
        <v>435</v>
      </c>
      <c r="B8" s="12" t="s">
        <v>436</v>
      </c>
      <c r="C8" s="15" t="n">
        <f aca="false">SUMIFS('BALANCE 2024'!$I:$I,'BALANCE 2024'!$C:$C,"RB")-(SUMIFS('BALANCE 2024'!$H:$H,'BALANCE 2024'!$C:$C,"RB"))</f>
        <v>0</v>
      </c>
      <c r="D8" s="15" t="n">
        <f aca="false">SUMIFS('BALANCE 2025'!$I:$I,'BALANCE 2025'!$C:$C,"RB")-(SUMIFS('BALANCE 2025'!$H:$H,'BALANCE 2025'!$C:$C,"RB"))</f>
        <v>0</v>
      </c>
      <c r="E8" s="15" t="n">
        <f aca="false">SUMIFS('BALANCE 2026'!$I:$I,'BALANCE 2026'!$C:$C,"RB")-(SUMIFS('BALANCE 2026'!$H:$H,'BALANCE 2026'!$C:$C,"RB"))</f>
        <v>0</v>
      </c>
      <c r="F8" s="15" t="n">
        <f aca="false">SUMIFS('BALANCE 2027'!$I:$I,'BALANCE 2027'!$C:$C,"RB")-(SUMIFS('BALANCE 2027'!$H:$H,'BALANCE 2027'!$C:$C,"RB"))</f>
        <v>0</v>
      </c>
      <c r="G8" s="15" t="n">
        <f aca="false">SUMIFS('BALANCE 2028'!$I:$I,'BALANCE 2028'!$C:$C,"RB")-(SUMIFS('BALANCE 2028'!$H:$H,'BALANCE 2028'!$C:$C,"RB"))</f>
        <v>0</v>
      </c>
      <c r="H8" s="15" t="n">
        <f aca="false">SUMIFS('BALANCE 2029'!$I:$I,'BALANCE 2029'!$C:$C,"RB")-(SUMIFS('BALANCE 2029'!$H:$H,'BALANCE 2029'!$C:$C,"RB"))</f>
        <v>0</v>
      </c>
    </row>
    <row r="9" customFormat="false" ht="15" hidden="false" customHeight="false" outlineLevel="0" collapsed="false">
      <c r="A9" s="35" t="s">
        <v>437</v>
      </c>
      <c r="B9" s="35" t="s">
        <v>438</v>
      </c>
      <c r="C9" s="36" t="n">
        <f aca="false">C6+C7+C8</f>
        <v>0</v>
      </c>
      <c r="D9" s="36" t="n">
        <f aca="false">D6+D7+D8</f>
        <v>0</v>
      </c>
      <c r="E9" s="36" t="n">
        <f aca="false">E6+E7+E8</f>
        <v>0</v>
      </c>
      <c r="F9" s="36" t="n">
        <f aca="false">F6+F7+F8</f>
        <v>0</v>
      </c>
      <c r="G9" s="36" t="n">
        <f aca="false">G6+G7+G8</f>
        <v>0</v>
      </c>
      <c r="H9" s="36" t="n">
        <f aca="false">H6+H7+H8</f>
        <v>0</v>
      </c>
      <c r="I9" s="34"/>
    </row>
    <row r="10" customFormat="false" ht="15" hidden="false" customHeight="false" outlineLevel="0" collapsed="false">
      <c r="A10" s="13" t="s">
        <v>439</v>
      </c>
      <c r="B10" s="12" t="s">
        <v>440</v>
      </c>
      <c r="C10" s="15" t="n">
        <f aca="false">SUMIFS('BALANCE 2024'!$I:$I,'BALANCE 2024'!$C:$C,"TB")-(SUMIFS('BALANCE 2024'!$H:$H,'BALANCE 2024'!$C:$C,"TB"))</f>
        <v>0</v>
      </c>
      <c r="D10" s="15" t="n">
        <f aca="false">SUMIFS('BALANCE 2025'!$I:$I,'BALANCE 2025'!$C:$C,"TB")-(SUMIFS('BALANCE 2025'!$H:$H,'BALANCE 2025'!$C:$C,"TB"))</f>
        <v>0</v>
      </c>
      <c r="E10" s="15" t="n">
        <f aca="false">SUMIFS('BALANCE 2026'!$I:$I,'BALANCE 2026'!$C:$C,"TB")-(SUMIFS('BALANCE 2026'!$H:$H,'BALANCE 2026'!$C:$C,"TB"))</f>
        <v>0</v>
      </c>
      <c r="F10" s="15" t="n">
        <f aca="false">SUMIFS('BALANCE 2027'!$I:$I,'BALANCE 2027'!$C:$C,"TB")-(SUMIFS('BALANCE 2027'!$H:$H,'BALANCE 2027'!$C:$C,"TB"))</f>
        <v>0</v>
      </c>
      <c r="G10" s="15" t="n">
        <f aca="false">SUMIFS('BALANCE 2028'!$I:$I,'BALANCE 2028'!$C:$C,"TB")-(SUMIFS('BALANCE 2028'!$H:$H,'BALANCE 2028'!$C:$C,"TB"))</f>
        <v>0</v>
      </c>
      <c r="H10" s="15" t="n">
        <f aca="false">SUMIFS('BALANCE 2029'!$I:$I,'BALANCE 2029'!$C:$C,"TB")-(SUMIFS('BALANCE 2029'!$H:$H,'BALANCE 2029'!$C:$C,"TB"))</f>
        <v>0</v>
      </c>
    </row>
    <row r="11" customFormat="false" ht="15" hidden="false" customHeight="false" outlineLevel="0" collapsed="false">
      <c r="A11" s="13" t="s">
        <v>319</v>
      </c>
      <c r="B11" s="12" t="s">
        <v>441</v>
      </c>
      <c r="C11" s="15" t="n">
        <f aca="false">SUMIFS('BALANCE 2024'!$I:$I,'BALANCE 2024'!$C:$C,"TC")-(SUMIFS('BALANCE 2024'!$H:$H,'BALANCE 2024'!$C:$C,"TC"))</f>
        <v>701026695</v>
      </c>
      <c r="D11" s="15" t="n">
        <f aca="false">SUMIFS('BALANCE 2025'!$I:$I,'BALANCE 2025'!$C:$C,"TC")-(SUMIFS('BALANCE 2025'!$H:$H,'BALANCE 2025'!$C:$C,"TC"))</f>
        <v>750098564</v>
      </c>
      <c r="E11" s="15" t="n">
        <f aca="false">SUMIFS('BALANCE 2026'!$I:$I,'BALANCE 2026'!$C:$C,"TC")-(SUMIFS('BALANCE 2026'!$H:$H,'BALANCE 2026'!$C:$C,"TC"))</f>
        <v>787603492</v>
      </c>
      <c r="F11" s="15" t="n">
        <f aca="false">SUMIFS('BALANCE 2027'!$I:$I,'BALANCE 2027'!$C:$C,"TC")-(SUMIFS('BALANCE 2027'!$H:$H,'BALANCE 2027'!$C:$C,"TC"))</f>
        <v>826983667</v>
      </c>
      <c r="G11" s="15" t="n">
        <f aca="false">SUMIFS('BALANCE 2028'!$I:$I,'BALANCE 2028'!$C:$C,"TC")-(SUMIFS('BALANCE 2028'!$H:$H,'BALANCE 2028'!$C:$C,"TC"))</f>
        <v>868332850</v>
      </c>
      <c r="H11" s="15" t="n">
        <f aca="false">SUMIFS('BALANCE 2029'!$I:$I,'BALANCE 2029'!$C:$C,"TC")-(SUMIFS('BALANCE 2029'!$H:$H,'BALANCE 2029'!$C:$C,"TC"))</f>
        <v>911749493</v>
      </c>
    </row>
    <row r="12" customFormat="false" ht="15" hidden="false" customHeight="false" outlineLevel="0" collapsed="false">
      <c r="A12" s="13" t="s">
        <v>442</v>
      </c>
      <c r="B12" s="12" t="s">
        <v>443</v>
      </c>
      <c r="C12" s="15" t="n">
        <f aca="false">SUMIFS('BALANCE 2024'!$I:$I,'BALANCE 2024'!$C:$C,"TD")-(SUMIFS('BALANCE 2024'!$H:$H,'BALANCE 2024'!$C:$C,"TD"))</f>
        <v>0</v>
      </c>
      <c r="D12" s="15" t="n">
        <f aca="false">SUMIFS('BALANCE 2025'!$I:$I,'BALANCE 2025'!$C:$C,"TD")-(SUMIFS('BALANCE 2025'!$H:$H,'BALANCE 2025'!$C:$C,"TD"))</f>
        <v>0</v>
      </c>
      <c r="E12" s="15" t="n">
        <f aca="false">SUMIFS('BALANCE 2026'!$I:$I,'BALANCE 2026'!$C:$C,"TD")-(SUMIFS('BALANCE 2026'!$H:$H,'BALANCE 2026'!$C:$C,"TD"))</f>
        <v>0</v>
      </c>
      <c r="F12" s="15" t="n">
        <f aca="false">SUMIFS('BALANCE 2027'!$I:$I,'BALANCE 2027'!$C:$C,"TD")-(SUMIFS('BALANCE 2027'!$H:$H,'BALANCE 2027'!$C:$C,"TD"))</f>
        <v>0</v>
      </c>
      <c r="G12" s="15" t="n">
        <f aca="false">SUMIFS('BALANCE 2028'!$I:$I,'BALANCE 2028'!$C:$C,"TD")-(SUMIFS('BALANCE 2028'!$H:$H,'BALANCE 2028'!$C:$C,"TD"))</f>
        <v>0</v>
      </c>
      <c r="H12" s="15" t="n">
        <f aca="false">SUMIFS('BALANCE 2029'!$I:$I,'BALANCE 2029'!$C:$C,"TD")-(SUMIFS('BALANCE 2029'!$H:$H,'BALANCE 2029'!$C:$C,"TD"))</f>
        <v>0</v>
      </c>
    </row>
    <row r="13" customFormat="false" ht="15" hidden="false" customHeight="false" outlineLevel="0" collapsed="false">
      <c r="A13" s="35" t="s">
        <v>444</v>
      </c>
      <c r="B13" s="35" t="s">
        <v>445</v>
      </c>
      <c r="C13" s="36" t="n">
        <f aca="false">C6+C10+C11+C12</f>
        <v>701026695</v>
      </c>
      <c r="D13" s="36" t="n">
        <f aca="false">D6+D10+D11+D12</f>
        <v>750098564</v>
      </c>
      <c r="E13" s="36" t="n">
        <f aca="false">E6+E10+E11+E12</f>
        <v>787603492</v>
      </c>
      <c r="F13" s="36" t="n">
        <f aca="false">F6+F10+F11+F12</f>
        <v>826983667</v>
      </c>
      <c r="G13" s="36" t="n">
        <f aca="false">G6+G10+G11+G12</f>
        <v>868332850</v>
      </c>
      <c r="H13" s="36" t="n">
        <f aca="false">H6+H10+H11+H12</f>
        <v>911749493</v>
      </c>
      <c r="I13" s="39" t="n">
        <f aca="false">IF(OR(C13&lt;=0,H13&lt;=0),"",(H13/C13)^(1/5)-1)</f>
        <v>0.0539698677084928</v>
      </c>
    </row>
    <row r="14" customFormat="false" ht="15" hidden="false" customHeight="false" outlineLevel="0" collapsed="false">
      <c r="A14" s="13" t="s">
        <v>446</v>
      </c>
      <c r="B14" s="12" t="s">
        <v>447</v>
      </c>
      <c r="C14" s="15" t="n">
        <f aca="false">SUMIFS('BALANCE 2024'!$I:$I,'BALANCE 2024'!$C:$C,"TE")-(SUMIFS('BALANCE 2024'!$H:$H,'BALANCE 2024'!$C:$C,"TE"))</f>
        <v>0</v>
      </c>
      <c r="D14" s="15" t="n">
        <f aca="false">SUMIFS('BALANCE 2025'!$I:$I,'BALANCE 2025'!$C:$C,"TE")-(SUMIFS('BALANCE 2025'!$H:$H,'BALANCE 2025'!$C:$C,"TE"))</f>
        <v>0</v>
      </c>
      <c r="E14" s="15" t="n">
        <f aca="false">SUMIFS('BALANCE 2026'!$I:$I,'BALANCE 2026'!$C:$C,"TE")-(SUMIFS('BALANCE 2026'!$H:$H,'BALANCE 2026'!$C:$C,"TE"))</f>
        <v>0</v>
      </c>
      <c r="F14" s="15" t="n">
        <f aca="false">SUMIFS('BALANCE 2027'!$I:$I,'BALANCE 2027'!$C:$C,"TE")-(SUMIFS('BALANCE 2027'!$H:$H,'BALANCE 2027'!$C:$C,"TE"))</f>
        <v>0</v>
      </c>
      <c r="G14" s="15" t="n">
        <f aca="false">SUMIFS('BALANCE 2028'!$I:$I,'BALANCE 2028'!$C:$C,"TE")-(SUMIFS('BALANCE 2028'!$H:$H,'BALANCE 2028'!$C:$C,"TE"))</f>
        <v>0</v>
      </c>
      <c r="H14" s="15" t="n">
        <f aca="false">SUMIFS('BALANCE 2029'!$I:$I,'BALANCE 2029'!$C:$C,"TE")-(SUMIFS('BALANCE 2029'!$H:$H,'BALANCE 2029'!$C:$C,"TE"))</f>
        <v>0</v>
      </c>
    </row>
    <row r="15" customFormat="false" ht="15" hidden="false" customHeight="false" outlineLevel="0" collapsed="false">
      <c r="A15" s="13" t="s">
        <v>448</v>
      </c>
      <c r="B15" s="12" t="s">
        <v>449</v>
      </c>
      <c r="C15" s="15" t="n">
        <f aca="false">SUMIFS('BALANCE 2024'!$I:$I,'BALANCE 2024'!$C:$C,"TF")-(SUMIFS('BALANCE 2024'!$H:$H,'BALANCE 2024'!$C:$C,"TF"))</f>
        <v>0</v>
      </c>
      <c r="D15" s="15" t="n">
        <f aca="false">SUMIFS('BALANCE 2025'!$I:$I,'BALANCE 2025'!$C:$C,"TF")-(SUMIFS('BALANCE 2025'!$H:$H,'BALANCE 2025'!$C:$C,"TF"))</f>
        <v>0</v>
      </c>
      <c r="E15" s="15" t="n">
        <f aca="false">SUMIFS('BALANCE 2026'!$I:$I,'BALANCE 2026'!$C:$C,"TF")-(SUMIFS('BALANCE 2026'!$H:$H,'BALANCE 2026'!$C:$C,"TF"))</f>
        <v>0</v>
      </c>
      <c r="F15" s="15" t="n">
        <f aca="false">SUMIFS('BALANCE 2027'!$I:$I,'BALANCE 2027'!$C:$C,"TF")-(SUMIFS('BALANCE 2027'!$H:$H,'BALANCE 2027'!$C:$C,"TF"))</f>
        <v>0</v>
      </c>
      <c r="G15" s="15" t="n">
        <f aca="false">SUMIFS('BALANCE 2028'!$I:$I,'BALANCE 2028'!$C:$C,"TF")-(SUMIFS('BALANCE 2028'!$H:$H,'BALANCE 2028'!$C:$C,"TF"))</f>
        <v>0</v>
      </c>
      <c r="H15" s="15" t="n">
        <f aca="false">SUMIFS('BALANCE 2029'!$I:$I,'BALANCE 2029'!$C:$C,"TF")-(SUMIFS('BALANCE 2029'!$H:$H,'BALANCE 2029'!$C:$C,"TF"))</f>
        <v>0</v>
      </c>
    </row>
    <row r="16" customFormat="false" ht="15" hidden="false" customHeight="false" outlineLevel="0" collapsed="false">
      <c r="A16" s="13" t="s">
        <v>450</v>
      </c>
      <c r="B16" s="12" t="s">
        <v>451</v>
      </c>
      <c r="C16" s="15" t="n">
        <f aca="false">SUMIFS('BALANCE 2024'!$I:$I,'BALANCE 2024'!$C:$C,"TG")-(SUMIFS('BALANCE 2024'!$H:$H,'BALANCE 2024'!$C:$C,"TG"))</f>
        <v>0</v>
      </c>
      <c r="D16" s="15" t="n">
        <f aca="false">SUMIFS('BALANCE 2025'!$I:$I,'BALANCE 2025'!$C:$C,"TG")-(SUMIFS('BALANCE 2025'!$H:$H,'BALANCE 2025'!$C:$C,"TG"))</f>
        <v>0</v>
      </c>
      <c r="E16" s="15" t="n">
        <f aca="false">SUMIFS('BALANCE 2026'!$I:$I,'BALANCE 2026'!$C:$C,"TG")-(SUMIFS('BALANCE 2026'!$H:$H,'BALANCE 2026'!$C:$C,"TG"))</f>
        <v>0</v>
      </c>
      <c r="F16" s="15" t="n">
        <f aca="false">SUMIFS('BALANCE 2027'!$I:$I,'BALANCE 2027'!$C:$C,"TG")-(SUMIFS('BALANCE 2027'!$H:$H,'BALANCE 2027'!$C:$C,"TG"))</f>
        <v>0</v>
      </c>
      <c r="G16" s="15" t="n">
        <f aca="false">SUMIFS('BALANCE 2028'!$I:$I,'BALANCE 2028'!$C:$C,"TG")-(SUMIFS('BALANCE 2028'!$H:$H,'BALANCE 2028'!$C:$C,"TG"))</f>
        <v>0</v>
      </c>
      <c r="H16" s="15" t="n">
        <f aca="false">SUMIFS('BALANCE 2029'!$I:$I,'BALANCE 2029'!$C:$C,"TG")-(SUMIFS('BALANCE 2029'!$H:$H,'BALANCE 2029'!$C:$C,"TG"))</f>
        <v>0</v>
      </c>
    </row>
    <row r="17" customFormat="false" ht="15" hidden="false" customHeight="false" outlineLevel="0" collapsed="false">
      <c r="A17" s="13" t="s">
        <v>452</v>
      </c>
      <c r="B17" s="12" t="s">
        <v>453</v>
      </c>
      <c r="C17" s="15" t="n">
        <f aca="false">SUMIFS('BALANCE 2024'!$I:$I,'BALANCE 2024'!$C:$C,"TH")-(SUMIFS('BALANCE 2024'!$H:$H,'BALANCE 2024'!$C:$C,"TH"))</f>
        <v>0</v>
      </c>
      <c r="D17" s="15" t="n">
        <f aca="false">SUMIFS('BALANCE 2025'!$I:$I,'BALANCE 2025'!$C:$C,"TH")-(SUMIFS('BALANCE 2025'!$H:$H,'BALANCE 2025'!$C:$C,"TH"))</f>
        <v>0</v>
      </c>
      <c r="E17" s="15" t="n">
        <f aca="false">SUMIFS('BALANCE 2026'!$I:$I,'BALANCE 2026'!$C:$C,"TH")-(SUMIFS('BALANCE 2026'!$H:$H,'BALANCE 2026'!$C:$C,"TH"))</f>
        <v>0</v>
      </c>
      <c r="F17" s="15" t="n">
        <f aca="false">SUMIFS('BALANCE 2027'!$I:$I,'BALANCE 2027'!$C:$C,"TH")-(SUMIFS('BALANCE 2027'!$H:$H,'BALANCE 2027'!$C:$C,"TH"))</f>
        <v>0</v>
      </c>
      <c r="G17" s="15" t="n">
        <f aca="false">SUMIFS('BALANCE 2028'!$I:$I,'BALANCE 2028'!$C:$C,"TH")-(SUMIFS('BALANCE 2028'!$H:$H,'BALANCE 2028'!$C:$C,"TH"))</f>
        <v>0</v>
      </c>
      <c r="H17" s="15" t="n">
        <f aca="false">SUMIFS('BALANCE 2029'!$I:$I,'BALANCE 2029'!$C:$C,"TH")-(SUMIFS('BALANCE 2029'!$H:$H,'BALANCE 2029'!$C:$C,"TH"))</f>
        <v>0</v>
      </c>
    </row>
    <row r="18" customFormat="false" ht="15" hidden="false" customHeight="false" outlineLevel="0" collapsed="false">
      <c r="A18" s="13" t="s">
        <v>454</v>
      </c>
      <c r="B18" s="12" t="s">
        <v>455</v>
      </c>
      <c r="C18" s="15" t="n">
        <f aca="false">SUMIFS('BALANCE 2024'!$I:$I,'BALANCE 2024'!$C:$C,"TI")-(SUMIFS('BALANCE 2024'!$H:$H,'BALANCE 2024'!$C:$C,"TI"))</f>
        <v>0</v>
      </c>
      <c r="D18" s="15" t="n">
        <f aca="false">SUMIFS('BALANCE 2025'!$I:$I,'BALANCE 2025'!$C:$C,"TI")-(SUMIFS('BALANCE 2025'!$H:$H,'BALANCE 2025'!$C:$C,"TI"))</f>
        <v>0</v>
      </c>
      <c r="E18" s="15" t="n">
        <f aca="false">SUMIFS('BALANCE 2026'!$I:$I,'BALANCE 2026'!$C:$C,"TI")-(SUMIFS('BALANCE 2026'!$H:$H,'BALANCE 2026'!$C:$C,"TI"))</f>
        <v>0</v>
      </c>
      <c r="F18" s="15" t="n">
        <f aca="false">SUMIFS('BALANCE 2027'!$I:$I,'BALANCE 2027'!$C:$C,"TI")-(SUMIFS('BALANCE 2027'!$H:$H,'BALANCE 2027'!$C:$C,"TI"))</f>
        <v>0</v>
      </c>
      <c r="G18" s="15" t="n">
        <f aca="false">SUMIFS('BALANCE 2028'!$I:$I,'BALANCE 2028'!$C:$C,"TI")-(SUMIFS('BALANCE 2028'!$H:$H,'BALANCE 2028'!$C:$C,"TI"))</f>
        <v>0</v>
      </c>
      <c r="H18" s="15" t="n">
        <f aca="false">SUMIFS('BALANCE 2029'!$I:$I,'BALANCE 2029'!$C:$C,"TI")-(SUMIFS('BALANCE 2029'!$H:$H,'BALANCE 2029'!$C:$C,"TI"))</f>
        <v>0</v>
      </c>
    </row>
    <row r="19" customFormat="false" ht="15" hidden="false" customHeight="false" outlineLevel="0" collapsed="false">
      <c r="A19" s="13" t="s">
        <v>456</v>
      </c>
      <c r="B19" s="12" t="s">
        <v>457</v>
      </c>
      <c r="C19" s="15" t="n">
        <f aca="false">SUMIFS('BALANCE 2024'!$I:$I,'BALANCE 2024'!$C:$C,"RC")-(SUMIFS('BALANCE 2024'!$H:$H,'BALANCE 2024'!$C:$C,"RC"))</f>
        <v>0</v>
      </c>
      <c r="D19" s="15" t="n">
        <f aca="false">SUMIFS('BALANCE 2025'!$I:$I,'BALANCE 2025'!$C:$C,"RC")-(SUMIFS('BALANCE 2025'!$H:$H,'BALANCE 2025'!$C:$C,"RC"))</f>
        <v>0</v>
      </c>
      <c r="E19" s="15" t="n">
        <f aca="false">SUMIFS('BALANCE 2026'!$I:$I,'BALANCE 2026'!$C:$C,"RC")-(SUMIFS('BALANCE 2026'!$H:$H,'BALANCE 2026'!$C:$C,"RC"))</f>
        <v>0</v>
      </c>
      <c r="F19" s="15" t="n">
        <f aca="false">SUMIFS('BALANCE 2027'!$I:$I,'BALANCE 2027'!$C:$C,"RC")-(SUMIFS('BALANCE 2027'!$H:$H,'BALANCE 2027'!$C:$C,"RC"))</f>
        <v>0</v>
      </c>
      <c r="G19" s="15" t="n">
        <f aca="false">SUMIFS('BALANCE 2028'!$I:$I,'BALANCE 2028'!$C:$C,"RC")-(SUMIFS('BALANCE 2028'!$H:$H,'BALANCE 2028'!$C:$C,"RC"))</f>
        <v>0</v>
      </c>
      <c r="H19" s="15" t="n">
        <f aca="false">SUMIFS('BALANCE 2029'!$I:$I,'BALANCE 2029'!$C:$C,"RC")-(SUMIFS('BALANCE 2029'!$H:$H,'BALANCE 2029'!$C:$C,"RC"))</f>
        <v>0</v>
      </c>
    </row>
    <row r="20" customFormat="false" ht="15" hidden="false" customHeight="false" outlineLevel="0" collapsed="false">
      <c r="A20" s="13" t="s">
        <v>458</v>
      </c>
      <c r="B20" s="12" t="s">
        <v>459</v>
      </c>
      <c r="C20" s="15" t="n">
        <f aca="false">SUMIFS('BALANCE 2024'!$I:$I,'BALANCE 2024'!$C:$C,"RD")-(SUMIFS('BALANCE 2024'!$H:$H,'BALANCE 2024'!$C:$C,"RD"))</f>
        <v>0</v>
      </c>
      <c r="D20" s="15" t="n">
        <f aca="false">SUMIFS('BALANCE 2025'!$I:$I,'BALANCE 2025'!$C:$C,"RD")-(SUMIFS('BALANCE 2025'!$H:$H,'BALANCE 2025'!$C:$C,"RD"))</f>
        <v>0</v>
      </c>
      <c r="E20" s="15" t="n">
        <f aca="false">SUMIFS('BALANCE 2026'!$I:$I,'BALANCE 2026'!$C:$C,"RD")-(SUMIFS('BALANCE 2026'!$H:$H,'BALANCE 2026'!$C:$C,"RD"))</f>
        <v>0</v>
      </c>
      <c r="F20" s="15" t="n">
        <f aca="false">SUMIFS('BALANCE 2027'!$I:$I,'BALANCE 2027'!$C:$C,"RD")-(SUMIFS('BALANCE 2027'!$H:$H,'BALANCE 2027'!$C:$C,"RD"))</f>
        <v>0</v>
      </c>
      <c r="G20" s="15" t="n">
        <f aca="false">SUMIFS('BALANCE 2028'!$I:$I,'BALANCE 2028'!$C:$C,"RD")-(SUMIFS('BALANCE 2028'!$H:$H,'BALANCE 2028'!$C:$C,"RD"))</f>
        <v>0</v>
      </c>
      <c r="H20" s="15" t="n">
        <f aca="false">SUMIFS('BALANCE 2029'!$I:$I,'BALANCE 2029'!$C:$C,"RD")-(SUMIFS('BALANCE 2029'!$H:$H,'BALANCE 2029'!$C:$C,"RD"))</f>
        <v>0</v>
      </c>
    </row>
    <row r="21" customFormat="false" ht="15" hidden="false" customHeight="false" outlineLevel="0" collapsed="false">
      <c r="A21" s="13" t="s">
        <v>268</v>
      </c>
      <c r="B21" s="12" t="s">
        <v>460</v>
      </c>
      <c r="C21" s="15" t="n">
        <f aca="false">SUMIFS('BALANCE 2024'!$I:$I,'BALANCE 2024'!$C:$C,"RE")-(SUMIFS('BALANCE 2024'!$H:$H,'BALANCE 2024'!$C:$C,"RE"))</f>
        <v>-278141464</v>
      </c>
      <c r="D21" s="15" t="n">
        <f aca="false">SUMIFS('BALANCE 2025'!$I:$I,'BALANCE 2025'!$C:$C,"RE")-(SUMIFS('BALANCE 2025'!$H:$H,'BALANCE 2025'!$C:$C,"RE"))</f>
        <v>-297639110</v>
      </c>
      <c r="E21" s="15" t="n">
        <f aca="false">SUMIFS('BALANCE 2026'!$I:$I,'BALANCE 2026'!$C:$C,"RE")-(SUMIFS('BALANCE 2026'!$H:$H,'BALANCE 2026'!$C:$C,"RE"))</f>
        <v>-312521066</v>
      </c>
      <c r="F21" s="15" t="n">
        <f aca="false">SUMIFS('BALANCE 2027'!$I:$I,'BALANCE 2027'!$C:$C,"RE")-(SUMIFS('BALANCE 2027'!$H:$H,'BALANCE 2027'!$C:$C,"RE"))</f>
        <v>-328147119</v>
      </c>
      <c r="G21" s="15" t="n">
        <f aca="false">SUMIFS('BALANCE 2028'!$I:$I,'BALANCE 2028'!$C:$C,"RE")-(SUMIFS('BALANCE 2028'!$H:$H,'BALANCE 2028'!$C:$C,"RE"))</f>
        <v>-344554475</v>
      </c>
      <c r="H21" s="15" t="n">
        <f aca="false">SUMIFS('BALANCE 2029'!$I:$I,'BALANCE 2029'!$C:$C,"RE")-(SUMIFS('BALANCE 2029'!$H:$H,'BALANCE 2029'!$C:$C,"RE"))</f>
        <v>-361782199</v>
      </c>
    </row>
    <row r="22" customFormat="false" ht="15" hidden="false" customHeight="false" outlineLevel="0" collapsed="false">
      <c r="A22" s="13" t="s">
        <v>461</v>
      </c>
      <c r="B22" s="12" t="s">
        <v>462</v>
      </c>
      <c r="C22" s="15" t="n">
        <f aca="false">SUMIFS('BALANCE 2024'!$I:$I,'BALANCE 2024'!$C:$C,"RF")-(SUMIFS('BALANCE 2024'!$H:$H,'BALANCE 2024'!$C:$C,"RF"))</f>
        <v>0</v>
      </c>
      <c r="D22" s="15" t="n">
        <f aca="false">SUMIFS('BALANCE 2025'!$I:$I,'BALANCE 2025'!$C:$C,"RF")-(SUMIFS('BALANCE 2025'!$H:$H,'BALANCE 2025'!$C:$C,"RF"))</f>
        <v>0</v>
      </c>
      <c r="E22" s="15" t="n">
        <f aca="false">SUMIFS('BALANCE 2026'!$I:$I,'BALANCE 2026'!$C:$C,"RF")-(SUMIFS('BALANCE 2026'!$H:$H,'BALANCE 2026'!$C:$C,"RF"))</f>
        <v>0</v>
      </c>
      <c r="F22" s="15" t="n">
        <f aca="false">SUMIFS('BALANCE 2027'!$I:$I,'BALANCE 2027'!$C:$C,"RF")-(SUMIFS('BALANCE 2027'!$H:$H,'BALANCE 2027'!$C:$C,"RF"))</f>
        <v>0</v>
      </c>
      <c r="G22" s="15" t="n">
        <f aca="false">SUMIFS('BALANCE 2028'!$I:$I,'BALANCE 2028'!$C:$C,"RF")-(SUMIFS('BALANCE 2028'!$H:$H,'BALANCE 2028'!$C:$C,"RF"))</f>
        <v>0</v>
      </c>
      <c r="H22" s="15" t="n">
        <f aca="false">SUMIFS('BALANCE 2029'!$I:$I,'BALANCE 2029'!$C:$C,"RF")-(SUMIFS('BALANCE 2029'!$H:$H,'BALANCE 2029'!$C:$C,"RF"))</f>
        <v>0</v>
      </c>
    </row>
    <row r="23" customFormat="false" ht="15" hidden="false" customHeight="false" outlineLevel="0" collapsed="false">
      <c r="A23" s="13" t="s">
        <v>277</v>
      </c>
      <c r="B23" s="12" t="s">
        <v>23</v>
      </c>
      <c r="C23" s="15" t="n">
        <f aca="false">SUMIFS('BALANCE 2024'!$I:$I,'BALANCE 2024'!$C:$C,"RG")-(SUMIFS('BALANCE 2024'!$H:$H,'BALANCE 2024'!$C:$C,"RG"))</f>
        <v>-3820098</v>
      </c>
      <c r="D23" s="15" t="n">
        <f aca="false">SUMIFS('BALANCE 2025'!$I:$I,'BALANCE 2025'!$C:$C,"RG")-(SUMIFS('BALANCE 2025'!$H:$H,'BALANCE 2025'!$C:$C,"RG"))</f>
        <v>-4050532</v>
      </c>
      <c r="E23" s="15" t="n">
        <f aca="false">SUMIFS('BALANCE 2026'!$I:$I,'BALANCE 2026'!$C:$C,"RG")-(SUMIFS('BALANCE 2026'!$H:$H,'BALANCE 2026'!$C:$C,"RG"))</f>
        <v>-4253059</v>
      </c>
      <c r="F23" s="15" t="n">
        <f aca="false">SUMIFS('BALANCE 2027'!$I:$I,'BALANCE 2027'!$C:$C,"RG")-(SUMIFS('BALANCE 2027'!$H:$H,'BALANCE 2027'!$C:$C,"RG"))</f>
        <v>-4465712</v>
      </c>
      <c r="G23" s="15" t="n">
        <f aca="false">SUMIFS('BALANCE 2028'!$I:$I,'BALANCE 2028'!$C:$C,"RG")-(SUMIFS('BALANCE 2028'!$H:$H,'BALANCE 2028'!$C:$C,"RG"))</f>
        <v>-4688997</v>
      </c>
      <c r="H23" s="15" t="n">
        <f aca="false">SUMIFS('BALANCE 2029'!$I:$I,'BALANCE 2029'!$C:$C,"RG")-(SUMIFS('BALANCE 2029'!$H:$H,'BALANCE 2029'!$C:$C,"RG"))</f>
        <v>-4923447</v>
      </c>
    </row>
    <row r="24" customFormat="false" ht="15" hidden="false" customHeight="false" outlineLevel="0" collapsed="false">
      <c r="A24" s="13" t="s">
        <v>281</v>
      </c>
      <c r="B24" s="12" t="s">
        <v>25</v>
      </c>
      <c r="C24" s="15" t="n">
        <f aca="false">SUMIFS('BALANCE 2024'!$I:$I,'BALANCE 2024'!$C:$C,"RH")-(SUMIFS('BALANCE 2024'!$H:$H,'BALANCE 2024'!$C:$C,"RH"))</f>
        <v>-106769083</v>
      </c>
      <c r="D24" s="15" t="n">
        <f aca="false">SUMIFS('BALANCE 2025'!$I:$I,'BALANCE 2025'!$C:$C,"RH")-(SUMIFS('BALANCE 2025'!$H:$H,'BALANCE 2025'!$C:$C,"RH"))</f>
        <v>-114240011</v>
      </c>
      <c r="E24" s="15" t="n">
        <f aca="false">SUMIFS('BALANCE 2026'!$I:$I,'BALANCE 2026'!$C:$C,"RH")-(SUMIFS('BALANCE 2026'!$H:$H,'BALANCE 2026'!$C:$C,"RH"))</f>
        <v>-119952012</v>
      </c>
      <c r="F24" s="15" t="n">
        <f aca="false">SUMIFS('BALANCE 2027'!$I:$I,'BALANCE 2027'!$C:$C,"RH")-(SUMIFS('BALANCE 2027'!$H:$H,'BALANCE 2027'!$C:$C,"RH"))</f>
        <v>-125949612</v>
      </c>
      <c r="G24" s="15" t="n">
        <f aca="false">SUMIFS('BALANCE 2028'!$I:$I,'BALANCE 2028'!$C:$C,"RH")-(SUMIFS('BALANCE 2028'!$H:$H,'BALANCE 2028'!$C:$C,"RH"))</f>
        <v>-132247093</v>
      </c>
      <c r="H24" s="15" t="n">
        <f aca="false">SUMIFS('BALANCE 2029'!$I:$I,'BALANCE 2029'!$C:$C,"RH")-(SUMIFS('BALANCE 2029'!$H:$H,'BALANCE 2029'!$C:$C,"RH"))</f>
        <v>-138859448</v>
      </c>
    </row>
    <row r="25" customFormat="false" ht="15" hidden="false" customHeight="false" outlineLevel="0" collapsed="false">
      <c r="A25" s="13" t="s">
        <v>291</v>
      </c>
      <c r="B25" s="12" t="s">
        <v>27</v>
      </c>
      <c r="C25" s="15" t="n">
        <f aca="false">SUMIFS('BALANCE 2024'!$I:$I,'BALANCE 2024'!$C:$C,"RI")-(SUMIFS('BALANCE 2024'!$H:$H,'BALANCE 2024'!$C:$C,"RI"))</f>
        <v>-14869670</v>
      </c>
      <c r="D25" s="15" t="n">
        <f aca="false">SUMIFS('BALANCE 2025'!$I:$I,'BALANCE 2025'!$C:$C,"RI")-(SUMIFS('BALANCE 2025'!$H:$H,'BALANCE 2025'!$C:$C,"RI"))</f>
        <v>-15902090</v>
      </c>
      <c r="E25" s="15" t="n">
        <f aca="false">SUMIFS('BALANCE 2026'!$I:$I,'BALANCE 2026'!$C:$C,"RI")-(SUMIFS('BALANCE 2026'!$H:$H,'BALANCE 2026'!$C:$C,"RI"))</f>
        <v>-16697194</v>
      </c>
      <c r="F25" s="15" t="n">
        <f aca="false">SUMIFS('BALANCE 2027'!$I:$I,'BALANCE 2027'!$C:$C,"RI")-(SUMIFS('BALANCE 2027'!$H:$H,'BALANCE 2027'!$C:$C,"RI"))</f>
        <v>-17532054</v>
      </c>
      <c r="G25" s="15" t="n">
        <f aca="false">SUMIFS('BALANCE 2028'!$I:$I,'BALANCE 2028'!$C:$C,"RI")-(SUMIFS('BALANCE 2028'!$H:$H,'BALANCE 2028'!$C:$C,"RI"))</f>
        <v>-18408656</v>
      </c>
      <c r="H25" s="15" t="n">
        <f aca="false">SUMIFS('BALANCE 2029'!$I:$I,'BALANCE 2029'!$C:$C,"RI")-(SUMIFS('BALANCE 2029'!$H:$H,'BALANCE 2029'!$C:$C,"RI"))</f>
        <v>-19329089</v>
      </c>
    </row>
    <row r="26" customFormat="false" ht="15" hidden="false" customHeight="false" outlineLevel="0" collapsed="false">
      <c r="A26" s="13" t="s">
        <v>301</v>
      </c>
      <c r="B26" s="12" t="s">
        <v>29</v>
      </c>
      <c r="C26" s="15" t="n">
        <f aca="false">SUMIFS('BALANCE 2024'!$I:$I,'BALANCE 2024'!$C:$C,"RJ")-(SUMIFS('BALANCE 2024'!$H:$H,'BALANCE 2024'!$C:$C,"RJ"))</f>
        <v>-1316731</v>
      </c>
      <c r="D26" s="15" t="n">
        <f aca="false">SUMIFS('BALANCE 2025'!$I:$I,'BALANCE 2025'!$C:$C,"RJ")-(SUMIFS('BALANCE 2025'!$H:$H,'BALANCE 2025'!$C:$C,"RJ"))</f>
        <v>-1425187</v>
      </c>
      <c r="E26" s="15" t="n">
        <f aca="false">SUMIFS('BALANCE 2026'!$I:$I,'BALANCE 2026'!$C:$C,"RJ")-(SUMIFS('BALANCE 2026'!$H:$H,'BALANCE 2026'!$C:$C,"RJ"))</f>
        <v>-1496447</v>
      </c>
      <c r="F26" s="15" t="n">
        <f aca="false">SUMIFS('BALANCE 2027'!$I:$I,'BALANCE 2027'!$C:$C,"RJ")-(SUMIFS('BALANCE 2027'!$H:$H,'BALANCE 2027'!$C:$C,"RJ"))</f>
        <v>-1571269</v>
      </c>
      <c r="G26" s="15" t="n">
        <f aca="false">SUMIFS('BALANCE 2028'!$I:$I,'BALANCE 2028'!$C:$C,"RJ")-(SUMIFS('BALANCE 2028'!$H:$H,'BALANCE 2028'!$C:$C,"RJ"))</f>
        <v>-1649832</v>
      </c>
      <c r="H26" s="15" t="n">
        <f aca="false">SUMIFS('BALANCE 2029'!$I:$I,'BALANCE 2029'!$C:$C,"RJ")-(SUMIFS('BALANCE 2029'!$H:$H,'BALANCE 2029'!$C:$C,"RJ"))</f>
        <v>-1732324</v>
      </c>
    </row>
    <row r="27" customFormat="false" ht="15" hidden="false" customHeight="false" outlineLevel="0" collapsed="false">
      <c r="A27" s="35" t="s">
        <v>463</v>
      </c>
      <c r="B27" s="35" t="s">
        <v>464</v>
      </c>
      <c r="C27" s="36" t="n">
        <f aca="false">C13+C7+C8+C14+C15+C16+C17+C18+C19+C20+C21+C22+C23+C24+C25+C26</f>
        <v>296109649</v>
      </c>
      <c r="D27" s="36" t="n">
        <f aca="false">D13+D7+D8+D14+D15+D16+D17+D18+D19+D20+D21+D22+D23+D24+D25+D26</f>
        <v>316841634</v>
      </c>
      <c r="E27" s="36" t="n">
        <f aca="false">E13+E7+E8+E14+E15+E16+E17+E18+E19+E20+E21+E22+E23+E24+E25+E26</f>
        <v>332683714</v>
      </c>
      <c r="F27" s="36" t="n">
        <f aca="false">F13+F7+F8+F14+F15+F16+F17+F18+F19+F20+F21+F22+F23+F24+F25+F26</f>
        <v>349317901</v>
      </c>
      <c r="G27" s="36" t="n">
        <f aca="false">G13+G7+G8+G14+G15+G16+G17+G18+G19+G20+G21+G22+G23+G24+G25+G26</f>
        <v>366783797</v>
      </c>
      <c r="H27" s="36" t="n">
        <f aca="false">H13+H7+H8+H14+H15+H16+H17+H18+H19+H20+H21+H22+H23+H24+H25+H26</f>
        <v>385122986</v>
      </c>
      <c r="I27" s="34"/>
    </row>
    <row r="28" customFormat="false" ht="15" hidden="false" customHeight="false" outlineLevel="0" collapsed="false">
      <c r="A28" s="13" t="s">
        <v>303</v>
      </c>
      <c r="B28" s="12" t="s">
        <v>31</v>
      </c>
      <c r="C28" s="15" t="n">
        <f aca="false">SUMIFS('BALANCE 2024'!$I:$I,'BALANCE 2024'!$C:$C,"RK")-(SUMIFS('BALANCE 2024'!$H:$H,'BALANCE 2024'!$C:$C,"RK"))</f>
        <v>-106025515</v>
      </c>
      <c r="D28" s="15" t="n">
        <f aca="false">SUMIFS('BALANCE 2025'!$I:$I,'BALANCE 2025'!$C:$C,"RK")-(SUMIFS('BALANCE 2025'!$H:$H,'BALANCE 2025'!$C:$C,"RK"))</f>
        <v>-113414903</v>
      </c>
      <c r="E28" s="15" t="n">
        <f aca="false">SUMIFS('BALANCE 2026'!$I:$I,'BALANCE 2026'!$C:$C,"RK")-(SUMIFS('BALANCE 2026'!$H:$H,'BALANCE 2026'!$C:$C,"RK"))</f>
        <v>-119085648</v>
      </c>
      <c r="F28" s="15" t="n">
        <f aca="false">SUMIFS('BALANCE 2027'!$I:$I,'BALANCE 2027'!$C:$C,"RK")-(SUMIFS('BALANCE 2027'!$H:$H,'BALANCE 2027'!$C:$C,"RK"))</f>
        <v>-125039930</v>
      </c>
      <c r="G28" s="15" t="n">
        <f aca="false">SUMIFS('BALANCE 2028'!$I:$I,'BALANCE 2028'!$C:$C,"RK")-(SUMIFS('BALANCE 2028'!$H:$H,'BALANCE 2028'!$C:$C,"RK"))</f>
        <v>-131291927</v>
      </c>
      <c r="H28" s="15" t="n">
        <f aca="false">SUMIFS('BALANCE 2029'!$I:$I,'BALANCE 2029'!$C:$C,"RK")-(SUMIFS('BALANCE 2029'!$H:$H,'BALANCE 2029'!$C:$C,"RK"))</f>
        <v>-137856523</v>
      </c>
    </row>
    <row r="29" customFormat="false" ht="15" hidden="false" customHeight="false" outlineLevel="0" collapsed="false">
      <c r="A29" s="35" t="s">
        <v>465</v>
      </c>
      <c r="B29" s="35" t="s">
        <v>466</v>
      </c>
      <c r="C29" s="36" t="n">
        <f aca="false">C27+C28</f>
        <v>190084134</v>
      </c>
      <c r="D29" s="36" t="n">
        <f aca="false">D27+D28</f>
        <v>203426731</v>
      </c>
      <c r="E29" s="36" t="n">
        <f aca="false">E27+E28</f>
        <v>213598066</v>
      </c>
      <c r="F29" s="36" t="n">
        <f aca="false">F27+F28</f>
        <v>224277971</v>
      </c>
      <c r="G29" s="36" t="n">
        <f aca="false">G27+G28</f>
        <v>235491870</v>
      </c>
      <c r="H29" s="36" t="n">
        <f aca="false">H27+H28</f>
        <v>247266463</v>
      </c>
      <c r="I29" s="39" t="n">
        <f aca="false">IF(OR(C29&lt;=0,H29&lt;=0),"",(H29/C29)^(1/5)-1)</f>
        <v>0.0540079087068426</v>
      </c>
    </row>
    <row r="30" customFormat="false" ht="15" hidden="false" customHeight="false" outlineLevel="0" collapsed="false">
      <c r="A30" s="13" t="s">
        <v>467</v>
      </c>
      <c r="B30" s="12" t="s">
        <v>468</v>
      </c>
      <c r="C30" s="15" t="n">
        <f aca="false">SUMIFS('BALANCE 2024'!$I:$I,'BALANCE 2024'!$C:$C,"TJ")-(SUMIFS('BALANCE 2024'!$H:$H,'BALANCE 2024'!$C:$C,"TJ"))</f>
        <v>0</v>
      </c>
      <c r="D30" s="15" t="n">
        <f aca="false">SUMIFS('BALANCE 2025'!$I:$I,'BALANCE 2025'!$C:$C,"TJ")-(SUMIFS('BALANCE 2025'!$H:$H,'BALANCE 2025'!$C:$C,"TJ"))</f>
        <v>0</v>
      </c>
      <c r="E30" s="15" t="n">
        <f aca="false">SUMIFS('BALANCE 2026'!$I:$I,'BALANCE 2026'!$C:$C,"TJ")-(SUMIFS('BALANCE 2026'!$H:$H,'BALANCE 2026'!$C:$C,"TJ"))</f>
        <v>0</v>
      </c>
      <c r="F30" s="15" t="n">
        <f aca="false">SUMIFS('BALANCE 2027'!$I:$I,'BALANCE 2027'!$C:$C,"TJ")-(SUMIFS('BALANCE 2027'!$H:$H,'BALANCE 2027'!$C:$C,"TJ"))</f>
        <v>0</v>
      </c>
      <c r="G30" s="15" t="n">
        <f aca="false">SUMIFS('BALANCE 2028'!$I:$I,'BALANCE 2028'!$C:$C,"TJ")-(SUMIFS('BALANCE 2028'!$H:$H,'BALANCE 2028'!$C:$C,"TJ"))</f>
        <v>0</v>
      </c>
      <c r="H30" s="15" t="n">
        <f aca="false">SUMIFS('BALANCE 2029'!$I:$I,'BALANCE 2029'!$C:$C,"TJ")-(SUMIFS('BALANCE 2029'!$H:$H,'BALANCE 2029'!$C:$C,"TJ"))</f>
        <v>0</v>
      </c>
    </row>
    <row r="31" customFormat="false" ht="15" hidden="false" customHeight="false" outlineLevel="0" collapsed="false">
      <c r="A31" s="13" t="s">
        <v>313</v>
      </c>
      <c r="B31" s="12" t="s">
        <v>469</v>
      </c>
      <c r="C31" s="15" t="n">
        <f aca="false">SUMIFS('BALANCE 2024'!$I:$I,'BALANCE 2024'!$C:$C,"RL")-(SUMIFS('BALANCE 2024'!$H:$H,'BALANCE 2024'!$C:$C,"RL"))</f>
        <v>-85892595</v>
      </c>
      <c r="D31" s="15" t="n">
        <f aca="false">SUMIFS('BALANCE 2025'!$I:$I,'BALANCE 2025'!$C:$C,"RL")-(SUMIFS('BALANCE 2025'!$H:$H,'BALANCE 2025'!$C:$C,"RL"))</f>
        <v>-77905456</v>
      </c>
      <c r="E31" s="15" t="n">
        <f aca="false">SUMIFS('BALANCE 2026'!$I:$I,'BALANCE 2026'!$C:$C,"RL")-(SUMIFS('BALANCE 2026'!$H:$H,'BALANCE 2026'!$C:$C,"RL"))</f>
        <v>-99764624</v>
      </c>
      <c r="F31" s="15" t="n">
        <f aca="false">SUMIFS('BALANCE 2027'!$I:$I,'BALANCE 2027'!$C:$C,"RL")-(SUMIFS('BALANCE 2027'!$H:$H,'BALANCE 2027'!$C:$C,"RL"))</f>
        <v>-103155451</v>
      </c>
      <c r="G31" s="15" t="n">
        <f aca="false">SUMIFS('BALANCE 2028'!$I:$I,'BALANCE 2028'!$C:$C,"RL")-(SUMIFS('BALANCE 2028'!$H:$H,'BALANCE 2028'!$C:$C,"RL"))</f>
        <v>-101824680</v>
      </c>
      <c r="H31" s="15" t="n">
        <f aca="false">SUMIFS('BALANCE 2029'!$I:$I,'BALANCE 2029'!$C:$C,"RL")-(SUMIFS('BALANCE 2029'!$H:$H,'BALANCE 2029'!$C:$C,"RL"))</f>
        <v>-104008199</v>
      </c>
    </row>
    <row r="32" customFormat="false" ht="15" hidden="false" customHeight="false" outlineLevel="0" collapsed="false">
      <c r="A32" s="35" t="s">
        <v>470</v>
      </c>
      <c r="B32" s="35" t="s">
        <v>471</v>
      </c>
      <c r="C32" s="36" t="n">
        <f aca="false">C29+C30+C31</f>
        <v>104191539</v>
      </c>
      <c r="D32" s="36" t="n">
        <f aca="false">D29+D30+D31</f>
        <v>125521275</v>
      </c>
      <c r="E32" s="36" t="n">
        <f aca="false">E29+E30+E31</f>
        <v>113833442</v>
      </c>
      <c r="F32" s="36" t="n">
        <f aca="false">F29+F30+F31</f>
        <v>121122520</v>
      </c>
      <c r="G32" s="36" t="n">
        <f aca="false">G29+G30+G31</f>
        <v>133667190</v>
      </c>
      <c r="H32" s="36" t="n">
        <f aca="false">H29+H30+H31</f>
        <v>143258264</v>
      </c>
      <c r="I32" s="34"/>
    </row>
    <row r="33" customFormat="false" ht="15" hidden="false" customHeight="false" outlineLevel="0" collapsed="false">
      <c r="A33" s="13" t="s">
        <v>321</v>
      </c>
      <c r="B33" s="12" t="s">
        <v>472</v>
      </c>
      <c r="C33" s="15" t="n">
        <f aca="false">SUMIFS('BALANCE 2024'!$I:$I,'BALANCE 2024'!$C:$C,"TK")-(SUMIFS('BALANCE 2024'!$H:$H,'BALANCE 2024'!$C:$C,"TK"))</f>
        <v>848594</v>
      </c>
      <c r="D33" s="15" t="n">
        <f aca="false">SUMIFS('BALANCE 2025'!$I:$I,'BALANCE 2025'!$C:$C,"TK")-(SUMIFS('BALANCE 2025'!$H:$H,'BALANCE 2025'!$C:$C,"TK"))</f>
        <v>848594</v>
      </c>
      <c r="E33" s="15" t="n">
        <f aca="false">SUMIFS('BALANCE 2026'!$I:$I,'BALANCE 2026'!$C:$C,"TK")-(SUMIFS('BALANCE 2026'!$H:$H,'BALANCE 2026'!$C:$C,"TK"))</f>
        <v>848594</v>
      </c>
      <c r="F33" s="15" t="n">
        <f aca="false">SUMIFS('BALANCE 2027'!$I:$I,'BALANCE 2027'!$C:$C,"TK")-(SUMIFS('BALANCE 2027'!$H:$H,'BALANCE 2027'!$C:$C,"TK"))</f>
        <v>848594</v>
      </c>
      <c r="G33" s="15" t="n">
        <f aca="false">SUMIFS('BALANCE 2028'!$I:$I,'BALANCE 2028'!$C:$C,"TK")-(SUMIFS('BALANCE 2028'!$H:$H,'BALANCE 2028'!$C:$C,"TK"))</f>
        <v>848594</v>
      </c>
      <c r="H33" s="15" t="n">
        <f aca="false">SUMIFS('BALANCE 2029'!$I:$I,'BALANCE 2029'!$C:$C,"TK")-(SUMIFS('BALANCE 2029'!$H:$H,'BALANCE 2029'!$C:$C,"TK"))</f>
        <v>848594</v>
      </c>
    </row>
    <row r="34" customFormat="false" ht="15" hidden="false" customHeight="false" outlineLevel="0" collapsed="false">
      <c r="A34" s="13" t="s">
        <v>473</v>
      </c>
      <c r="B34" s="12" t="s">
        <v>474</v>
      </c>
      <c r="C34" s="15" t="n">
        <f aca="false">SUMIFS('BALANCE 2024'!$I:$I,'BALANCE 2024'!$C:$C,"TL")-(SUMIFS('BALANCE 2024'!$H:$H,'BALANCE 2024'!$C:$C,"TL"))</f>
        <v>0</v>
      </c>
      <c r="D34" s="15" t="n">
        <f aca="false">SUMIFS('BALANCE 2025'!$I:$I,'BALANCE 2025'!$C:$C,"TL")-(SUMIFS('BALANCE 2025'!$H:$H,'BALANCE 2025'!$C:$C,"TL"))</f>
        <v>0</v>
      </c>
      <c r="E34" s="15" t="n">
        <f aca="false">SUMIFS('BALANCE 2026'!$I:$I,'BALANCE 2026'!$C:$C,"TL")-(SUMIFS('BALANCE 2026'!$H:$H,'BALANCE 2026'!$C:$C,"TL"))</f>
        <v>0</v>
      </c>
      <c r="F34" s="15" t="n">
        <f aca="false">SUMIFS('BALANCE 2027'!$I:$I,'BALANCE 2027'!$C:$C,"TL")-(SUMIFS('BALANCE 2027'!$H:$H,'BALANCE 2027'!$C:$C,"TL"))</f>
        <v>0</v>
      </c>
      <c r="G34" s="15" t="n">
        <f aca="false">SUMIFS('BALANCE 2028'!$I:$I,'BALANCE 2028'!$C:$C,"TL")-(SUMIFS('BALANCE 2028'!$H:$H,'BALANCE 2028'!$C:$C,"TL"))</f>
        <v>0</v>
      </c>
      <c r="H34" s="15" t="n">
        <f aca="false">SUMIFS('BALANCE 2029'!$I:$I,'BALANCE 2029'!$C:$C,"TL")-(SUMIFS('BALANCE 2029'!$H:$H,'BALANCE 2029'!$C:$C,"TL"))</f>
        <v>0</v>
      </c>
    </row>
    <row r="35" customFormat="false" ht="15" hidden="false" customHeight="false" outlineLevel="0" collapsed="false">
      <c r="A35" s="13" t="s">
        <v>475</v>
      </c>
      <c r="B35" s="12" t="s">
        <v>476</v>
      </c>
      <c r="C35" s="15" t="n">
        <f aca="false">SUMIFS('BALANCE 2024'!$I:$I,'BALANCE 2024'!$C:$C,"TM")-(SUMIFS('BALANCE 2024'!$H:$H,'BALANCE 2024'!$C:$C,"TM"))</f>
        <v>0</v>
      </c>
      <c r="D35" s="15" t="n">
        <f aca="false">SUMIFS('BALANCE 2025'!$I:$I,'BALANCE 2025'!$C:$C,"TM")-(SUMIFS('BALANCE 2025'!$H:$H,'BALANCE 2025'!$C:$C,"TM"))</f>
        <v>0</v>
      </c>
      <c r="E35" s="15" t="n">
        <f aca="false">SUMIFS('BALANCE 2026'!$I:$I,'BALANCE 2026'!$C:$C,"TM")-(SUMIFS('BALANCE 2026'!$H:$H,'BALANCE 2026'!$C:$C,"TM"))</f>
        <v>0</v>
      </c>
      <c r="F35" s="15" t="n">
        <f aca="false">SUMIFS('BALANCE 2027'!$I:$I,'BALANCE 2027'!$C:$C,"TM")-(SUMIFS('BALANCE 2027'!$H:$H,'BALANCE 2027'!$C:$C,"TM"))</f>
        <v>0</v>
      </c>
      <c r="G35" s="15" t="n">
        <f aca="false">SUMIFS('BALANCE 2028'!$I:$I,'BALANCE 2028'!$C:$C,"TM")-(SUMIFS('BALANCE 2028'!$H:$H,'BALANCE 2028'!$C:$C,"TM"))</f>
        <v>0</v>
      </c>
      <c r="H35" s="15" t="n">
        <f aca="false">SUMIFS('BALANCE 2029'!$I:$I,'BALANCE 2029'!$C:$C,"TM")-(SUMIFS('BALANCE 2029'!$H:$H,'BALANCE 2029'!$C:$C,"TM"))</f>
        <v>0</v>
      </c>
    </row>
    <row r="36" customFormat="false" ht="15" hidden="false" customHeight="false" outlineLevel="0" collapsed="false">
      <c r="A36" s="13" t="s">
        <v>310</v>
      </c>
      <c r="B36" s="12" t="s">
        <v>477</v>
      </c>
      <c r="C36" s="15" t="n">
        <f aca="false">SUMIFS('BALANCE 2024'!$I:$I,'BALANCE 2024'!$C:$C,"RM")-(SUMIFS('BALANCE 2024'!$H:$H,'BALANCE 2024'!$C:$C,"RM"))</f>
        <v>-8108297</v>
      </c>
      <c r="D36" s="15" t="n">
        <f aca="false">SUMIFS('BALANCE 2025'!$I:$I,'BALANCE 2025'!$C:$C,"RM")-(SUMIFS('BALANCE 2025'!$H:$H,'BALANCE 2025'!$C:$C,"RM"))</f>
        <v>-3016712</v>
      </c>
      <c r="E36" s="15" t="n">
        <f aca="false">SUMIFS('BALANCE 2026'!$I:$I,'BALANCE 2026'!$C:$C,"RM")-(SUMIFS('BALANCE 2026'!$H:$H,'BALANCE 2026'!$C:$C,"RM"))</f>
        <v>0</v>
      </c>
      <c r="F36" s="15" t="n">
        <f aca="false">SUMIFS('BALANCE 2027'!$I:$I,'BALANCE 2027'!$C:$C,"RM")-(SUMIFS('BALANCE 2027'!$H:$H,'BALANCE 2027'!$C:$C,"RM"))</f>
        <v>0</v>
      </c>
      <c r="G36" s="15" t="n">
        <f aca="false">SUMIFS('BALANCE 2028'!$I:$I,'BALANCE 2028'!$C:$C,"RM")-(SUMIFS('BALANCE 2028'!$H:$H,'BALANCE 2028'!$C:$C,"RM"))</f>
        <v>0</v>
      </c>
      <c r="H36" s="15" t="n">
        <f aca="false">SUMIFS('BALANCE 2029'!$I:$I,'BALANCE 2029'!$C:$C,"RM")-(SUMIFS('BALANCE 2029'!$H:$H,'BALANCE 2029'!$C:$C,"RM"))</f>
        <v>0</v>
      </c>
    </row>
    <row r="37" customFormat="false" ht="15" hidden="false" customHeight="false" outlineLevel="0" collapsed="false">
      <c r="A37" s="13" t="s">
        <v>478</v>
      </c>
      <c r="B37" s="12" t="s">
        <v>479</v>
      </c>
      <c r="C37" s="15" t="n">
        <f aca="false">SUMIFS('BALANCE 2024'!$I:$I,'BALANCE 2024'!$C:$C,"RN")-(SUMIFS('BALANCE 2024'!$H:$H,'BALANCE 2024'!$C:$C,"RN"))</f>
        <v>0</v>
      </c>
      <c r="D37" s="15" t="n">
        <f aca="false">SUMIFS('BALANCE 2025'!$I:$I,'BALANCE 2025'!$C:$C,"RN")-(SUMIFS('BALANCE 2025'!$H:$H,'BALANCE 2025'!$C:$C,"RN"))</f>
        <v>0</v>
      </c>
      <c r="E37" s="15" t="n">
        <f aca="false">SUMIFS('BALANCE 2026'!$I:$I,'BALANCE 2026'!$C:$C,"RN")-(SUMIFS('BALANCE 2026'!$H:$H,'BALANCE 2026'!$C:$C,"RN"))</f>
        <v>0</v>
      </c>
      <c r="F37" s="15" t="n">
        <f aca="false">SUMIFS('BALANCE 2027'!$I:$I,'BALANCE 2027'!$C:$C,"RN")-(SUMIFS('BALANCE 2027'!$H:$H,'BALANCE 2027'!$C:$C,"RN"))</f>
        <v>0</v>
      </c>
      <c r="G37" s="15" t="n">
        <f aca="false">SUMIFS('BALANCE 2028'!$I:$I,'BALANCE 2028'!$C:$C,"RN")-(SUMIFS('BALANCE 2028'!$H:$H,'BALANCE 2028'!$C:$C,"RN"))</f>
        <v>0</v>
      </c>
      <c r="H37" s="15" t="n">
        <f aca="false">SUMIFS('BALANCE 2029'!$I:$I,'BALANCE 2029'!$C:$C,"RN")-(SUMIFS('BALANCE 2029'!$H:$H,'BALANCE 2029'!$C:$C,"RN"))</f>
        <v>0</v>
      </c>
    </row>
    <row r="38" customFormat="false" ht="15" hidden="false" customHeight="false" outlineLevel="0" collapsed="false">
      <c r="A38" s="35" t="s">
        <v>480</v>
      </c>
      <c r="B38" s="35" t="s">
        <v>481</v>
      </c>
      <c r="C38" s="36" t="n">
        <f aca="false">C33+C34+C35+C36+C37</f>
        <v>-7259703</v>
      </c>
      <c r="D38" s="36" t="n">
        <f aca="false">D33+D34+D35+D36+D37</f>
        <v>-2168118</v>
      </c>
      <c r="E38" s="36" t="n">
        <f aca="false">E33+E34+E35+E36+E37</f>
        <v>848594</v>
      </c>
      <c r="F38" s="36" t="n">
        <f aca="false">F33+F34+F35+F36+F37</f>
        <v>848594</v>
      </c>
      <c r="G38" s="36" t="n">
        <f aca="false">G33+G34+G35+G36+G37</f>
        <v>848594</v>
      </c>
      <c r="H38" s="36" t="n">
        <f aca="false">H33+H34+H35+H36+H37</f>
        <v>848594</v>
      </c>
      <c r="I38" s="34"/>
    </row>
    <row r="39" customFormat="false" ht="15" hidden="false" customHeight="false" outlineLevel="0" collapsed="false">
      <c r="A39" s="35" t="s">
        <v>482</v>
      </c>
      <c r="B39" s="35" t="s">
        <v>483</v>
      </c>
      <c r="C39" s="36" t="n">
        <f aca="false">C32+C38</f>
        <v>96931836</v>
      </c>
      <c r="D39" s="36" t="n">
        <f aca="false">D32+D38</f>
        <v>123353157</v>
      </c>
      <c r="E39" s="36" t="n">
        <f aca="false">E32+E38</f>
        <v>114682036</v>
      </c>
      <c r="F39" s="36" t="n">
        <f aca="false">F32+F38</f>
        <v>121971114</v>
      </c>
      <c r="G39" s="36" t="n">
        <f aca="false">G32+G38</f>
        <v>134515784</v>
      </c>
      <c r="H39" s="36" t="n">
        <f aca="false">H32+H38</f>
        <v>144106858</v>
      </c>
      <c r="I39" s="34"/>
    </row>
    <row r="40" customFormat="false" ht="15" hidden="false" customHeight="false" outlineLevel="0" collapsed="false">
      <c r="A40" s="13" t="s">
        <v>484</v>
      </c>
      <c r="B40" s="12" t="s">
        <v>485</v>
      </c>
      <c r="C40" s="15" t="n">
        <f aca="false">SUMIFS('BALANCE 2024'!$I:$I,'BALANCE 2024'!$C:$C,"TN")-(SUMIFS('BALANCE 2024'!$H:$H,'BALANCE 2024'!$C:$C,"TN"))</f>
        <v>0</v>
      </c>
      <c r="D40" s="15" t="n">
        <f aca="false">SUMIFS('BALANCE 2025'!$I:$I,'BALANCE 2025'!$C:$C,"TN")-(SUMIFS('BALANCE 2025'!$H:$H,'BALANCE 2025'!$C:$C,"TN"))</f>
        <v>0</v>
      </c>
      <c r="E40" s="15" t="n">
        <f aca="false">SUMIFS('BALANCE 2026'!$I:$I,'BALANCE 2026'!$C:$C,"TN")-(SUMIFS('BALANCE 2026'!$H:$H,'BALANCE 2026'!$C:$C,"TN"))</f>
        <v>0</v>
      </c>
      <c r="F40" s="15" t="n">
        <f aca="false">SUMIFS('BALANCE 2027'!$I:$I,'BALANCE 2027'!$C:$C,"TN")-(SUMIFS('BALANCE 2027'!$H:$H,'BALANCE 2027'!$C:$C,"TN"))</f>
        <v>0</v>
      </c>
      <c r="G40" s="15" t="n">
        <f aca="false">SUMIFS('BALANCE 2028'!$I:$I,'BALANCE 2028'!$C:$C,"TN")-(SUMIFS('BALANCE 2028'!$H:$H,'BALANCE 2028'!$C:$C,"TN"))</f>
        <v>0</v>
      </c>
      <c r="H40" s="15" t="n">
        <f aca="false">SUMIFS('BALANCE 2029'!$I:$I,'BALANCE 2029'!$C:$C,"TN")-(SUMIFS('BALANCE 2029'!$H:$H,'BALANCE 2029'!$C:$C,"TN"))</f>
        <v>0</v>
      </c>
    </row>
    <row r="41" customFormat="false" ht="15" hidden="false" customHeight="false" outlineLevel="0" collapsed="false">
      <c r="A41" s="13" t="s">
        <v>486</v>
      </c>
      <c r="B41" s="12" t="s">
        <v>487</v>
      </c>
      <c r="C41" s="15" t="n">
        <f aca="false">SUMIFS('BALANCE 2024'!$I:$I,'BALANCE 2024'!$C:$C,"TO")-(SUMIFS('BALANCE 2024'!$H:$H,'BALANCE 2024'!$C:$C,"TO"))</f>
        <v>0</v>
      </c>
      <c r="D41" s="15" t="n">
        <f aca="false">SUMIFS('BALANCE 2025'!$I:$I,'BALANCE 2025'!$C:$C,"TO")-(SUMIFS('BALANCE 2025'!$H:$H,'BALANCE 2025'!$C:$C,"TO"))</f>
        <v>0</v>
      </c>
      <c r="E41" s="15" t="n">
        <f aca="false">SUMIFS('BALANCE 2026'!$I:$I,'BALANCE 2026'!$C:$C,"TO")-(SUMIFS('BALANCE 2026'!$H:$H,'BALANCE 2026'!$C:$C,"TO"))</f>
        <v>0</v>
      </c>
      <c r="F41" s="15" t="n">
        <f aca="false">SUMIFS('BALANCE 2027'!$I:$I,'BALANCE 2027'!$C:$C,"TO")-(SUMIFS('BALANCE 2027'!$H:$H,'BALANCE 2027'!$C:$C,"TO"))</f>
        <v>0</v>
      </c>
      <c r="G41" s="15" t="n">
        <f aca="false">SUMIFS('BALANCE 2028'!$I:$I,'BALANCE 2028'!$C:$C,"TO")-(SUMIFS('BALANCE 2028'!$H:$H,'BALANCE 2028'!$C:$C,"TO"))</f>
        <v>0</v>
      </c>
      <c r="H41" s="15" t="n">
        <f aca="false">SUMIFS('BALANCE 2029'!$I:$I,'BALANCE 2029'!$C:$C,"TO")-(SUMIFS('BALANCE 2029'!$H:$H,'BALANCE 2029'!$C:$C,"TO"))</f>
        <v>0</v>
      </c>
    </row>
    <row r="42" customFormat="false" ht="15" hidden="false" customHeight="false" outlineLevel="0" collapsed="false">
      <c r="A42" s="13" t="s">
        <v>488</v>
      </c>
      <c r="B42" s="12" t="s">
        <v>489</v>
      </c>
      <c r="C42" s="15" t="n">
        <f aca="false">SUMIFS('BALANCE 2024'!$I:$I,'BALANCE 2024'!$C:$C,"RO")-(SUMIFS('BALANCE 2024'!$H:$H,'BALANCE 2024'!$C:$C,"RO"))</f>
        <v>0</v>
      </c>
      <c r="D42" s="15" t="n">
        <f aca="false">SUMIFS('BALANCE 2025'!$I:$I,'BALANCE 2025'!$C:$C,"RO")-(SUMIFS('BALANCE 2025'!$H:$H,'BALANCE 2025'!$C:$C,"RO"))</f>
        <v>0</v>
      </c>
      <c r="E42" s="15" t="n">
        <f aca="false">SUMIFS('BALANCE 2026'!$I:$I,'BALANCE 2026'!$C:$C,"RO")-(SUMIFS('BALANCE 2026'!$H:$H,'BALANCE 2026'!$C:$C,"RO"))</f>
        <v>0</v>
      </c>
      <c r="F42" s="15" t="n">
        <f aca="false">SUMIFS('BALANCE 2027'!$I:$I,'BALANCE 2027'!$C:$C,"RO")-(SUMIFS('BALANCE 2027'!$H:$H,'BALANCE 2027'!$C:$C,"RO"))</f>
        <v>0</v>
      </c>
      <c r="G42" s="15" t="n">
        <f aca="false">SUMIFS('BALANCE 2028'!$I:$I,'BALANCE 2028'!$C:$C,"RO")-(SUMIFS('BALANCE 2028'!$H:$H,'BALANCE 2028'!$C:$C,"RO"))</f>
        <v>0</v>
      </c>
      <c r="H42" s="15" t="n">
        <f aca="false">SUMIFS('BALANCE 2029'!$I:$I,'BALANCE 2029'!$C:$C,"RO")-(SUMIFS('BALANCE 2029'!$H:$H,'BALANCE 2029'!$C:$C,"RO"))</f>
        <v>0</v>
      </c>
    </row>
    <row r="43" customFormat="false" ht="15" hidden="false" customHeight="false" outlineLevel="0" collapsed="false">
      <c r="A43" s="13" t="s">
        <v>490</v>
      </c>
      <c r="B43" s="12" t="s">
        <v>491</v>
      </c>
      <c r="C43" s="15" t="n">
        <f aca="false">SUMIFS('BALANCE 2024'!$I:$I,'BALANCE 2024'!$C:$C,"RP")-(SUMIFS('BALANCE 2024'!$H:$H,'BALANCE 2024'!$C:$C,"RP"))</f>
        <v>0</v>
      </c>
      <c r="D43" s="15" t="n">
        <f aca="false">SUMIFS('BALANCE 2025'!$I:$I,'BALANCE 2025'!$C:$C,"RP")-(SUMIFS('BALANCE 2025'!$H:$H,'BALANCE 2025'!$C:$C,"RP"))</f>
        <v>0</v>
      </c>
      <c r="E43" s="15" t="n">
        <f aca="false">SUMIFS('BALANCE 2026'!$I:$I,'BALANCE 2026'!$C:$C,"RP")-(SUMIFS('BALANCE 2026'!$H:$H,'BALANCE 2026'!$C:$C,"RP"))</f>
        <v>0</v>
      </c>
      <c r="F43" s="15" t="n">
        <f aca="false">SUMIFS('BALANCE 2027'!$I:$I,'BALANCE 2027'!$C:$C,"RP")-(SUMIFS('BALANCE 2027'!$H:$H,'BALANCE 2027'!$C:$C,"RP"))</f>
        <v>0</v>
      </c>
      <c r="G43" s="15" t="n">
        <f aca="false">SUMIFS('BALANCE 2028'!$I:$I,'BALANCE 2028'!$C:$C,"RP")-(SUMIFS('BALANCE 2028'!$H:$H,'BALANCE 2028'!$C:$C,"RP"))</f>
        <v>0</v>
      </c>
      <c r="H43" s="15" t="n">
        <f aca="false">SUMIFS('BALANCE 2029'!$I:$I,'BALANCE 2029'!$C:$C,"RP")-(SUMIFS('BALANCE 2029'!$H:$H,'BALANCE 2029'!$C:$C,"RP"))</f>
        <v>0</v>
      </c>
    </row>
    <row r="44" customFormat="false" ht="15" hidden="false" customHeight="false" outlineLevel="0" collapsed="false">
      <c r="A44" s="35" t="s">
        <v>492</v>
      </c>
      <c r="B44" s="35" t="s">
        <v>493</v>
      </c>
      <c r="C44" s="36" t="n">
        <f aca="false">C40+C41+C42+C43</f>
        <v>0</v>
      </c>
      <c r="D44" s="36" t="n">
        <f aca="false">D40+D41+D42+D43</f>
        <v>0</v>
      </c>
      <c r="E44" s="36" t="n">
        <f aca="false">E40+E41+E42+E43</f>
        <v>0</v>
      </c>
      <c r="F44" s="36" t="n">
        <f aca="false">F40+F41+F42+F43</f>
        <v>0</v>
      </c>
      <c r="G44" s="36" t="n">
        <f aca="false">G40+G41+G42+G43</f>
        <v>0</v>
      </c>
      <c r="H44" s="36" t="n">
        <f aca="false">H40+H41+H42+H43</f>
        <v>0</v>
      </c>
      <c r="I44" s="34"/>
    </row>
    <row r="45" customFormat="false" ht="15" hidden="false" customHeight="false" outlineLevel="0" collapsed="false">
      <c r="A45" s="13" t="s">
        <v>494</v>
      </c>
      <c r="B45" s="12" t="s">
        <v>495</v>
      </c>
      <c r="C45" s="15" t="n">
        <f aca="false">SUMIFS('BALANCE 2024'!$I:$I,'BALANCE 2024'!$C:$C,"RQ")-(SUMIFS('BALANCE 2024'!$H:$H,'BALANCE 2024'!$C:$C,"RQ"))</f>
        <v>0</v>
      </c>
      <c r="D45" s="15" t="n">
        <f aca="false">SUMIFS('BALANCE 2025'!$I:$I,'BALANCE 2025'!$C:$C,"RQ")-(SUMIFS('BALANCE 2025'!$H:$H,'BALANCE 2025'!$C:$C,"RQ"))</f>
        <v>0</v>
      </c>
      <c r="E45" s="15" t="n">
        <f aca="false">SUMIFS('BALANCE 2026'!$I:$I,'BALANCE 2026'!$C:$C,"RQ")-(SUMIFS('BALANCE 2026'!$H:$H,'BALANCE 2026'!$C:$C,"RQ"))</f>
        <v>0</v>
      </c>
      <c r="F45" s="15" t="n">
        <f aca="false">SUMIFS('BALANCE 2027'!$I:$I,'BALANCE 2027'!$C:$C,"RQ")-(SUMIFS('BALANCE 2027'!$H:$H,'BALANCE 2027'!$C:$C,"RQ"))</f>
        <v>0</v>
      </c>
      <c r="G45" s="15" t="n">
        <f aca="false">SUMIFS('BALANCE 2028'!$I:$I,'BALANCE 2028'!$C:$C,"RQ")-(SUMIFS('BALANCE 2028'!$H:$H,'BALANCE 2028'!$C:$C,"RQ"))</f>
        <v>0</v>
      </c>
      <c r="H45" s="15" t="n">
        <f aca="false">SUMIFS('BALANCE 2029'!$I:$I,'BALANCE 2029'!$C:$C,"RQ")-(SUMIFS('BALANCE 2029'!$H:$H,'BALANCE 2029'!$C:$C,"RQ"))</f>
        <v>0</v>
      </c>
    </row>
    <row r="46" customFormat="false" ht="15" hidden="false" customHeight="false" outlineLevel="0" collapsed="false">
      <c r="A46" s="13" t="s">
        <v>323</v>
      </c>
      <c r="B46" s="12" t="s">
        <v>496</v>
      </c>
      <c r="C46" s="15" t="n">
        <f aca="false">SUMIFS('BALANCE 2024'!$I:$I,'BALANCE 2024'!$C:$C,"RS")-(SUMIFS('BALANCE 2024'!$H:$H,'BALANCE 2024'!$C:$C,"RS"))</f>
        <v>-24232959</v>
      </c>
      <c r="D46" s="15" t="n">
        <f aca="false">SUMIFS('BALANCE 2025'!$I:$I,'BALANCE 2025'!$C:$C,"RS")-(SUMIFS('BALANCE 2025'!$H:$H,'BALANCE 2025'!$C:$C,"RS"))</f>
        <v>-30838289</v>
      </c>
      <c r="E46" s="15" t="n">
        <f aca="false">SUMIFS('BALANCE 2026'!$I:$I,'BALANCE 2026'!$C:$C,"RS")-(SUMIFS('BALANCE 2026'!$H:$H,'BALANCE 2026'!$C:$C,"RS"))</f>
        <v>-28670509</v>
      </c>
      <c r="F46" s="15" t="n">
        <f aca="false">SUMIFS('BALANCE 2027'!$I:$I,'BALANCE 2027'!$C:$C,"RS")-(SUMIFS('BALANCE 2027'!$H:$H,'BALANCE 2027'!$C:$C,"RS"))</f>
        <v>-30492779</v>
      </c>
      <c r="G46" s="15" t="n">
        <f aca="false">SUMIFS('BALANCE 2028'!$I:$I,'BALANCE 2028'!$C:$C,"RS")-(SUMIFS('BALANCE 2028'!$H:$H,'BALANCE 2028'!$C:$C,"RS"))</f>
        <v>-33628946</v>
      </c>
      <c r="H46" s="15" t="n">
        <f aca="false">SUMIFS('BALANCE 2029'!$I:$I,'BALANCE 2029'!$C:$C,"RS")-(SUMIFS('BALANCE 2029'!$H:$H,'BALANCE 2029'!$C:$C,"RS"))</f>
        <v>-36026715</v>
      </c>
    </row>
    <row r="47" customFormat="false" ht="15" hidden="false" customHeight="false" outlineLevel="0" collapsed="false">
      <c r="A47" s="35" t="s">
        <v>92</v>
      </c>
      <c r="B47" s="35" t="s">
        <v>497</v>
      </c>
      <c r="C47" s="36" t="n">
        <f aca="false">C39+C44+C45+C46</f>
        <v>72698877</v>
      </c>
      <c r="D47" s="36" t="n">
        <f aca="false">D39+D44+D45+D46</f>
        <v>92514868</v>
      </c>
      <c r="E47" s="36" t="n">
        <f aca="false">E39+E44+E45+E46</f>
        <v>86011527</v>
      </c>
      <c r="F47" s="36" t="n">
        <f aca="false">F39+F44+F45+F46</f>
        <v>91478335</v>
      </c>
      <c r="G47" s="36" t="n">
        <f aca="false">G39+G44+G45+G46</f>
        <v>100886838</v>
      </c>
      <c r="H47" s="36" t="n">
        <f aca="false">H39+H44+H45+H46</f>
        <v>108080143</v>
      </c>
      <c r="I47" s="39" t="n">
        <f aca="false">IF(OR(C47&lt;=0,H47&lt;=0),"",(H47/C47)^(1/5)-1)</f>
        <v>0.0825392250754247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ignoredErrors>
    <ignoredError sqref="A1:Z400" formula="1" formulaRange="1" unlockedFormula="1" numberStoredAsText="1" emptyCellReferenc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A1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2"/>
    <col collapsed="false" customWidth="true" hidden="false" outlineLevel="0" max="8" min="3" style="0" width="16"/>
    <col collapsed="false" customWidth="true" hidden="false" outlineLevel="0" max="9" min="9" style="0" width="13"/>
  </cols>
  <sheetData>
    <row r="1" customFormat="false" ht="24" hidden="false" customHeight="true" outlineLevel="0" collapsed="false">
      <c r="A1" s="1" t="s">
        <v>498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499</v>
      </c>
    </row>
    <row r="3" customFormat="false" ht="15" hidden="false" customHeight="false" outlineLevel="0" collapsed="false">
      <c r="A3" s="4" t="str">
        <f aca="false">"Entité : "&amp;HYPOTHESES!$C$4</f>
        <v>Entité : MON ENTREPRISE</v>
      </c>
    </row>
    <row r="5" customFormat="false" ht="15" hidden="false" customHeight="false" outlineLevel="0" collapsed="false">
      <c r="A5" s="27" t="s">
        <v>338</v>
      </c>
      <c r="B5" s="27" t="s">
        <v>500</v>
      </c>
      <c r="C5" s="27" t="str">
        <f aca="false">"Réel "&amp;HYPOTHESES!$C$5</f>
        <v>Réel 2024</v>
      </c>
      <c r="D5" s="38" t="n">
        <f aca="false">HYPOTHESES!$C$5+1</f>
        <v>2025</v>
      </c>
      <c r="E5" s="38" t="n">
        <f aca="false">HYPOTHESES!$C$5+2</f>
        <v>2026</v>
      </c>
      <c r="F5" s="38" t="n">
        <f aca="false">HYPOTHESES!$C$5+3</f>
        <v>2027</v>
      </c>
      <c r="G5" s="38" t="n">
        <f aca="false">HYPOTHESES!$C$5+4</f>
        <v>2028</v>
      </c>
      <c r="H5" s="38" t="n">
        <f aca="false">HYPOTHESES!$C$5+5</f>
        <v>2029</v>
      </c>
      <c r="I5" s="27" t="s">
        <v>340</v>
      </c>
    </row>
    <row r="6" customFormat="false" ht="15" hidden="false" customHeight="false" outlineLevel="0" collapsed="false">
      <c r="A6" s="35" t="s">
        <v>501</v>
      </c>
      <c r="B6" s="35" t="s">
        <v>502</v>
      </c>
      <c r="C6" s="40" t="s">
        <v>503</v>
      </c>
      <c r="D6" s="36" t="n">
        <f aca="false">BILAN!C28-BILAN!C58</f>
        <v>128133958</v>
      </c>
      <c r="E6" s="36" t="n">
        <f aca="false">BILAN!D28-BILAN!D58</f>
        <v>154325995</v>
      </c>
      <c r="F6" s="36" t="n">
        <f aca="false">BILAN!E28-BILAN!E58</f>
        <v>225108073</v>
      </c>
      <c r="G6" s="36" t="n">
        <f aca="false">BILAN!F28-BILAN!F58</f>
        <v>369590974</v>
      </c>
      <c r="H6" s="36" t="n">
        <f aca="false">BILAN!G28-BILAN!G58</f>
        <v>497172401</v>
      </c>
      <c r="I6" s="34"/>
    </row>
    <row r="7" customFormat="false" ht="15" hidden="false" customHeight="false" outlineLevel="0" collapsed="false">
      <c r="A7" s="13" t="s">
        <v>188</v>
      </c>
      <c r="B7" s="12" t="s">
        <v>504</v>
      </c>
      <c r="C7" s="41" t="s">
        <v>503</v>
      </c>
      <c r="D7" s="15" t="n">
        <f aca="false">'COMPTE DE RESULTAT'!D47-'COMPTE DE RESULTAT'!D31-'COMPTE DE RESULTAT'!D37-'COMPTE DE RESULTAT'!D30-'COMPTE DE RESULTAT'!D34-'COMPTE DE RESULTAT'!D42-'COMPTE DE RESULTAT'!D40</f>
        <v>170420324</v>
      </c>
      <c r="E7" s="15" t="n">
        <f aca="false">'COMPTE DE RESULTAT'!E47-'COMPTE DE RESULTAT'!E31-'COMPTE DE RESULTAT'!E37-'COMPTE DE RESULTAT'!E30-'COMPTE DE RESULTAT'!E34-'COMPTE DE RESULTAT'!E42-'COMPTE DE RESULTAT'!E40</f>
        <v>185776151</v>
      </c>
      <c r="F7" s="15" t="n">
        <f aca="false">'COMPTE DE RESULTAT'!F47-'COMPTE DE RESULTAT'!F31-'COMPTE DE RESULTAT'!F37-'COMPTE DE RESULTAT'!F30-'COMPTE DE RESULTAT'!F34-'COMPTE DE RESULTAT'!F42-'COMPTE DE RESULTAT'!F40</f>
        <v>194633786</v>
      </c>
      <c r="G7" s="15" t="n">
        <f aca="false">'COMPTE DE RESULTAT'!G47-'COMPTE DE RESULTAT'!G31-'COMPTE DE RESULTAT'!G37-'COMPTE DE RESULTAT'!G30-'COMPTE DE RESULTAT'!G34-'COMPTE DE RESULTAT'!G42-'COMPTE DE RESULTAT'!G40</f>
        <v>202711518</v>
      </c>
      <c r="H7" s="15" t="n">
        <f aca="false">'COMPTE DE RESULTAT'!H47-'COMPTE DE RESULTAT'!H31-'COMPTE DE RESULTAT'!H37-'COMPTE DE RESULTAT'!H30-'COMPTE DE RESULTAT'!H34-'COMPTE DE RESULTAT'!H42-'COMPTE DE RESULTAT'!H40</f>
        <v>212088342</v>
      </c>
    </row>
    <row r="8" customFormat="false" ht="15" hidden="false" customHeight="false" outlineLevel="0" collapsed="false">
      <c r="A8" s="13" t="s">
        <v>505</v>
      </c>
      <c r="B8" s="12" t="s">
        <v>506</v>
      </c>
      <c r="C8" s="41" t="s">
        <v>503</v>
      </c>
      <c r="D8" s="15" t="n">
        <f aca="false">-(BILAN!D18-BILAN!C18)</f>
        <v>-0</v>
      </c>
      <c r="E8" s="15" t="n">
        <f aca="false">-(BILAN!E18-BILAN!D18)</f>
        <v>-0</v>
      </c>
      <c r="F8" s="15" t="n">
        <f aca="false">-(BILAN!F18-BILAN!E18)</f>
        <v>-0</v>
      </c>
      <c r="G8" s="15" t="n">
        <f aca="false">-(BILAN!G18-BILAN!F18)</f>
        <v>-0</v>
      </c>
      <c r="H8" s="15" t="n">
        <f aca="false">-(BILAN!H18-BILAN!G18)</f>
        <v>-0</v>
      </c>
    </row>
    <row r="9" customFormat="false" ht="15" hidden="false" customHeight="false" outlineLevel="0" collapsed="false">
      <c r="A9" s="13" t="s">
        <v>507</v>
      </c>
      <c r="B9" s="12" t="s">
        <v>508</v>
      </c>
      <c r="C9" s="41" t="s">
        <v>503</v>
      </c>
      <c r="D9" s="15" t="n">
        <f aca="false">-(BILAN!D19-BILAN!C19)</f>
        <v>-0</v>
      </c>
      <c r="E9" s="15" t="n">
        <f aca="false">-(BILAN!E19-BILAN!D19)</f>
        <v>-0</v>
      </c>
      <c r="F9" s="15" t="n">
        <f aca="false">-(BILAN!F19-BILAN!E19)</f>
        <v>-0</v>
      </c>
      <c r="G9" s="15" t="n">
        <f aca="false">-(BILAN!G19-BILAN!F19)</f>
        <v>-0</v>
      </c>
      <c r="H9" s="15" t="n">
        <f aca="false">-(BILAN!H19-BILAN!G19)</f>
        <v>-0</v>
      </c>
    </row>
    <row r="10" customFormat="false" ht="15" hidden="false" customHeight="false" outlineLevel="0" collapsed="false">
      <c r="A10" s="13" t="s">
        <v>509</v>
      </c>
      <c r="B10" s="12" t="s">
        <v>510</v>
      </c>
      <c r="C10" s="41" t="s">
        <v>503</v>
      </c>
      <c r="D10" s="15" t="n">
        <f aca="false">-(BILAN!D23-BILAN!C23)</f>
        <v>-14873321</v>
      </c>
      <c r="E10" s="15" t="n">
        <f aca="false">-(BILAN!E23-BILAN!D23)</f>
        <v>-41428360</v>
      </c>
      <c r="F10" s="15" t="n">
        <f aca="false">-(BILAN!F23-BILAN!E23)</f>
        <v>-25428654</v>
      </c>
      <c r="G10" s="15" t="n">
        <f aca="false">-(BILAN!G23-BILAN!F23)</f>
        <v>-26700087</v>
      </c>
      <c r="H10" s="15" t="n">
        <f aca="false">-(BILAN!H23-BILAN!G23)</f>
        <v>-28035091</v>
      </c>
    </row>
    <row r="11" customFormat="false" ht="15" hidden="false" customHeight="false" outlineLevel="0" collapsed="false">
      <c r="A11" s="13" t="s">
        <v>511</v>
      </c>
      <c r="B11" s="12" t="s">
        <v>512</v>
      </c>
      <c r="C11" s="41" t="s">
        <v>503</v>
      </c>
      <c r="D11" s="15" t="n">
        <f aca="false">(BILAN!D55-BILAN!D49)-(BILAN!C55-BILAN!C49)</f>
        <v>11172092</v>
      </c>
      <c r="E11" s="15" t="n">
        <f aca="false">(BILAN!E55-BILAN!E49)-(BILAN!D55-BILAN!D49)</f>
        <v>7869411</v>
      </c>
      <c r="F11" s="15" t="n">
        <f aca="false">(BILAN!F55-BILAN!F49)-(BILAN!E55-BILAN!E49)</f>
        <v>10277769</v>
      </c>
      <c r="G11" s="15" t="n">
        <f aca="false">(BILAN!G55-BILAN!G49)-(BILAN!F55-BILAN!F49)</f>
        <v>12014440</v>
      </c>
      <c r="H11" s="15" t="n">
        <f aca="false">(BILAN!H55-BILAN!H49)-(BILAN!G55-BILAN!G49)</f>
        <v>11719954</v>
      </c>
    </row>
    <row r="12" customFormat="false" ht="15" hidden="false" customHeight="false" outlineLevel="0" collapsed="false">
      <c r="A12" s="35" t="s">
        <v>513</v>
      </c>
      <c r="B12" s="35" t="s">
        <v>514</v>
      </c>
      <c r="C12" s="40" t="s">
        <v>503</v>
      </c>
      <c r="D12" s="36" t="n">
        <f aca="false">D7+D8+D9+D10+D11</f>
        <v>166719095</v>
      </c>
      <c r="E12" s="36" t="n">
        <f aca="false">E7+E8+E9+E10+E11</f>
        <v>152217202</v>
      </c>
      <c r="F12" s="36" t="n">
        <f aca="false">F7+F8+F9+F10+F11</f>
        <v>179482901</v>
      </c>
      <c r="G12" s="36" t="n">
        <f aca="false">G7+G8+G9+G10+G11</f>
        <v>188025871</v>
      </c>
      <c r="H12" s="36" t="n">
        <f aca="false">H7+H8+H9+H10+H11</f>
        <v>195773205</v>
      </c>
      <c r="I12" s="34"/>
    </row>
    <row r="13" customFormat="false" ht="15" hidden="false" customHeight="false" outlineLevel="0" collapsed="false">
      <c r="A13" s="13" t="s">
        <v>515</v>
      </c>
      <c r="B13" s="12" t="s">
        <v>516</v>
      </c>
      <c r="C13" s="41" t="s">
        <v>503</v>
      </c>
      <c r="D13" s="15" t="n">
        <f aca="false">-((SUMIFS('BALANCE 2025'!$H:$H,'BALANCE 2025'!$C:$C,"AD"))-(SUMIFS('BALANCE 2024'!$H:$H,'BALANCE 2024'!$C:$C,"AD")))</f>
        <v>-0</v>
      </c>
      <c r="E13" s="15" t="n">
        <f aca="false">-((SUMIFS('BALANCE 2026'!$H:$H,'BALANCE 2026'!$C:$C,"AD"))-(SUMIFS('BALANCE 2025'!$H:$H,'BALANCE 2025'!$C:$C,"AD")))</f>
        <v>-0</v>
      </c>
      <c r="F13" s="15" t="n">
        <f aca="false">-((SUMIFS('BALANCE 2027'!$H:$H,'BALANCE 2027'!$C:$C,"AD"))-(SUMIFS('BALANCE 2026'!$H:$H,'BALANCE 2026'!$C:$C,"AD")))</f>
        <v>-0</v>
      </c>
      <c r="G13" s="15" t="n">
        <f aca="false">-((SUMIFS('BALANCE 2028'!$H:$H,'BALANCE 2028'!$C:$C,"AD"))-(SUMIFS('BALANCE 2027'!$H:$H,'BALANCE 2027'!$C:$C,"AD")))</f>
        <v>-0</v>
      </c>
      <c r="H13" s="15" t="n">
        <f aca="false">-((SUMIFS('BALANCE 2029'!$H:$H,'BALANCE 2029'!$C:$C,"AD"))-(SUMIFS('BALANCE 2028'!$H:$H,'BALANCE 2028'!$C:$C,"AD")))</f>
        <v>-0</v>
      </c>
    </row>
    <row r="14" customFormat="false" ht="15" hidden="false" customHeight="false" outlineLevel="0" collapsed="false">
      <c r="A14" s="13" t="s">
        <v>517</v>
      </c>
      <c r="B14" s="12" t="s">
        <v>518</v>
      </c>
      <c r="C14" s="41" t="s">
        <v>503</v>
      </c>
      <c r="D14" s="15" t="n">
        <f aca="false">-((SUMIFS('BALANCE 2025'!$H:$H,'BALANCE 2025'!$C:$C,"AJ")+SUMIFS('BALANCE 2025'!$H:$H,'BALANCE 2025'!$C:$C,"AK")+SUMIFS('BALANCE 2025'!$H:$H,'BALANCE 2025'!$C:$C,"AL")+SUMIFS('BALANCE 2025'!$H:$H,'BALANCE 2025'!$C:$C,"AM")+SUMIFS('BALANCE 2025'!$H:$H,'BALANCE 2025'!$C:$C,"AN")+SUMIFS('BALANCE 2025'!$H:$H,'BALANCE 2025'!$C:$C,"AP"))-(SUMIFS('BALANCE 2024'!$H:$H,'BALANCE 2024'!$C:$C,"AJ")+SUMIFS('BALANCE 2024'!$H:$H,'BALANCE 2024'!$C:$C,"AK")+SUMIFS('BALANCE 2024'!$H:$H,'BALANCE 2024'!$C:$C,"AL")+SUMIFS('BALANCE 2024'!$H:$H,'BALANCE 2024'!$C:$C,"AM")+SUMIFS('BALANCE 2024'!$H:$H,'BALANCE 2024'!$C:$C,"AN")+SUMIFS('BALANCE 2024'!$H:$H,'BALANCE 2024'!$C:$C,"AP")))+(BILAN!D49-BILAN!C49)</f>
        <v>-90248532</v>
      </c>
      <c r="E14" s="15" t="n">
        <f aca="false">-((SUMIFS('BALANCE 2026'!$H:$H,'BALANCE 2026'!$C:$C,"AJ")+SUMIFS('BALANCE 2026'!$H:$H,'BALANCE 2026'!$C:$C,"AK")+SUMIFS('BALANCE 2026'!$H:$H,'BALANCE 2026'!$C:$C,"AL")+SUMIFS('BALANCE 2026'!$H:$H,'BALANCE 2026'!$C:$C,"AM")+SUMIFS('BALANCE 2026'!$H:$H,'BALANCE 2026'!$C:$C,"AN")+SUMIFS('BALANCE 2026'!$H:$H,'BALANCE 2026'!$C:$C,"AP"))-(SUMIFS('BALANCE 2025'!$H:$H,'BALANCE 2025'!$C:$C,"AJ")+SUMIFS('BALANCE 2025'!$H:$H,'BALANCE 2025'!$C:$C,"AK")+SUMIFS('BALANCE 2025'!$H:$H,'BALANCE 2025'!$C:$C,"AL")+SUMIFS('BALANCE 2025'!$H:$H,'BALANCE 2025'!$C:$C,"AM")+SUMIFS('BALANCE 2025'!$H:$H,'BALANCE 2025'!$C:$C,"AN")+SUMIFS('BALANCE 2025'!$H:$H,'BALANCE 2025'!$C:$C,"AP")))+(BILAN!E49-BILAN!D49)</f>
        <v>-81435124</v>
      </c>
      <c r="F14" s="15" t="n">
        <f aca="false">-((SUMIFS('BALANCE 2027'!$H:$H,'BALANCE 2027'!$C:$C,"AJ")+SUMIFS('BALANCE 2027'!$H:$H,'BALANCE 2027'!$C:$C,"AK")+SUMIFS('BALANCE 2027'!$H:$H,'BALANCE 2027'!$C:$C,"AL")+SUMIFS('BALANCE 2027'!$H:$H,'BALANCE 2027'!$C:$C,"AM")+SUMIFS('BALANCE 2027'!$H:$H,'BALANCE 2027'!$C:$C,"AN")+SUMIFS('BALANCE 2027'!$H:$H,'BALANCE 2027'!$C:$C,"AP"))-(SUMIFS('BALANCE 2026'!$H:$H,'BALANCE 2026'!$C:$C,"AJ")+SUMIFS('BALANCE 2026'!$H:$H,'BALANCE 2026'!$C:$C,"AK")+SUMIFS('BALANCE 2026'!$H:$H,'BALANCE 2026'!$C:$C,"AL")+SUMIFS('BALANCE 2026'!$H:$H,'BALANCE 2026'!$C:$C,"AM")+SUMIFS('BALANCE 2026'!$H:$H,'BALANCE 2026'!$C:$C,"AN")+SUMIFS('BALANCE 2026'!$H:$H,'BALANCE 2026'!$C:$C,"AP")))+(BILAN!F49-BILAN!E49)</f>
        <v>-35000000</v>
      </c>
      <c r="G14" s="15" t="n">
        <f aca="false">-((SUMIFS('BALANCE 2028'!$H:$H,'BALANCE 2028'!$C:$C,"AJ")+SUMIFS('BALANCE 2028'!$H:$H,'BALANCE 2028'!$C:$C,"AK")+SUMIFS('BALANCE 2028'!$H:$H,'BALANCE 2028'!$C:$C,"AL")+SUMIFS('BALANCE 2028'!$H:$H,'BALANCE 2028'!$C:$C,"AM")+SUMIFS('BALANCE 2028'!$H:$H,'BALANCE 2028'!$C:$C,"AN")+SUMIFS('BALANCE 2028'!$H:$H,'BALANCE 2028'!$C:$C,"AP"))-(SUMIFS('BALANCE 2027'!$H:$H,'BALANCE 2027'!$C:$C,"AJ")+SUMIFS('BALANCE 2027'!$H:$H,'BALANCE 2027'!$C:$C,"AK")+SUMIFS('BALANCE 2027'!$H:$H,'BALANCE 2027'!$C:$C,"AL")+SUMIFS('BALANCE 2027'!$H:$H,'BALANCE 2027'!$C:$C,"AM")+SUMIFS('BALANCE 2027'!$H:$H,'BALANCE 2027'!$C:$C,"AN")+SUMIFS('BALANCE 2027'!$H:$H,'BALANCE 2027'!$C:$C,"AP")))+(BILAN!G49-BILAN!F49)</f>
        <v>-60444444</v>
      </c>
      <c r="H14" s="15" t="n">
        <f aca="false">-((SUMIFS('BALANCE 2029'!$H:$H,'BALANCE 2029'!$C:$C,"AJ")+SUMIFS('BALANCE 2029'!$H:$H,'BALANCE 2029'!$C:$C,"AK")+SUMIFS('BALANCE 2029'!$H:$H,'BALANCE 2029'!$C:$C,"AL")+SUMIFS('BALANCE 2029'!$H:$H,'BALANCE 2029'!$C:$C,"AM")+SUMIFS('BALANCE 2029'!$H:$H,'BALANCE 2029'!$C:$C,"AN")+SUMIFS('BALANCE 2029'!$H:$H,'BALANCE 2029'!$C:$C,"AP"))-(SUMIFS('BALANCE 2028'!$H:$H,'BALANCE 2028'!$C:$C,"AJ")+SUMIFS('BALANCE 2028'!$H:$H,'BALANCE 2028'!$C:$C,"AK")+SUMIFS('BALANCE 2028'!$H:$H,'BALANCE 2028'!$C:$C,"AL")+SUMIFS('BALANCE 2028'!$H:$H,'BALANCE 2028'!$C:$C,"AM")+SUMIFS('BALANCE 2028'!$H:$H,'BALANCE 2028'!$C:$C,"AN")+SUMIFS('BALANCE 2028'!$H:$H,'BALANCE 2028'!$C:$C,"AP")))+(BILAN!H49-BILAN!G49)</f>
        <v>-49555556</v>
      </c>
    </row>
    <row r="15" customFormat="false" ht="15" hidden="false" customHeight="false" outlineLevel="0" collapsed="false">
      <c r="A15" s="13" t="s">
        <v>519</v>
      </c>
      <c r="B15" s="12" t="s">
        <v>520</v>
      </c>
      <c r="C15" s="41" t="s">
        <v>503</v>
      </c>
      <c r="D15" s="15" t="n">
        <f aca="false">-(BILAN!D16-BILAN!C16)</f>
        <v>-0</v>
      </c>
      <c r="E15" s="15" t="n">
        <f aca="false">-(BILAN!E16-BILAN!D16)</f>
        <v>-0</v>
      </c>
      <c r="F15" s="15" t="n">
        <f aca="false">-(BILAN!F16-BILAN!E16)</f>
        <v>-0</v>
      </c>
      <c r="G15" s="15" t="n">
        <f aca="false">-(BILAN!G16-BILAN!F16)</f>
        <v>-0</v>
      </c>
      <c r="H15" s="15" t="n">
        <f aca="false">-(BILAN!H16-BILAN!G16)</f>
        <v>-0</v>
      </c>
    </row>
    <row r="16" customFormat="false" ht="15" hidden="false" customHeight="false" outlineLevel="0" collapsed="false">
      <c r="A16" s="13" t="s">
        <v>521</v>
      </c>
      <c r="B16" s="12" t="s">
        <v>522</v>
      </c>
      <c r="C16" s="41" t="s">
        <v>503</v>
      </c>
      <c r="D16" s="15" t="n">
        <f aca="false">'COMPTE DE RESULTAT'!D40</f>
        <v>0</v>
      </c>
      <c r="E16" s="15" t="n">
        <f aca="false">'COMPTE DE RESULTAT'!E40</f>
        <v>0</v>
      </c>
      <c r="F16" s="15" t="n">
        <f aca="false">'COMPTE DE RESULTAT'!F40</f>
        <v>0</v>
      </c>
      <c r="G16" s="15" t="n">
        <f aca="false">'COMPTE DE RESULTAT'!G40</f>
        <v>0</v>
      </c>
      <c r="H16" s="15" t="n">
        <f aca="false">'COMPTE DE RESULTAT'!H40</f>
        <v>0</v>
      </c>
    </row>
    <row r="17" customFormat="false" ht="15" hidden="false" customHeight="false" outlineLevel="0" collapsed="false">
      <c r="A17" s="13" t="s">
        <v>523</v>
      </c>
      <c r="B17" s="12" t="s">
        <v>524</v>
      </c>
      <c r="C17" s="41" t="s">
        <v>503</v>
      </c>
      <c r="D17" s="20" t="n">
        <f aca="false">0</f>
        <v>0</v>
      </c>
      <c r="E17" s="20" t="n">
        <f aca="false">0</f>
        <v>0</v>
      </c>
      <c r="F17" s="20" t="n">
        <f aca="false">0</f>
        <v>0</v>
      </c>
      <c r="G17" s="20" t="n">
        <f aca="false">0</f>
        <v>0</v>
      </c>
      <c r="H17" s="20" t="n">
        <f aca="false">0</f>
        <v>0</v>
      </c>
    </row>
    <row r="18" customFormat="false" ht="15" hidden="false" customHeight="false" outlineLevel="0" collapsed="false">
      <c r="A18" s="35" t="s">
        <v>525</v>
      </c>
      <c r="B18" s="35" t="s">
        <v>526</v>
      </c>
      <c r="C18" s="40" t="s">
        <v>503</v>
      </c>
      <c r="D18" s="36" t="n">
        <f aca="false">D13+D14+D15+D16+D17</f>
        <v>-90248532</v>
      </c>
      <c r="E18" s="36" t="n">
        <f aca="false">E13+E14+E15+E16+E17</f>
        <v>-81435124</v>
      </c>
      <c r="F18" s="36" t="n">
        <f aca="false">F13+F14+F15+F16+F17</f>
        <v>-35000000</v>
      </c>
      <c r="G18" s="36" t="n">
        <f aca="false">G13+G14+G15+G16+G17</f>
        <v>-60444444</v>
      </c>
      <c r="H18" s="36" t="n">
        <f aca="false">H13+H14+H15+H16+H17</f>
        <v>-49555556</v>
      </c>
      <c r="I18" s="34"/>
    </row>
    <row r="19" customFormat="false" ht="15" hidden="false" customHeight="false" outlineLevel="0" collapsed="false">
      <c r="A19" s="13" t="s">
        <v>527</v>
      </c>
      <c r="B19" s="12" t="s">
        <v>528</v>
      </c>
      <c r="C19" s="41" t="s">
        <v>503</v>
      </c>
      <c r="D19" s="15" t="n">
        <f aca="false">BILAN!D33-BILAN!C33</f>
        <v>0</v>
      </c>
      <c r="E19" s="15" t="n">
        <f aca="false">BILAN!E33-BILAN!D33</f>
        <v>0</v>
      </c>
      <c r="F19" s="15" t="n">
        <f aca="false">BILAN!F33-BILAN!E33</f>
        <v>0</v>
      </c>
      <c r="G19" s="15" t="n">
        <f aca="false">BILAN!G33-BILAN!F33</f>
        <v>0</v>
      </c>
      <c r="H19" s="15" t="n">
        <f aca="false">BILAN!H33-BILAN!G33</f>
        <v>0</v>
      </c>
    </row>
    <row r="20" customFormat="false" ht="15" hidden="false" customHeight="false" outlineLevel="0" collapsed="false">
      <c r="A20" s="13" t="s">
        <v>529</v>
      </c>
      <c r="B20" s="12" t="s">
        <v>530</v>
      </c>
      <c r="C20" s="41" t="s">
        <v>503</v>
      </c>
      <c r="D20" s="15" t="n">
        <f aca="false">BILAN!D41-BILAN!C41</f>
        <v>0</v>
      </c>
      <c r="E20" s="15" t="n">
        <f aca="false">BILAN!E41-BILAN!D41</f>
        <v>0</v>
      </c>
      <c r="F20" s="15" t="n">
        <f aca="false">BILAN!F41-BILAN!E41</f>
        <v>0</v>
      </c>
      <c r="G20" s="15" t="n">
        <f aca="false">BILAN!G41-BILAN!F41</f>
        <v>0</v>
      </c>
      <c r="H20" s="15" t="n">
        <f aca="false">BILAN!H41-BILAN!G41</f>
        <v>0</v>
      </c>
    </row>
    <row r="21" customFormat="false" ht="15" hidden="false" customHeight="false" outlineLevel="0" collapsed="false">
      <c r="A21" s="13" t="s">
        <v>531</v>
      </c>
      <c r="B21" s="12" t="s">
        <v>532</v>
      </c>
      <c r="C21" s="41" t="s">
        <v>503</v>
      </c>
      <c r="D21" s="20" t="n">
        <f aca="false">0</f>
        <v>0</v>
      </c>
      <c r="E21" s="20" t="n">
        <f aca="false">0</f>
        <v>0</v>
      </c>
      <c r="F21" s="20" t="n">
        <f aca="false">0</f>
        <v>0</v>
      </c>
      <c r="G21" s="20" t="n">
        <f aca="false">0</f>
        <v>0</v>
      </c>
      <c r="H21" s="20" t="n">
        <f aca="false">0</f>
        <v>0</v>
      </c>
    </row>
    <row r="22" customFormat="false" ht="15" hidden="false" customHeight="false" outlineLevel="0" collapsed="false">
      <c r="A22" s="13" t="s">
        <v>533</v>
      </c>
      <c r="B22" s="12" t="s">
        <v>534</v>
      </c>
      <c r="C22" s="41" t="s">
        <v>503</v>
      </c>
      <c r="D22" s="15" t="n">
        <f aca="false">-((BILAN!C37+BILAN!C38+BILAN!C39+BILAN!C40)-(BILAN!D37+BILAN!D38+BILAN!D39))</f>
        <v>-0</v>
      </c>
      <c r="E22" s="15" t="n">
        <f aca="false">-((BILAN!D37+BILAN!D38+BILAN!D39+BILAN!D40)-(BILAN!E37+BILAN!E38+BILAN!E39))</f>
        <v>-0</v>
      </c>
      <c r="F22" s="15" t="n">
        <f aca="false">-((BILAN!E37+BILAN!E38+BILAN!E39+BILAN!E40)-(BILAN!F37+BILAN!F38+BILAN!F39))</f>
        <v>-0</v>
      </c>
      <c r="G22" s="15" t="n">
        <f aca="false">-((BILAN!F37+BILAN!F38+BILAN!F39+BILAN!F40)-(BILAN!G37+BILAN!G38+BILAN!G39))</f>
        <v>-0</v>
      </c>
      <c r="H22" s="15" t="n">
        <f aca="false">-((BILAN!G37+BILAN!G38+BILAN!G39+BILAN!G40)-(BILAN!H37+BILAN!H38+BILAN!H39))</f>
        <v>-0</v>
      </c>
    </row>
    <row r="23" customFormat="false" ht="15" hidden="false" customHeight="false" outlineLevel="0" collapsed="false">
      <c r="A23" s="35" t="s">
        <v>535</v>
      </c>
      <c r="B23" s="35" t="s">
        <v>536</v>
      </c>
      <c r="C23" s="40" t="s">
        <v>503</v>
      </c>
      <c r="D23" s="36" t="n">
        <f aca="false">D19+D20+D21+D22</f>
        <v>0</v>
      </c>
      <c r="E23" s="36" t="n">
        <f aca="false">E19+E20+E21+E22</f>
        <v>0</v>
      </c>
      <c r="F23" s="36" t="n">
        <f aca="false">F19+F20+F21+F22</f>
        <v>0</v>
      </c>
      <c r="G23" s="36" t="n">
        <f aca="false">G19+G20+G21+G22</f>
        <v>0</v>
      </c>
      <c r="H23" s="36" t="n">
        <f aca="false">H19+H20+H21+H22</f>
        <v>0</v>
      </c>
      <c r="I23" s="34"/>
    </row>
    <row r="24" customFormat="false" ht="15" hidden="false" customHeight="false" outlineLevel="0" collapsed="false">
      <c r="A24" s="13" t="s">
        <v>537</v>
      </c>
      <c r="B24" s="12" t="s">
        <v>538</v>
      </c>
      <c r="C24" s="41" t="s">
        <v>503</v>
      </c>
      <c r="D24" s="15" t="n">
        <f aca="false">'INVEST ET FINANCEMENT'!D47</f>
        <v>54395682</v>
      </c>
      <c r="E24" s="15" t="n">
        <f aca="false">'INVEST ET FINANCEMENT'!E47</f>
        <v>0</v>
      </c>
      <c r="F24" s="15" t="n">
        <f aca="false">'INVEST ET FINANCEMENT'!F47</f>
        <v>0</v>
      </c>
      <c r="G24" s="15" t="n">
        <f aca="false">'INVEST ET FINANCEMENT'!G47</f>
        <v>0</v>
      </c>
      <c r="H24" s="15" t="n">
        <f aca="false">'INVEST ET FINANCEMENT'!H47</f>
        <v>0</v>
      </c>
    </row>
    <row r="25" customFormat="false" ht="15" hidden="false" customHeight="false" outlineLevel="0" collapsed="false">
      <c r="A25" s="13" t="s">
        <v>539</v>
      </c>
      <c r="B25" s="12" t="s">
        <v>540</v>
      </c>
      <c r="C25" s="41" t="s">
        <v>503</v>
      </c>
      <c r="D25" s="20" t="n">
        <f aca="false">0</f>
        <v>0</v>
      </c>
      <c r="E25" s="20" t="n">
        <f aca="false">0</f>
        <v>0</v>
      </c>
      <c r="F25" s="20" t="n">
        <f aca="false">0</f>
        <v>0</v>
      </c>
      <c r="G25" s="20" t="n">
        <f aca="false">0</f>
        <v>0</v>
      </c>
      <c r="H25" s="20" t="n">
        <f aca="false">0</f>
        <v>0</v>
      </c>
    </row>
    <row r="26" customFormat="false" ht="15" hidden="false" customHeight="false" outlineLevel="0" collapsed="false">
      <c r="A26" s="13" t="s">
        <v>541</v>
      </c>
      <c r="B26" s="12" t="s">
        <v>542</v>
      </c>
      <c r="C26" s="41" t="s">
        <v>503</v>
      </c>
      <c r="D26" s="15" t="n">
        <f aca="false">-('INVEST ET FINANCEMENT'!D48+'INVEST ET FINANCEMENT'!D49)</f>
        <v>-104674208</v>
      </c>
      <c r="E26" s="15" t="n">
        <f aca="false">-('INVEST ET FINANCEMENT'!E48+'INVEST ET FINANCEMENT'!E49)</f>
        <v>-0</v>
      </c>
      <c r="F26" s="15" t="n">
        <f aca="false">-('INVEST ET FINANCEMENT'!F48+'INVEST ET FINANCEMENT'!F49)</f>
        <v>-0</v>
      </c>
      <c r="G26" s="15" t="n">
        <f aca="false">-('INVEST ET FINANCEMENT'!G48+'INVEST ET FINANCEMENT'!G49)</f>
        <v>-0</v>
      </c>
      <c r="H26" s="15" t="n">
        <f aca="false">-('INVEST ET FINANCEMENT'!H48+'INVEST ET FINANCEMENT'!H49)</f>
        <v>-0</v>
      </c>
    </row>
    <row r="27" customFormat="false" ht="15" hidden="false" customHeight="false" outlineLevel="0" collapsed="false">
      <c r="A27" s="35" t="s">
        <v>543</v>
      </c>
      <c r="B27" s="35" t="s">
        <v>544</v>
      </c>
      <c r="C27" s="40" t="s">
        <v>503</v>
      </c>
      <c r="D27" s="36" t="n">
        <f aca="false">D24+D25+D26</f>
        <v>-50278526</v>
      </c>
      <c r="E27" s="36" t="n">
        <f aca="false">E24+E25+E26</f>
        <v>0</v>
      </c>
      <c r="F27" s="36" t="n">
        <f aca="false">F24+F25+F26</f>
        <v>0</v>
      </c>
      <c r="G27" s="36" t="n">
        <f aca="false">G24+G25+G26</f>
        <v>0</v>
      </c>
      <c r="H27" s="36" t="n">
        <f aca="false">H24+H25+H26</f>
        <v>0</v>
      </c>
      <c r="I27" s="34"/>
    </row>
    <row r="28" customFormat="false" ht="15" hidden="false" customHeight="false" outlineLevel="0" collapsed="false">
      <c r="A28" s="35" t="s">
        <v>545</v>
      </c>
      <c r="B28" s="35" t="s">
        <v>546</v>
      </c>
      <c r="C28" s="40" t="s">
        <v>503</v>
      </c>
      <c r="D28" s="36" t="n">
        <f aca="false">D23+D27</f>
        <v>-50278526</v>
      </c>
      <c r="E28" s="36" t="n">
        <f aca="false">E23+E27</f>
        <v>0</v>
      </c>
      <c r="F28" s="36" t="n">
        <f aca="false">F23+F27</f>
        <v>0</v>
      </c>
      <c r="G28" s="36" t="n">
        <f aca="false">G23+G27</f>
        <v>0</v>
      </c>
      <c r="H28" s="36" t="n">
        <f aca="false">H23+H27</f>
        <v>0</v>
      </c>
      <c r="I28" s="34"/>
    </row>
    <row r="29" customFormat="false" ht="15" hidden="false" customHeight="false" outlineLevel="0" collapsed="false">
      <c r="A29" s="35" t="s">
        <v>547</v>
      </c>
      <c r="B29" s="35" t="s">
        <v>548</v>
      </c>
      <c r="C29" s="40" t="s">
        <v>503</v>
      </c>
      <c r="D29" s="36" t="n">
        <f aca="false">D12+D18+D28</f>
        <v>26192037</v>
      </c>
      <c r="E29" s="36" t="n">
        <f aca="false">E12+E18+E28</f>
        <v>70782078</v>
      </c>
      <c r="F29" s="36" t="n">
        <f aca="false">F12+F18+F28</f>
        <v>144482901</v>
      </c>
      <c r="G29" s="36" t="n">
        <f aca="false">G12+G18+G28</f>
        <v>127581427</v>
      </c>
      <c r="H29" s="36" t="n">
        <f aca="false">H12+H18+H28</f>
        <v>146217649</v>
      </c>
      <c r="I29" s="34"/>
    </row>
    <row r="30" customFormat="false" ht="15" hidden="false" customHeight="false" outlineLevel="0" collapsed="false">
      <c r="A30" s="35" t="s">
        <v>549</v>
      </c>
      <c r="B30" s="35" t="s">
        <v>550</v>
      </c>
      <c r="C30" s="40" t="s">
        <v>503</v>
      </c>
      <c r="D30" s="36" t="n">
        <f aca="false">D29+D6</f>
        <v>154325995</v>
      </c>
      <c r="E30" s="36" t="n">
        <f aca="false">E29+E6</f>
        <v>225108073</v>
      </c>
      <c r="F30" s="36" t="n">
        <f aca="false">F29+F6</f>
        <v>369590974</v>
      </c>
      <c r="G30" s="36" t="n">
        <f aca="false">G29+G6</f>
        <v>497172401</v>
      </c>
      <c r="H30" s="36" t="n">
        <f aca="false">H29+H6</f>
        <v>643390050</v>
      </c>
      <c r="I30" s="34"/>
    </row>
    <row r="31" customFormat="false" ht="15" hidden="false" customHeight="false" outlineLevel="0" collapsed="false">
      <c r="B31" s="7" t="s">
        <v>551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ignoredErrors>
    <ignoredError sqref="A1:Z400" formula="1" formulaRange="1" unlockedFormula="1" numberStoredAsText="1" emptyCellReferenc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I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2"/>
    <col collapsed="false" customWidth="true" hidden="false" outlineLevel="0" max="8" min="3" style="0" width="16"/>
    <col collapsed="false" customWidth="true" hidden="false" outlineLevel="0" max="9" min="9" style="0" width="13"/>
  </cols>
  <sheetData>
    <row r="1" customFormat="false" ht="24" hidden="false" customHeight="true" outlineLevel="0" collapsed="false">
      <c r="A1" s="1" t="s">
        <v>552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553</v>
      </c>
    </row>
    <row r="3" customFormat="false" ht="15" hidden="false" customHeight="false" outlineLevel="0" collapsed="false">
      <c r="A3" s="4" t="str">
        <f aca="false">"Entité : "&amp;HYPOTHESES!$C$4</f>
        <v>Entité : MON ENTREPRISE</v>
      </c>
    </row>
    <row r="5" customFormat="false" ht="15" hidden="false" customHeight="false" outlineLevel="0" collapsed="false">
      <c r="A5" s="27" t="s">
        <v>338</v>
      </c>
      <c r="B5" s="27" t="s">
        <v>554</v>
      </c>
      <c r="C5" s="27" t="str">
        <f aca="false">"Réel "&amp;HYPOTHESES!$C$5</f>
        <v>Réel 2024</v>
      </c>
      <c r="D5" s="38" t="n">
        <f aca="false">HYPOTHESES!$C$5+1</f>
        <v>2025</v>
      </c>
      <c r="E5" s="38" t="n">
        <f aca="false">HYPOTHESES!$C$5+2</f>
        <v>2026</v>
      </c>
      <c r="F5" s="38" t="n">
        <f aca="false">HYPOTHESES!$C$5+3</f>
        <v>2027</v>
      </c>
      <c r="G5" s="38" t="n">
        <f aca="false">HYPOTHESES!$C$5+4</f>
        <v>2028</v>
      </c>
      <c r="H5" s="38" t="n">
        <f aca="false">HYPOTHESES!$C$5+5</f>
        <v>2029</v>
      </c>
      <c r="I5" s="27" t="s">
        <v>555</v>
      </c>
    </row>
    <row r="6" customFormat="false" ht="15" hidden="false" customHeight="false" outlineLevel="0" collapsed="false">
      <c r="A6" s="13"/>
      <c r="B6" s="12" t="s">
        <v>556</v>
      </c>
      <c r="C6" s="15" t="n">
        <f aca="false">ABS('BALANCE 2024'!D97)+ABS('BALANCE 2024'!F97)+ABS('BALANCE 2024'!H97)</f>
        <v>0</v>
      </c>
      <c r="D6" s="15" t="n">
        <f aca="false">ABS('BALANCE 2025'!D97)+ABS('BALANCE 2025'!F97)+ABS('BALANCE 2025'!H97)</f>
        <v>0</v>
      </c>
      <c r="E6" s="15" t="n">
        <f aca="false">ABS('BALANCE 2026'!D97)+ABS('BALANCE 2026'!F97)+ABS('BALANCE 2026'!H97)</f>
        <v>0</v>
      </c>
      <c r="F6" s="15" t="n">
        <f aca="false">ABS('BALANCE 2027'!D97)+ABS('BALANCE 2027'!F97)+ABS('BALANCE 2027'!H97)</f>
        <v>0</v>
      </c>
      <c r="G6" s="15" t="n">
        <f aca="false">ABS('BALANCE 2028'!D97)+ABS('BALANCE 2028'!F97)+ABS('BALANCE 2028'!H97)</f>
        <v>0</v>
      </c>
      <c r="H6" s="15" t="n">
        <f aca="false">ABS('BALANCE 2029'!D97)+ABS('BALANCE 2029'!F97)+ABS('BALANCE 2029'!H97)</f>
        <v>0</v>
      </c>
    </row>
    <row r="7" customFormat="false" ht="15" hidden="false" customHeight="false" outlineLevel="0" collapsed="false">
      <c r="A7" s="13"/>
      <c r="B7" s="12" t="s">
        <v>557</v>
      </c>
      <c r="C7" s="15" t="n">
        <f aca="false">SUMPRODUCT(ABS('BALANCE 2024'!J5:J94))</f>
        <v>0</v>
      </c>
      <c r="D7" s="15" t="n">
        <f aca="false">SUMPRODUCT(ABS('BALANCE 2025'!J5:J94))</f>
        <v>0</v>
      </c>
      <c r="E7" s="15" t="n">
        <f aca="false">SUMPRODUCT(ABS('BALANCE 2026'!J5:J94))</f>
        <v>0</v>
      </c>
      <c r="F7" s="15" t="n">
        <f aca="false">SUMPRODUCT(ABS('BALANCE 2027'!J5:J94))</f>
        <v>0</v>
      </c>
      <c r="G7" s="15" t="n">
        <f aca="false">SUMPRODUCT(ABS('BALANCE 2028'!J5:J94))</f>
        <v>0</v>
      </c>
      <c r="H7" s="15" t="n">
        <f aca="false">SUMPRODUCT(ABS('BALANCE 2029'!J5:J94))</f>
        <v>0</v>
      </c>
    </row>
    <row r="8" customFormat="false" ht="15" hidden="false" customHeight="false" outlineLevel="0" collapsed="false">
      <c r="A8" s="13"/>
      <c r="B8" s="12" t="s">
        <v>558</v>
      </c>
      <c r="C8" s="41" t="s">
        <v>503</v>
      </c>
      <c r="D8" s="15" t="n">
        <f aca="false">SUMPRODUCT(ABS(('BALANCE 2024'!H5:H94-'BALANCE 2024'!I5:I94)-('BALANCE 2025'!D5:D94-'BALANCE 2025'!E5:E94))*(LEFT('BALANCE 2025'!A5:A94,1)&lt;="5")*(LEFT('BALANCE 2025'!A5:A94,2)&lt;&gt;"13"))</f>
        <v>0</v>
      </c>
      <c r="E8" s="15" t="n">
        <f aca="false">SUMPRODUCT(ABS(('BALANCE 2025'!H5:H94-'BALANCE 2025'!I5:I94)-('BALANCE 2026'!D5:D94-'BALANCE 2026'!E5:E94))*(LEFT('BALANCE 2026'!A5:A94,1)&lt;="5")*(LEFT('BALANCE 2026'!A5:A94,2)&lt;&gt;"13"))</f>
        <v>0</v>
      </c>
      <c r="F8" s="15" t="n">
        <f aca="false">SUMPRODUCT(ABS(('BALANCE 2026'!H5:H94-'BALANCE 2026'!I5:I94)-('BALANCE 2027'!D5:D94-'BALANCE 2027'!E5:E94))*(LEFT('BALANCE 2027'!A5:A94,1)&lt;="5")*(LEFT('BALANCE 2027'!A5:A94,2)&lt;&gt;"13"))</f>
        <v>0</v>
      </c>
      <c r="G8" s="15" t="n">
        <f aca="false">SUMPRODUCT(ABS(('BALANCE 2027'!H5:H94-'BALANCE 2027'!I5:I94)-('BALANCE 2028'!D5:D94-'BALANCE 2028'!E5:E94))*(LEFT('BALANCE 2028'!A5:A94,1)&lt;="5")*(LEFT('BALANCE 2028'!A5:A94,2)&lt;&gt;"13"))</f>
        <v>0</v>
      </c>
      <c r="H8" s="15" t="n">
        <f aca="false">SUMPRODUCT(ABS(('BALANCE 2028'!H5:H94-'BALANCE 2028'!I5:I94)-('BALANCE 2029'!D5:D94-'BALANCE 2029'!E5:E94))*(LEFT('BALANCE 2029'!A5:A94,1)&lt;="5")*(LEFT('BALANCE 2029'!A5:A94,2)&lt;&gt;"13"))</f>
        <v>0</v>
      </c>
    </row>
    <row r="9" customFormat="false" ht="15" hidden="false" customHeight="false" outlineLevel="0" collapsed="false">
      <c r="A9" s="13"/>
      <c r="B9" s="12" t="s">
        <v>559</v>
      </c>
      <c r="C9" s="41" t="s">
        <v>503</v>
      </c>
      <c r="D9" s="15" t="n">
        <f aca="false">(SUMPRODUCT(((LEFT('BALANCE 2025'!$A$5:$A$94,2)="13"))*('BALANCE 2025'!$E$5:$E$94-'BALANCE 2025'!$D$5:$D$94)))-'COMPTE DE RESULTAT'!C47</f>
        <v>0</v>
      </c>
      <c r="E9" s="15" t="n">
        <f aca="false">(SUMPRODUCT(((LEFT('BALANCE 2026'!$A$5:$A$94,2)="13"))*('BALANCE 2026'!$E$5:$E$94-'BALANCE 2026'!$D$5:$D$94)))-'COMPTE DE RESULTAT'!D47</f>
        <v>0</v>
      </c>
      <c r="F9" s="15" t="n">
        <f aca="false">(SUMPRODUCT(((LEFT('BALANCE 2027'!$A$5:$A$94,2)="13"))*('BALANCE 2027'!$E$5:$E$94-'BALANCE 2027'!$D$5:$D$94)))-'COMPTE DE RESULTAT'!E47</f>
        <v>0</v>
      </c>
      <c r="G9" s="15" t="n">
        <f aca="false">(SUMPRODUCT(((LEFT('BALANCE 2028'!$A$5:$A$94,2)="13"))*('BALANCE 2028'!$E$5:$E$94-'BALANCE 2028'!$D$5:$D$94)))-'COMPTE DE RESULTAT'!F47</f>
        <v>0</v>
      </c>
      <c r="H9" s="15" t="n">
        <f aca="false">(SUMPRODUCT(((LEFT('BALANCE 2029'!$A$5:$A$94,2)="13"))*('BALANCE 2029'!$E$5:$E$94-'BALANCE 2029'!$D$5:$D$94)))-'COMPTE DE RESULTAT'!G47</f>
        <v>0</v>
      </c>
    </row>
    <row r="10" customFormat="false" ht="15" hidden="false" customHeight="false" outlineLevel="0" collapsed="false">
      <c r="A10" s="13"/>
      <c r="B10" s="12" t="s">
        <v>560</v>
      </c>
      <c r="C10" s="15" t="n">
        <f aca="false">SUMPRODUCT(((LEFT('BALANCE 2024'!$A$5:$A$94,1)="2"))*('BALANCE 2024'!$H$5:$H$94-'BALANCE 2024'!$I$5:$I$94))-BILAN!C17</f>
        <v>0</v>
      </c>
      <c r="D10" s="15" t="n">
        <f aca="false">SUMPRODUCT(((LEFT('BALANCE 2025'!$A$5:$A$94,1)="2"))*('BALANCE 2025'!$H$5:$H$94-'BALANCE 2025'!$I$5:$I$94))-BILAN!D17</f>
        <v>0</v>
      </c>
      <c r="E10" s="15" t="n">
        <f aca="false">SUMPRODUCT(((LEFT('BALANCE 2026'!$A$5:$A$94,1)="2"))*('BALANCE 2026'!$H$5:$H$94-'BALANCE 2026'!$I$5:$I$94))-BILAN!E17</f>
        <v>0</v>
      </c>
      <c r="F10" s="15" t="n">
        <f aca="false">SUMPRODUCT(((LEFT('BALANCE 2027'!$A$5:$A$94,1)="2"))*('BALANCE 2027'!$H$5:$H$94-'BALANCE 2027'!$I$5:$I$94))-BILAN!F17</f>
        <v>0</v>
      </c>
      <c r="G10" s="15" t="n">
        <f aca="false">SUMPRODUCT(((LEFT('BALANCE 2028'!$A$5:$A$94,1)="2"))*('BALANCE 2028'!$H$5:$H$94-'BALANCE 2028'!$I$5:$I$94))-BILAN!G17</f>
        <v>0</v>
      </c>
      <c r="H10" s="15" t="n">
        <f aca="false">SUMPRODUCT(((LEFT('BALANCE 2029'!$A$5:$A$94,1)="2"))*('BALANCE 2029'!$H$5:$H$94-'BALANCE 2029'!$I$5:$I$94))-BILAN!H17</f>
        <v>0</v>
      </c>
    </row>
    <row r="11" customFormat="false" ht="15" hidden="false" customHeight="false" outlineLevel="0" collapsed="false">
      <c r="A11" s="13"/>
      <c r="B11" s="12" t="s">
        <v>561</v>
      </c>
      <c r="C11" s="15" t="n">
        <f aca="false">SUMPRODUCT(((LEFT('BALANCE 2024'!$A$5:$A$94,1)="3")+(LEFT('BALANCE 2024'!$A$5:$A$94,1)="4"))*('BALANCE 2024'!$H$5:$H$94-'BALANCE 2024'!$I$5:$I$94))-(BILAN!C24-BILAN!C55)</f>
        <v>0</v>
      </c>
      <c r="D11" s="15" t="n">
        <f aca="false">SUMPRODUCT(((LEFT('BALANCE 2025'!$A$5:$A$94,1)="3")+(LEFT('BALANCE 2025'!$A$5:$A$94,1)="4"))*('BALANCE 2025'!$H$5:$H$94-'BALANCE 2025'!$I$5:$I$94))-(BILAN!D24-BILAN!D55)</f>
        <v>0</v>
      </c>
      <c r="E11" s="15" t="n">
        <f aca="false">SUMPRODUCT(((LEFT('BALANCE 2026'!$A$5:$A$94,1)="3")+(LEFT('BALANCE 2026'!$A$5:$A$94,1)="4"))*('BALANCE 2026'!$H$5:$H$94-'BALANCE 2026'!$I$5:$I$94))-(BILAN!E24-BILAN!E55)</f>
        <v>0</v>
      </c>
      <c r="F11" s="15" t="n">
        <f aca="false">SUMPRODUCT(((LEFT('BALANCE 2027'!$A$5:$A$94,1)="3")+(LEFT('BALANCE 2027'!$A$5:$A$94,1)="4"))*('BALANCE 2027'!$H$5:$H$94-'BALANCE 2027'!$I$5:$I$94))-(BILAN!F24-BILAN!F55)</f>
        <v>0</v>
      </c>
      <c r="G11" s="15" t="n">
        <f aca="false">SUMPRODUCT(((LEFT('BALANCE 2028'!$A$5:$A$94,1)="3")+(LEFT('BALANCE 2028'!$A$5:$A$94,1)="4"))*('BALANCE 2028'!$H$5:$H$94-'BALANCE 2028'!$I$5:$I$94))-(BILAN!G24-BILAN!G55)</f>
        <v>0</v>
      </c>
      <c r="H11" s="15" t="n">
        <f aca="false">SUMPRODUCT(((LEFT('BALANCE 2029'!$A$5:$A$94,1)="3")+(LEFT('BALANCE 2029'!$A$5:$A$94,1)="4"))*('BALANCE 2029'!$H$5:$H$94-'BALANCE 2029'!$I$5:$I$94))-(BILAN!H24-BILAN!H55)</f>
        <v>0</v>
      </c>
    </row>
    <row r="12" customFormat="false" ht="15" hidden="false" customHeight="false" outlineLevel="0" collapsed="false">
      <c r="A12" s="13"/>
      <c r="B12" s="12" t="s">
        <v>562</v>
      </c>
      <c r="C12" s="15" t="n">
        <f aca="false">SUMPRODUCT(((LEFT('BALANCE 2024'!$A$5:$A$94,1)="5"))*('BALANCE 2024'!$H$5:$H$94-'BALANCE 2024'!$I$5:$I$94))-(BILAN!C28-BILAN!C58)</f>
        <v>0</v>
      </c>
      <c r="D12" s="15" t="n">
        <f aca="false">SUMPRODUCT(((LEFT('BALANCE 2025'!$A$5:$A$94,1)="5"))*('BALANCE 2025'!$H$5:$H$94-'BALANCE 2025'!$I$5:$I$94))-(BILAN!D28-BILAN!D58)</f>
        <v>0</v>
      </c>
      <c r="E12" s="15" t="n">
        <f aca="false">SUMPRODUCT(((LEFT('BALANCE 2026'!$A$5:$A$94,1)="5"))*('BALANCE 2026'!$H$5:$H$94-'BALANCE 2026'!$I$5:$I$94))-(BILAN!E28-BILAN!E58)</f>
        <v>0</v>
      </c>
      <c r="F12" s="15" t="n">
        <f aca="false">SUMPRODUCT(((LEFT('BALANCE 2027'!$A$5:$A$94,1)="5"))*('BALANCE 2027'!$H$5:$H$94-'BALANCE 2027'!$I$5:$I$94))-(BILAN!F28-BILAN!F58)</f>
        <v>0</v>
      </c>
      <c r="G12" s="15" t="n">
        <f aca="false">SUMPRODUCT(((LEFT('BALANCE 2028'!$A$5:$A$94,1)="5"))*('BALANCE 2028'!$H$5:$H$94-'BALANCE 2028'!$I$5:$I$94))-(BILAN!G28-BILAN!G58)</f>
        <v>0</v>
      </c>
      <c r="H12" s="15" t="n">
        <f aca="false">SUMPRODUCT(((LEFT('BALANCE 2029'!$A$5:$A$94,1)="5"))*('BALANCE 2029'!$H$5:$H$94-'BALANCE 2029'!$I$5:$I$94))-(BILAN!H28-BILAN!H58)</f>
        <v>0</v>
      </c>
    </row>
    <row r="13" customFormat="false" ht="15" hidden="false" customHeight="false" outlineLevel="0" collapsed="false">
      <c r="A13" s="13"/>
      <c r="B13" s="12" t="s">
        <v>563</v>
      </c>
      <c r="C13" s="15" t="n">
        <f aca="false">-(SUMPRODUCT(((LEFT('BALANCE 2024'!$A$5:$A$94,1)="1"))*('BALANCE 2024'!$H$5:$H$94-'BALANCE 2024'!$I$5:$I$94)))+'COMPTE DE RESULTAT'!C47-(BILAN!C43+BILAN!C47)</f>
        <v>0</v>
      </c>
      <c r="D13" s="15" t="n">
        <f aca="false">-(SUMPRODUCT(((LEFT('BALANCE 2025'!$A$5:$A$94,1)="1"))*('BALANCE 2025'!$H$5:$H$94-'BALANCE 2025'!$I$5:$I$94)))+'COMPTE DE RESULTAT'!D47-(BILAN!D43+BILAN!D47)</f>
        <v>0</v>
      </c>
      <c r="E13" s="15" t="n">
        <f aca="false">-(SUMPRODUCT(((LEFT('BALANCE 2026'!$A$5:$A$94,1)="1"))*('BALANCE 2026'!$H$5:$H$94-'BALANCE 2026'!$I$5:$I$94)))+'COMPTE DE RESULTAT'!E47-(BILAN!E43+BILAN!E47)</f>
        <v>0</v>
      </c>
      <c r="F13" s="15" t="n">
        <f aca="false">-(SUMPRODUCT(((LEFT('BALANCE 2027'!$A$5:$A$94,1)="1"))*('BALANCE 2027'!$H$5:$H$94-'BALANCE 2027'!$I$5:$I$94)))+'COMPTE DE RESULTAT'!F47-(BILAN!F43+BILAN!F47)</f>
        <v>0</v>
      </c>
      <c r="G13" s="15" t="n">
        <f aca="false">-(SUMPRODUCT(((LEFT('BALANCE 2028'!$A$5:$A$94,1)="1"))*('BALANCE 2028'!$H$5:$H$94-'BALANCE 2028'!$I$5:$I$94)))+'COMPTE DE RESULTAT'!G47-(BILAN!G43+BILAN!G47)</f>
        <v>0</v>
      </c>
      <c r="H13" s="15" t="n">
        <f aca="false">-(SUMPRODUCT(((LEFT('BALANCE 2029'!$A$5:$A$94,1)="1"))*('BALANCE 2029'!$H$5:$H$94-'BALANCE 2029'!$I$5:$I$94)))+'COMPTE DE RESULTAT'!H47-(BILAN!H43+BILAN!H47)</f>
        <v>0</v>
      </c>
    </row>
    <row r="14" customFormat="false" ht="15" hidden="false" customHeight="false" outlineLevel="0" collapsed="false">
      <c r="A14" s="13"/>
      <c r="B14" s="12" t="s">
        <v>564</v>
      </c>
      <c r="C14" s="15" t="n">
        <f aca="false">-(SUMPRODUCT(((LEFT('BALANCE 2024'!$A$5:$A$94,1)="6")+(LEFT('BALANCE 2024'!$A$5:$A$94,1)="7")+(LEFT('BALANCE 2024'!$A$5:$A$94,1)="8"))*('BALANCE 2024'!$H$5:$H$94-'BALANCE 2024'!$I$5:$I$94)))-'COMPTE DE RESULTAT'!C47</f>
        <v>0</v>
      </c>
      <c r="D14" s="15" t="n">
        <f aca="false">-(SUMPRODUCT(((LEFT('BALANCE 2025'!$A$5:$A$94,1)="6")+(LEFT('BALANCE 2025'!$A$5:$A$94,1)="7")+(LEFT('BALANCE 2025'!$A$5:$A$94,1)="8"))*('BALANCE 2025'!$H$5:$H$94-'BALANCE 2025'!$I$5:$I$94)))-'COMPTE DE RESULTAT'!D47</f>
        <v>0</v>
      </c>
      <c r="E14" s="15" t="n">
        <f aca="false">-(SUMPRODUCT(((LEFT('BALANCE 2026'!$A$5:$A$94,1)="6")+(LEFT('BALANCE 2026'!$A$5:$A$94,1)="7")+(LEFT('BALANCE 2026'!$A$5:$A$94,1)="8"))*('BALANCE 2026'!$H$5:$H$94-'BALANCE 2026'!$I$5:$I$94)))-'COMPTE DE RESULTAT'!E47</f>
        <v>0</v>
      </c>
      <c r="F14" s="15" t="n">
        <f aca="false">-(SUMPRODUCT(((LEFT('BALANCE 2027'!$A$5:$A$94,1)="6")+(LEFT('BALANCE 2027'!$A$5:$A$94,1)="7")+(LEFT('BALANCE 2027'!$A$5:$A$94,1)="8"))*('BALANCE 2027'!$H$5:$H$94-'BALANCE 2027'!$I$5:$I$94)))-'COMPTE DE RESULTAT'!F47</f>
        <v>0</v>
      </c>
      <c r="G14" s="15" t="n">
        <f aca="false">-(SUMPRODUCT(((LEFT('BALANCE 2028'!$A$5:$A$94,1)="6")+(LEFT('BALANCE 2028'!$A$5:$A$94,1)="7")+(LEFT('BALANCE 2028'!$A$5:$A$94,1)="8"))*('BALANCE 2028'!$H$5:$H$94-'BALANCE 2028'!$I$5:$I$94)))-'COMPTE DE RESULTAT'!G47</f>
        <v>0</v>
      </c>
      <c r="H14" s="15" t="n">
        <f aca="false">-(SUMPRODUCT(((LEFT('BALANCE 2029'!$A$5:$A$94,1)="6")+(LEFT('BALANCE 2029'!$A$5:$A$94,1)="7")+(LEFT('BALANCE 2029'!$A$5:$A$94,1)="8"))*('BALANCE 2029'!$H$5:$H$94-'BALANCE 2029'!$I$5:$I$94)))-'COMPTE DE RESULTAT'!H47</f>
        <v>0</v>
      </c>
    </row>
    <row r="15" customFormat="false" ht="15" hidden="false" customHeight="false" outlineLevel="0" collapsed="false">
      <c r="A15" s="13"/>
      <c r="B15" s="12" t="s">
        <v>565</v>
      </c>
      <c r="C15" s="15" t="n">
        <f aca="false">-(SUMPRODUCT(((LEFT('BALANCE 2024'!$A$5:$A$94,2)="70"))*('BALANCE 2024'!$H$5:$H$94-'BALANCE 2024'!$I$5:$I$94)))-'COMPTE DE RESULTAT'!C13</f>
        <v>0</v>
      </c>
      <c r="D15" s="15" t="n">
        <f aca="false">-(SUMPRODUCT(((LEFT('BALANCE 2025'!$A$5:$A$94,2)="70"))*('BALANCE 2025'!$H$5:$H$94-'BALANCE 2025'!$I$5:$I$94)))-'COMPTE DE RESULTAT'!D13</f>
        <v>0</v>
      </c>
      <c r="E15" s="15" t="n">
        <f aca="false">-(SUMPRODUCT(((LEFT('BALANCE 2026'!$A$5:$A$94,2)="70"))*('BALANCE 2026'!$H$5:$H$94-'BALANCE 2026'!$I$5:$I$94)))-'COMPTE DE RESULTAT'!E13</f>
        <v>0</v>
      </c>
      <c r="F15" s="15" t="n">
        <f aca="false">-(SUMPRODUCT(((LEFT('BALANCE 2027'!$A$5:$A$94,2)="70"))*('BALANCE 2027'!$H$5:$H$94-'BALANCE 2027'!$I$5:$I$94)))-'COMPTE DE RESULTAT'!F13</f>
        <v>0</v>
      </c>
      <c r="G15" s="15" t="n">
        <f aca="false">-(SUMPRODUCT(((LEFT('BALANCE 2028'!$A$5:$A$94,2)="70"))*('BALANCE 2028'!$H$5:$H$94-'BALANCE 2028'!$I$5:$I$94)))-'COMPTE DE RESULTAT'!G13</f>
        <v>0</v>
      </c>
      <c r="H15" s="15" t="n">
        <f aca="false">-(SUMPRODUCT(((LEFT('BALANCE 2029'!$A$5:$A$94,2)="70"))*('BALANCE 2029'!$H$5:$H$94-'BALANCE 2029'!$I$5:$I$94)))-'COMPTE DE RESULTAT'!H13</f>
        <v>0</v>
      </c>
    </row>
    <row r="16" customFormat="false" ht="15" hidden="false" customHeight="false" outlineLevel="0" collapsed="false">
      <c r="A16" s="13"/>
      <c r="B16" s="12" t="s">
        <v>566</v>
      </c>
      <c r="C16" s="15" t="n">
        <f aca="false">BILAN!C30-BILAN!C60</f>
        <v>0</v>
      </c>
      <c r="D16" s="15" t="n">
        <f aca="false">BILAN!D30-BILAN!D60</f>
        <v>0</v>
      </c>
      <c r="E16" s="15" t="n">
        <f aca="false">BILAN!E30-BILAN!E60</f>
        <v>0</v>
      </c>
      <c r="F16" s="15" t="n">
        <f aca="false">BILAN!F30-BILAN!F60</f>
        <v>0</v>
      </c>
      <c r="G16" s="15" t="n">
        <f aca="false">BILAN!G30-BILAN!G60</f>
        <v>0</v>
      </c>
      <c r="H16" s="15" t="n">
        <f aca="false">BILAN!H30-BILAN!H60</f>
        <v>0</v>
      </c>
    </row>
    <row r="17" customFormat="false" ht="15" hidden="false" customHeight="false" outlineLevel="0" collapsed="false">
      <c r="A17" s="13"/>
      <c r="B17" s="12" t="s">
        <v>567</v>
      </c>
      <c r="C17" s="15" t="n">
        <f aca="false">'COMPTE DE RESULTAT'!C47-HYPOTHESES!C57</f>
        <v>0</v>
      </c>
      <c r="D17" s="15" t="n">
        <f aca="false">'COMPTE DE RESULTAT'!D47-HYPOTHESES!D57</f>
        <v>0</v>
      </c>
      <c r="E17" s="15" t="n">
        <f aca="false">'COMPTE DE RESULTAT'!E47-HYPOTHESES!E57</f>
        <v>0</v>
      </c>
      <c r="F17" s="15" t="n">
        <f aca="false">'COMPTE DE RESULTAT'!F47-HYPOTHESES!F57</f>
        <v>0</v>
      </c>
      <c r="G17" s="15" t="n">
        <f aca="false">'COMPTE DE RESULTAT'!G47-HYPOTHESES!G57</f>
        <v>0</v>
      </c>
      <c r="H17" s="15" t="n">
        <f aca="false">'COMPTE DE RESULTAT'!H47-HYPOTHESES!H57</f>
        <v>0</v>
      </c>
    </row>
    <row r="18" customFormat="false" ht="15" hidden="false" customHeight="false" outlineLevel="0" collapsed="false">
      <c r="A18" s="13"/>
      <c r="B18" s="12" t="s">
        <v>568</v>
      </c>
      <c r="C18" s="41" t="s">
        <v>503</v>
      </c>
      <c r="D18" s="15" t="n">
        <f aca="false">TFT!D30-(BILAN!D28-BILAN!D58)</f>
        <v>0</v>
      </c>
      <c r="E18" s="15" t="n">
        <f aca="false">TFT!E30-(BILAN!E28-BILAN!E58)</f>
        <v>0</v>
      </c>
      <c r="F18" s="15" t="n">
        <f aca="false">TFT!F30-(BILAN!F28-BILAN!F58)</f>
        <v>0</v>
      </c>
      <c r="G18" s="15" t="n">
        <f aca="false">TFT!G30-(BILAN!G28-BILAN!G58)</f>
        <v>0</v>
      </c>
      <c r="H18" s="15" t="n">
        <f aca="false">TFT!H30-(BILAN!H28-BILAN!H58)</f>
        <v>0</v>
      </c>
    </row>
    <row r="19" customFormat="false" ht="15" hidden="false" customHeight="false" outlineLevel="0" collapsed="false">
      <c r="A19" s="13"/>
      <c r="B19" s="12" t="s">
        <v>569</v>
      </c>
      <c r="C19" s="41" t="s">
        <v>503</v>
      </c>
      <c r="D19" s="15" t="n">
        <f aca="false">BILAN!D43-(BILAN!C43+'COMPTE DE RESULTAT'!D47+TFT!D22+TFT!D19+TFT!D20)</f>
        <v>0</v>
      </c>
      <c r="E19" s="15" t="n">
        <f aca="false">BILAN!E43-(BILAN!D43+'COMPTE DE RESULTAT'!E47+TFT!E22+TFT!E19+TFT!E20)</f>
        <v>0</v>
      </c>
      <c r="F19" s="15" t="n">
        <f aca="false">BILAN!F43-(BILAN!E43+'COMPTE DE RESULTAT'!F47+TFT!F22+TFT!F19+TFT!F20)</f>
        <v>0</v>
      </c>
      <c r="G19" s="15" t="n">
        <f aca="false">BILAN!G43-(BILAN!F43+'COMPTE DE RESULTAT'!G47+TFT!G22+TFT!G19+TFT!G20)</f>
        <v>0</v>
      </c>
      <c r="H19" s="15" t="n">
        <f aca="false">BILAN!H43-(BILAN!G43+'COMPTE DE RESULTAT'!H47+TFT!H22+TFT!H19+TFT!H20)</f>
        <v>0</v>
      </c>
    </row>
    <row r="20" customFormat="false" ht="15" hidden="false" customHeight="false" outlineLevel="0" collapsed="false">
      <c r="A20" s="13"/>
      <c r="B20" s="12" t="s">
        <v>570</v>
      </c>
      <c r="C20" s="41" t="s">
        <v>503</v>
      </c>
      <c r="D20" s="15" t="n">
        <f aca="false">TFT!D6-(BILAN!C28-BILAN!C58)</f>
        <v>0</v>
      </c>
      <c r="E20" s="15" t="n">
        <f aca="false">TFT!E6-(BILAN!D28-BILAN!D58)</f>
        <v>0</v>
      </c>
      <c r="F20" s="15" t="n">
        <f aca="false">TFT!F6-(BILAN!E28-BILAN!E58)</f>
        <v>0</v>
      </c>
      <c r="G20" s="15" t="n">
        <f aca="false">TFT!G6-(BILAN!F28-BILAN!F58)</f>
        <v>0</v>
      </c>
      <c r="H20" s="15" t="n">
        <f aca="false">TFT!H6-(BILAN!G28-BILAN!G58)</f>
        <v>0</v>
      </c>
    </row>
    <row r="21" customFormat="false" ht="15" hidden="false" customHeight="false" outlineLevel="0" collapsed="false">
      <c r="A21" s="13"/>
      <c r="B21" s="12" t="s">
        <v>571</v>
      </c>
      <c r="C21" s="15" t="n">
        <f aca="false">'INVEST ET FINANCEMENT'!C45-BILAN!C12</f>
        <v>0</v>
      </c>
      <c r="D21" s="15" t="n">
        <f aca="false">'INVEST ET FINANCEMENT'!D45-BILAN!D12</f>
        <v>0</v>
      </c>
      <c r="E21" s="15" t="n">
        <f aca="false">'INVEST ET FINANCEMENT'!E45-BILAN!E12</f>
        <v>0</v>
      </c>
      <c r="F21" s="15" t="n">
        <f aca="false">'INVEST ET FINANCEMENT'!F45-BILAN!F12</f>
        <v>0</v>
      </c>
      <c r="G21" s="15" t="n">
        <f aca="false">'INVEST ET FINANCEMENT'!G45-BILAN!G12</f>
        <v>0</v>
      </c>
      <c r="H21" s="15" t="n">
        <f aca="false">'INVEST ET FINANCEMENT'!H45-BILAN!H12</f>
        <v>0</v>
      </c>
    </row>
    <row r="22" customFormat="false" ht="15" hidden="false" customHeight="false" outlineLevel="0" collapsed="false">
      <c r="A22" s="13"/>
      <c r="B22" s="12" t="s">
        <v>572</v>
      </c>
      <c r="C22" s="41" t="s">
        <v>503</v>
      </c>
      <c r="D22" s="15" t="n">
        <f aca="false">'INVEST ET FINANCEMENT'!D77-((BILAN!D48-BILAN!D17)-(BILAN!C48-BILAN!C17))</f>
        <v>0</v>
      </c>
      <c r="E22" s="15" t="n">
        <f aca="false">'INVEST ET FINANCEMENT'!E77-((BILAN!E48-BILAN!E17)-(BILAN!D48-BILAN!D17))</f>
        <v>0</v>
      </c>
      <c r="F22" s="15" t="n">
        <f aca="false">'INVEST ET FINANCEMENT'!F77-((BILAN!F48-BILAN!F17)-(BILAN!E48-BILAN!E17))</f>
        <v>0</v>
      </c>
      <c r="G22" s="15" t="n">
        <f aca="false">'INVEST ET FINANCEMENT'!G77-((BILAN!G48-BILAN!G17)-(BILAN!F48-BILAN!F17))</f>
        <v>0</v>
      </c>
      <c r="H22" s="15" t="n">
        <f aca="false">'INVEST ET FINANCEMENT'!H77-((BILAN!H48-BILAN!H17)-(BILAN!G48-BILAN!G17))</f>
        <v>0</v>
      </c>
    </row>
    <row r="23" customFormat="false" ht="15" hidden="false" customHeight="false" outlineLevel="0" collapsed="false">
      <c r="A23" s="13"/>
      <c r="B23" s="12" t="s">
        <v>573</v>
      </c>
      <c r="C23" s="42" t="n">
        <f aca="false">COUNTIF('BALANCE 2024'!F5:G94,"&lt;-0.5")</f>
        <v>0</v>
      </c>
      <c r="D23" s="42" t="n">
        <f aca="false">COUNTIF('BALANCE 2025'!F5:G94,"&lt;-0.5")</f>
        <v>0</v>
      </c>
      <c r="E23" s="42" t="n">
        <f aca="false">COUNTIF('BALANCE 2026'!F5:G94,"&lt;-0.5")</f>
        <v>0</v>
      </c>
      <c r="F23" s="42" t="n">
        <f aca="false">COUNTIF('BALANCE 2027'!F5:G94,"&lt;-0.5")</f>
        <v>0</v>
      </c>
      <c r="G23" s="42" t="n">
        <f aca="false">COUNTIF('BALANCE 2028'!F5:G94,"&lt;-0.5")</f>
        <v>0</v>
      </c>
      <c r="H23" s="42" t="n">
        <f aca="false">COUNTIF('BALANCE 2029'!F5:G94,"&lt;-0.5")</f>
        <v>0</v>
      </c>
    </row>
    <row r="24" customFormat="false" ht="15" hidden="false" customHeight="false" outlineLevel="0" collapsed="false">
      <c r="A24" s="13"/>
      <c r="B24" s="12" t="s">
        <v>574</v>
      </c>
      <c r="C24" s="42" t="n">
        <f aca="false">IF(OR(BILAN!C44&lt;-0.5,BILAN!C45&lt;-0.5),1,0)</f>
        <v>0</v>
      </c>
      <c r="D24" s="42" t="n">
        <f aca="false">IF(OR(BILAN!D44&lt;-0.5,BILAN!D45&lt;-0.5),1,0)</f>
        <v>0</v>
      </c>
      <c r="E24" s="42" t="n">
        <f aca="false">IF(OR(BILAN!E44&lt;-0.5,BILAN!E45&lt;-0.5),1,0)</f>
        <v>0</v>
      </c>
      <c r="F24" s="42" t="n">
        <f aca="false">IF(OR(BILAN!F44&lt;-0.5,BILAN!F45&lt;-0.5),1,0)</f>
        <v>0</v>
      </c>
      <c r="G24" s="42" t="n">
        <f aca="false">IF(OR(BILAN!G44&lt;-0.5,BILAN!G45&lt;-0.5),1,0)</f>
        <v>0</v>
      </c>
      <c r="H24" s="42" t="n">
        <f aca="false">IF(OR(BILAN!H44&lt;-0.5,BILAN!H45&lt;-0.5),1,0)</f>
        <v>0</v>
      </c>
    </row>
    <row r="25" customFormat="false" ht="15" hidden="false" customHeight="false" outlineLevel="0" collapsed="false">
      <c r="A25" s="13"/>
      <c r="B25" s="12" t="s">
        <v>575</v>
      </c>
      <c r="C25" s="42" t="n">
        <f aca="false">IF('BALANCE 2024'!I46&gt;0.5,1,0)</f>
        <v>0</v>
      </c>
      <c r="D25" s="42" t="n">
        <f aca="false">IF('BALANCE 2025'!I46&gt;0.5,1,0)</f>
        <v>0</v>
      </c>
      <c r="E25" s="42" t="n">
        <f aca="false">IF('BALANCE 2026'!I46&gt;0.5,1,0)</f>
        <v>0</v>
      </c>
      <c r="F25" s="42" t="n">
        <f aca="false">IF('BALANCE 2027'!I46&gt;0.5,1,0)</f>
        <v>0</v>
      </c>
      <c r="G25" s="42" t="n">
        <f aca="false">IF('BALANCE 2028'!I46&gt;0.5,1,0)</f>
        <v>0</v>
      </c>
      <c r="H25" s="42" t="n">
        <f aca="false">IF('BALANCE 2029'!I46&gt;0.5,1,0)</f>
        <v>0</v>
      </c>
    </row>
    <row r="26" customFormat="false" ht="15" hidden="false" customHeight="false" outlineLevel="0" collapsed="false">
      <c r="A26" s="13"/>
      <c r="B26" s="12" t="s">
        <v>576</v>
      </c>
      <c r="C26" s="41" t="s">
        <v>503</v>
      </c>
      <c r="D26" s="15" t="n">
        <f aca="false">IF(ABS('BALANCE 2025'!G45-'BALANCE 2025'!H100)&lt;=2,0,'BALANCE 2025'!G45-'BALANCE 2025'!H100)</f>
        <v>0</v>
      </c>
      <c r="E26" s="15" t="n">
        <f aca="false">IF(ABS('BALANCE 2026'!G45-'BALANCE 2026'!H100)&lt;=2,0,'BALANCE 2026'!G45-'BALANCE 2026'!H100)</f>
        <v>0</v>
      </c>
      <c r="F26" s="15" t="n">
        <f aca="false">IF(ABS('BALANCE 2027'!G45-'BALANCE 2027'!H100)&lt;=2,0,'BALANCE 2027'!G45-'BALANCE 2027'!H100)</f>
        <v>0</v>
      </c>
      <c r="G26" s="15" t="n">
        <f aca="false">IF(ABS('BALANCE 2028'!G45-'BALANCE 2028'!H100)&lt;=2,0,'BALANCE 2028'!G45-'BALANCE 2028'!H100)</f>
        <v>0</v>
      </c>
      <c r="H26" s="15" t="n">
        <f aca="false">IF(ABS('BALANCE 2029'!G45-'BALANCE 2029'!H100)&lt;=2,0,'BALANCE 2029'!G45-'BALANCE 2029'!H100)</f>
        <v>0</v>
      </c>
    </row>
    <row r="27" customFormat="false" ht="15" hidden="false" customHeight="false" outlineLevel="0" collapsed="false">
      <c r="A27" s="13"/>
      <c r="B27" s="12" t="s">
        <v>577</v>
      </c>
      <c r="C27" s="42" t="n">
        <f aca="false">IF(BILAN!C28-BILAN!C58&lt;0,1,0)</f>
        <v>0</v>
      </c>
      <c r="D27" s="42" t="n">
        <f aca="false">IF(BILAN!D28-BILAN!D58&lt;0,1,0)</f>
        <v>0</v>
      </c>
      <c r="E27" s="42" t="n">
        <f aca="false">IF(BILAN!E28-BILAN!E58&lt;0,1,0)</f>
        <v>0</v>
      </c>
      <c r="F27" s="42" t="n">
        <f aca="false">IF(BILAN!F28-BILAN!F58&lt;0,1,0)</f>
        <v>0</v>
      </c>
      <c r="G27" s="42" t="n">
        <f aca="false">IF(BILAN!G28-BILAN!G58&lt;0,1,0)</f>
        <v>0</v>
      </c>
      <c r="H27" s="42" t="n">
        <f aca="false">IF(BILAN!H28-BILAN!H58&lt;0,1,0)</f>
        <v>0</v>
      </c>
    </row>
    <row r="28" customFormat="false" ht="15" hidden="false" customHeight="false" outlineLevel="0" collapsed="false">
      <c r="A28" s="13"/>
      <c r="B28" s="12" t="s">
        <v>578</v>
      </c>
      <c r="C28" s="42" t="n">
        <f aca="false">IF(BILAN!C43&lt;BILAN!C33/2,1,0)</f>
        <v>0</v>
      </c>
      <c r="D28" s="42" t="n">
        <f aca="false">IF(BILAN!D43&lt;BILAN!D33/2,1,0)</f>
        <v>0</v>
      </c>
      <c r="E28" s="42" t="n">
        <f aca="false">IF(BILAN!E43&lt;BILAN!E33/2,1,0)</f>
        <v>0</v>
      </c>
      <c r="F28" s="42" t="n">
        <f aca="false">IF(BILAN!F43&lt;BILAN!F33/2,1,0)</f>
        <v>0</v>
      </c>
      <c r="G28" s="42" t="n">
        <f aca="false">IF(BILAN!G43&lt;BILAN!G33/2,1,0)</f>
        <v>0</v>
      </c>
      <c r="H28" s="42" t="n">
        <f aca="false">IF(BILAN!H43&lt;BILAN!H33/2,1,0)</f>
        <v>0</v>
      </c>
    </row>
    <row r="29" customFormat="false" ht="15" hidden="false" customHeight="false" outlineLevel="0" collapsed="false">
      <c r="B29" s="43" t="s">
        <v>579</v>
      </c>
      <c r="C29" s="44" t="n">
        <f aca="false">(ABS(N(C6))&gt;0.5)+(ABS(N(C7))&gt;0.5)+(ABS(N(C8))&gt;0.5)+(ABS(N(C9))&gt;0.5)+(ABS(N(C10))&gt;0.5)+(ABS(N(C11))&gt;0.5)+(ABS(N(C12))&gt;0.5)+(ABS(N(C13))&gt;0.5)+(ABS(N(C14))&gt;0.5)+(ABS(N(C15))&gt;0.5)+(ABS(N(C16))&gt;0.5)+(ABS(N(C17))&gt;0.5)+(ABS(N(C18))&gt;0.5)+(ABS(N(C19))&gt;0.5)+(ABS(N(C20))&gt;0.5)+(ABS(N(C21))&gt;0.5)+(ABS(N(C22))&gt;0.5)+(ABS(N(C23))&gt;0.5)+(ABS(N(C24))&gt;0.5)+(ABS(N(C25))&gt;0.5)+(ABS(N(C26))&gt;0.5)+(ABS(N(C27))&gt;0.5)+(ABS(N(C28))&gt;0.5)</f>
        <v>0</v>
      </c>
      <c r="D29" s="44" t="n">
        <f aca="false">(ABS(N(D6))&gt;0.5)+(ABS(N(D7))&gt;0.5)+(ABS(N(D8))&gt;0.5)+(ABS(N(D9))&gt;0.5)+(ABS(N(D10))&gt;0.5)+(ABS(N(D11))&gt;0.5)+(ABS(N(D12))&gt;0.5)+(ABS(N(D13))&gt;0.5)+(ABS(N(D14))&gt;0.5)+(ABS(N(D15))&gt;0.5)+(ABS(N(D16))&gt;0.5)+(ABS(N(D17))&gt;0.5)+(ABS(N(D18))&gt;0.5)+(ABS(N(D19))&gt;0.5)+(ABS(N(D20))&gt;0.5)+(ABS(N(D21))&gt;0.5)+(ABS(N(D22))&gt;0.5)+(ABS(N(D23))&gt;0.5)+(ABS(N(D24))&gt;0.5)+(ABS(N(D25))&gt;0.5)+(ABS(N(D26))&gt;0.5)+(ABS(N(D27))&gt;0.5)+(ABS(N(D28))&gt;0.5)</f>
        <v>0</v>
      </c>
      <c r="E29" s="44" t="n">
        <f aca="false">(ABS(N(E6))&gt;0.5)+(ABS(N(E7))&gt;0.5)+(ABS(N(E8))&gt;0.5)+(ABS(N(E9))&gt;0.5)+(ABS(N(E10))&gt;0.5)+(ABS(N(E11))&gt;0.5)+(ABS(N(E12))&gt;0.5)+(ABS(N(E13))&gt;0.5)+(ABS(N(E14))&gt;0.5)+(ABS(N(E15))&gt;0.5)+(ABS(N(E16))&gt;0.5)+(ABS(N(E17))&gt;0.5)+(ABS(N(E18))&gt;0.5)+(ABS(N(E19))&gt;0.5)+(ABS(N(E20))&gt;0.5)+(ABS(N(E21))&gt;0.5)+(ABS(N(E22))&gt;0.5)+(ABS(N(E23))&gt;0.5)+(ABS(N(E24))&gt;0.5)+(ABS(N(E25))&gt;0.5)+(ABS(N(E26))&gt;0.5)+(ABS(N(E27))&gt;0.5)+(ABS(N(E28))&gt;0.5)</f>
        <v>0</v>
      </c>
      <c r="F29" s="44" t="n">
        <f aca="false">(ABS(N(F6))&gt;0.5)+(ABS(N(F7))&gt;0.5)+(ABS(N(F8))&gt;0.5)+(ABS(N(F9))&gt;0.5)+(ABS(N(F10))&gt;0.5)+(ABS(N(F11))&gt;0.5)+(ABS(N(F12))&gt;0.5)+(ABS(N(F13))&gt;0.5)+(ABS(N(F14))&gt;0.5)+(ABS(N(F15))&gt;0.5)+(ABS(N(F16))&gt;0.5)+(ABS(N(F17))&gt;0.5)+(ABS(N(F18))&gt;0.5)+(ABS(N(F19))&gt;0.5)+(ABS(N(F20))&gt;0.5)+(ABS(N(F21))&gt;0.5)+(ABS(N(F22))&gt;0.5)+(ABS(N(F23))&gt;0.5)+(ABS(N(F24))&gt;0.5)+(ABS(N(F25))&gt;0.5)+(ABS(N(F26))&gt;0.5)+(ABS(N(F27))&gt;0.5)+(ABS(N(F28))&gt;0.5)</f>
        <v>0</v>
      </c>
      <c r="G29" s="44" t="n">
        <f aca="false">(ABS(N(G6))&gt;0.5)+(ABS(N(G7))&gt;0.5)+(ABS(N(G8))&gt;0.5)+(ABS(N(G9))&gt;0.5)+(ABS(N(G10))&gt;0.5)+(ABS(N(G11))&gt;0.5)+(ABS(N(G12))&gt;0.5)+(ABS(N(G13))&gt;0.5)+(ABS(N(G14))&gt;0.5)+(ABS(N(G15))&gt;0.5)+(ABS(N(G16))&gt;0.5)+(ABS(N(G17))&gt;0.5)+(ABS(N(G18))&gt;0.5)+(ABS(N(G19))&gt;0.5)+(ABS(N(G20))&gt;0.5)+(ABS(N(G21))&gt;0.5)+(ABS(N(G22))&gt;0.5)+(ABS(N(G23))&gt;0.5)+(ABS(N(G24))&gt;0.5)+(ABS(N(G25))&gt;0.5)+(ABS(N(G26))&gt;0.5)+(ABS(N(G27))&gt;0.5)+(ABS(N(G28))&gt;0.5)</f>
        <v>0</v>
      </c>
      <c r="H29" s="44" t="n">
        <f aca="false">(ABS(N(H6))&gt;0.5)+(ABS(N(H7))&gt;0.5)+(ABS(N(H8))&gt;0.5)+(ABS(N(H9))&gt;0.5)+(ABS(N(H10))&gt;0.5)+(ABS(N(H11))&gt;0.5)+(ABS(N(H12))&gt;0.5)+(ABS(N(H13))&gt;0.5)+(ABS(N(H14))&gt;0.5)+(ABS(N(H15))&gt;0.5)+(ABS(N(H16))&gt;0.5)+(ABS(N(H17))&gt;0.5)+(ABS(N(H18))&gt;0.5)+(ABS(N(H19))&gt;0.5)+(ABS(N(H20))&gt;0.5)+(ABS(N(H21))&gt;0.5)+(ABS(N(H22))&gt;0.5)+(ABS(N(H23))&gt;0.5)+(ABS(N(H24))&gt;0.5)+(ABS(N(H25))&gt;0.5)+(ABS(N(H26))&gt;0.5)+(ABS(N(H27))&gt;0.5)+(ABS(N(H28))&gt;0.5)</f>
        <v>0</v>
      </c>
      <c r="I29" s="43" t="str">
        <f aca="false">IF(SUM(C29:H29)=0,"OK","À VÉRIFIER")</f>
        <v>OK</v>
      </c>
    </row>
    <row r="31" customFormat="false" ht="15" hidden="false" customHeight="false" outlineLevel="0" collapsed="false">
      <c r="A31" s="27" t="s">
        <v>338</v>
      </c>
      <c r="B31" s="27" t="s">
        <v>580</v>
      </c>
      <c r="C31" s="27" t="str">
        <f aca="false">"Réel "&amp;HYPOTHESES!$C$5</f>
        <v>Réel 2024</v>
      </c>
      <c r="D31" s="38" t="n">
        <f aca="false">HYPOTHESES!$C$5+1</f>
        <v>2025</v>
      </c>
      <c r="E31" s="38" t="n">
        <f aca="false">HYPOTHESES!$C$5+2</f>
        <v>2026</v>
      </c>
      <c r="F31" s="38" t="n">
        <f aca="false">HYPOTHESES!$C$5+3</f>
        <v>2027</v>
      </c>
      <c r="G31" s="38" t="n">
        <f aca="false">HYPOTHESES!$C$5+4</f>
        <v>2028</v>
      </c>
      <c r="H31" s="38" t="n">
        <f aca="false">HYPOTHESES!$C$5+5</f>
        <v>2029</v>
      </c>
      <c r="I31" s="27"/>
    </row>
    <row r="32" customFormat="false" ht="15" hidden="false" customHeight="false" outlineLevel="0" collapsed="false">
      <c r="A32" s="13"/>
      <c r="B32" s="12" t="s">
        <v>581</v>
      </c>
      <c r="C32" s="45" t="str">
        <f aca="false">""</f>
        <v/>
      </c>
      <c r="D32" s="17" t="n">
        <f aca="false">IF('COMPTE DE RESULTAT'!C13=0,0,'COMPTE DE RESULTAT'!D13/'COMPTE DE RESULTAT'!C13-1)</f>
        <v>0.0700000004992678</v>
      </c>
      <c r="E32" s="17" t="n">
        <f aca="false">IF('COMPTE DE RESULTAT'!D13=0,0,'COMPTE DE RESULTAT'!E13/'COMPTE DE RESULTAT'!D13-1)</f>
        <v>0.0499999997333684</v>
      </c>
      <c r="F32" s="17" t="n">
        <f aca="false">IF('COMPTE DE RESULTAT'!E13=0,0,'COMPTE DE RESULTAT'!F13/'COMPTE DE RESULTAT'!E13-1)</f>
        <v>0.0500000005078698</v>
      </c>
      <c r="G32" s="17" t="n">
        <f aca="false">IF('COMPTE DE RESULTAT'!F13=0,0,'COMPTE DE RESULTAT'!G13/'COMPTE DE RESULTAT'!F13-1)</f>
        <v>0.0499999995767753</v>
      </c>
      <c r="H32" s="17" t="n">
        <f aca="false">IF('COMPTE DE RESULTAT'!G13=0,0,'COMPTE DE RESULTAT'!H13/'COMPTE DE RESULTAT'!G13-1)</f>
        <v>0.0500000005758161</v>
      </c>
    </row>
    <row r="33" customFormat="false" ht="15" hidden="false" customHeight="false" outlineLevel="0" collapsed="false">
      <c r="A33" s="13"/>
      <c r="B33" s="12" t="s">
        <v>582</v>
      </c>
      <c r="C33" s="17" t="n">
        <f aca="false">IF('COMPTE DE RESULTAT'!C13=0,0,'COMPTE DE RESULTAT'!C27/'COMPTE DE RESULTAT'!C13)</f>
        <v>0.422394255613904</v>
      </c>
      <c r="D33" s="17" t="n">
        <f aca="false">IF('COMPTE DE RESULTAT'!D13=0,0,'COMPTE DE RESULTAT'!D27/'COMPTE DE RESULTAT'!D13)</f>
        <v>0.422400000755101</v>
      </c>
      <c r="E33" s="17" t="n">
        <f aca="false">IF('COMPTE DE RESULTAT'!E13=0,0,'COMPTE DE RESULTAT'!E27/'COMPTE DE RESULTAT'!E13)</f>
        <v>0.422399998703916</v>
      </c>
      <c r="F33" s="17" t="n">
        <f aca="false">IF('COMPTE DE RESULTAT'!F13=0,0,'COMPTE DE RESULTAT'!F27/'COMPTE DE RESULTAT'!F13)</f>
        <v>0.422400000071585</v>
      </c>
      <c r="G33" s="17" t="n">
        <f aca="false">IF('COMPTE DE RESULTAT'!G13=0,0,'COMPTE DE RESULTAT'!G27/'COMPTE DE RESULTAT'!G13)</f>
        <v>0.422400001335893</v>
      </c>
      <c r="H33" s="17" t="n">
        <f aca="false">IF('COMPTE DE RESULTAT'!H13=0,0,'COMPTE DE RESULTAT'!H27/'COMPTE DE RESULTAT'!H13)</f>
        <v>0.422400000171977</v>
      </c>
    </row>
    <row r="34" customFormat="false" ht="15" hidden="false" customHeight="false" outlineLevel="0" collapsed="false">
      <c r="A34" s="13"/>
      <c r="B34" s="12" t="s">
        <v>583</v>
      </c>
      <c r="C34" s="17" t="n">
        <f aca="false">IF('COMPTE DE RESULTAT'!C13=0,0,'COMPTE DE RESULTAT'!C29/'COMPTE DE RESULTAT'!C13)</f>
        <v>0.271151063655286</v>
      </c>
      <c r="D34" s="17" t="n">
        <f aca="false">IF('COMPTE DE RESULTAT'!D13=0,0,'COMPTE DE RESULTAT'!D29/'COMPTE DE RESULTAT'!D13)</f>
        <v>0.271200000590856</v>
      </c>
      <c r="E34" s="17" t="n">
        <f aca="false">IF('COMPTE DE RESULTAT'!E13=0,0,'COMPTE DE RESULTAT'!E29/'COMPTE DE RESULTAT'!E13)</f>
        <v>0.271199998691728</v>
      </c>
      <c r="F34" s="17" t="n">
        <f aca="false">IF('COMPTE DE RESULTAT'!F13=0,0,'COMPTE DE RESULTAT'!F29/'COMPTE DE RESULTAT'!F13)</f>
        <v>0.271200000616215</v>
      </c>
      <c r="G34" s="17" t="n">
        <f aca="false">IF('COMPTE DE RESULTAT'!G13=0,0,'COMPTE DE RESULTAT'!G29/'COMPTE DE RESULTAT'!G13)</f>
        <v>0.271200001243763</v>
      </c>
      <c r="H34" s="17" t="n">
        <f aca="false">IF('COMPTE DE RESULTAT'!H13=0,0,'COMPTE DE RESULTAT'!H29/'COMPTE DE RESULTAT'!H13)</f>
        <v>0.271200000546641</v>
      </c>
    </row>
    <row r="35" customFormat="false" ht="15" hidden="false" customHeight="false" outlineLevel="0" collapsed="false">
      <c r="A35" s="13"/>
      <c r="B35" s="12" t="s">
        <v>584</v>
      </c>
      <c r="C35" s="17" t="n">
        <f aca="false">IF('COMPTE DE RESULTAT'!C13=0,0,'COMPTE DE RESULTAT'!C47/'COMPTE DE RESULTAT'!C13)</f>
        <v>0.103703436001107</v>
      </c>
      <c r="D35" s="17" t="n">
        <f aca="false">IF('COMPTE DE RESULTAT'!D13=0,0,'COMPTE DE RESULTAT'!D47/'COMPTE DE RESULTAT'!D13)</f>
        <v>0.123336948556003</v>
      </c>
      <c r="E35" s="17" t="n">
        <f aca="false">IF('COMPTE DE RESULTAT'!E13=0,0,'COMPTE DE RESULTAT'!E47/'COMPTE DE RESULTAT'!E13)</f>
        <v>0.109206634904051</v>
      </c>
      <c r="F35" s="17" t="n">
        <f aca="false">IF('COMPTE DE RESULTAT'!F13=0,0,'COMPTE DE RESULTAT'!F47/'COMPTE DE RESULTAT'!F13)</f>
        <v>0.110616858168252</v>
      </c>
      <c r="G35" s="17" t="n">
        <f aca="false">IF('COMPTE DE RESULTAT'!G13=0,0,'COMPTE DE RESULTAT'!G47/'COMPTE DE RESULTAT'!G13)</f>
        <v>0.116184523020176</v>
      </c>
      <c r="H35" s="17" t="n">
        <f aca="false">IF('COMPTE DE RESULTAT'!H13=0,0,'COMPTE DE RESULTAT'!H47/'COMPTE DE RESULTAT'!H13)</f>
        <v>0.118541489553644</v>
      </c>
    </row>
    <row r="36" customFormat="false" ht="15" hidden="false" customHeight="false" outlineLevel="0" collapsed="false">
      <c r="A36" s="13"/>
      <c r="B36" s="12" t="s">
        <v>585</v>
      </c>
      <c r="C36" s="15" t="n">
        <f aca="false">BILAN!C48-BILAN!C17</f>
        <v>268769832</v>
      </c>
      <c r="D36" s="15" t="n">
        <f aca="false">BILAN!D48-BILAN!D17</f>
        <v>372388410</v>
      </c>
      <c r="E36" s="15" t="n">
        <f aca="false">BILAN!E48-BILAN!E17</f>
        <v>523164561</v>
      </c>
      <c r="F36" s="15" t="n">
        <f aca="false">BILAN!F48-BILAN!F17</f>
        <v>682798347</v>
      </c>
      <c r="G36" s="15" t="n">
        <f aca="false">BILAN!G48-BILAN!G17</f>
        <v>810509865</v>
      </c>
      <c r="H36" s="15" t="n">
        <f aca="false">BILAN!H48-BILAN!H17</f>
        <v>987598207</v>
      </c>
    </row>
    <row r="37" customFormat="false" ht="15" hidden="false" customHeight="false" outlineLevel="0" collapsed="false">
      <c r="A37" s="13"/>
      <c r="B37" s="12" t="s">
        <v>586</v>
      </c>
      <c r="C37" s="15" t="n">
        <f aca="false">BILAN!C24-BILAN!C55</f>
        <v>140635874</v>
      </c>
      <c r="D37" s="15" t="n">
        <f aca="false">BILAN!D24-BILAN!D55</f>
        <v>218062415</v>
      </c>
      <c r="E37" s="15" t="n">
        <f aca="false">BILAN!E24-BILAN!E55</f>
        <v>298056488</v>
      </c>
      <c r="F37" s="15" t="n">
        <f aca="false">BILAN!F24-BILAN!F55</f>
        <v>313207373</v>
      </c>
      <c r="G37" s="15" t="n">
        <f aca="false">BILAN!G24-BILAN!G55</f>
        <v>313337464</v>
      </c>
      <c r="H37" s="15" t="n">
        <f aca="false">BILAN!H24-BILAN!H55</f>
        <v>344208157</v>
      </c>
    </row>
    <row r="38" customFormat="false" ht="15" hidden="false" customHeight="false" outlineLevel="0" collapsed="false">
      <c r="A38" s="35"/>
      <c r="B38" s="35" t="s">
        <v>587</v>
      </c>
      <c r="C38" s="36" t="n">
        <f aca="false">BILAN!C28-BILAN!C58</f>
        <v>128133958</v>
      </c>
      <c r="D38" s="36" t="n">
        <f aca="false">BILAN!D28-BILAN!D58</f>
        <v>154325995</v>
      </c>
      <c r="E38" s="36" t="n">
        <f aca="false">BILAN!E28-BILAN!E58</f>
        <v>225108073</v>
      </c>
      <c r="F38" s="36" t="n">
        <f aca="false">BILAN!F28-BILAN!F58</f>
        <v>369590974</v>
      </c>
      <c r="G38" s="36" t="n">
        <f aca="false">BILAN!G28-BILAN!G58</f>
        <v>497172401</v>
      </c>
      <c r="H38" s="36" t="n">
        <f aca="false">BILAN!H28-BILAN!H58</f>
        <v>643390050</v>
      </c>
      <c r="I38" s="34"/>
    </row>
    <row r="39" customFormat="false" ht="15" hidden="false" customHeight="false" outlineLevel="0" collapsed="false">
      <c r="A39" s="13"/>
      <c r="B39" s="12" t="s">
        <v>588</v>
      </c>
      <c r="C39" s="18" t="n">
        <f aca="false">IF('COMPTE DE RESULTAT'!C13=0,0,C37/'COMPTE DE RESULTAT'!C13*360)</f>
        <v>72.2210937202613</v>
      </c>
      <c r="D39" s="18" t="n">
        <f aca="false">IF('COMPTE DE RESULTAT'!D13=0,0,D37/'COMPTE DE RESULTAT'!D13*360)</f>
        <v>104.656205421025</v>
      </c>
      <c r="E39" s="18" t="n">
        <f aca="false">IF('COMPTE DE RESULTAT'!E13=0,0,E37/'COMPTE DE RESULTAT'!E13*360)</f>
        <v>136.236490530949</v>
      </c>
      <c r="F39" s="18" t="n">
        <f aca="false">IF('COMPTE DE RESULTAT'!F13=0,0,F37/'COMPTE DE RESULTAT'!F13*360)</f>
        <v>136.344475446575</v>
      </c>
      <c r="G39" s="18" t="n">
        <f aca="false">IF('COMPTE DE RESULTAT'!G13=0,0,G37/'COMPTE DE RESULTAT'!G13*360)</f>
        <v>129.905815540665</v>
      </c>
      <c r="H39" s="18" t="n">
        <f aca="false">IF('COMPTE DE RESULTAT'!H13=0,0,H37/'COMPTE DE RESULTAT'!H13*360)</f>
        <v>135.908972224677</v>
      </c>
    </row>
    <row r="40" customFormat="false" ht="15" hidden="false" customHeight="false" outlineLevel="0" collapsed="false">
      <c r="A40" s="13"/>
      <c r="B40" s="12" t="s">
        <v>589</v>
      </c>
      <c r="C40" s="46" t="n">
        <f aca="false">IF(BILAN!C43=0,0,(BILAN!C44+BILAN!C45+BILAN!C58)/BILAN!C43)</f>
        <v>0.0587023942433689</v>
      </c>
      <c r="D40" s="46" t="n">
        <f aca="false">IF(BILAN!D43=0,0,(BILAN!D44+BILAN!D45+BILAN!D58)/BILAN!D43)</f>
        <v>0</v>
      </c>
      <c r="E40" s="46" t="n">
        <f aca="false">IF(BILAN!E43=0,0,(BILAN!E44+BILAN!E45+BILAN!E58)/BILAN!E43)</f>
        <v>0</v>
      </c>
      <c r="F40" s="46" t="n">
        <f aca="false">IF(BILAN!F43=0,0,(BILAN!F44+BILAN!F45+BILAN!F58)/BILAN!F43)</f>
        <v>0</v>
      </c>
      <c r="G40" s="46" t="n">
        <f aca="false">IF(BILAN!G43=0,0,(BILAN!G44+BILAN!G45+BILAN!G58)/BILAN!G43)</f>
        <v>0</v>
      </c>
      <c r="H40" s="46" t="n">
        <f aca="false">IF(BILAN!H43=0,0,(BILAN!H44+BILAN!H45+BILAN!H58)/BILAN!H43)</f>
        <v>0</v>
      </c>
    </row>
    <row r="41" customFormat="false" ht="15" hidden="false" customHeight="false" outlineLevel="0" collapsed="false">
      <c r="A41" s="13"/>
      <c r="B41" s="12" t="s">
        <v>590</v>
      </c>
      <c r="C41" s="17" t="n">
        <f aca="false">IF(BILAN!C43=0,0,'COMPTE DE RESULTAT'!C47/BILAN!C43)</f>
        <v>0.0848791418170092</v>
      </c>
      <c r="D41" s="17" t="n">
        <f aca="false">IF(BILAN!D43=0,0,'COMPTE DE RESULTAT'!D47/BILAN!D43)</f>
        <v>0.0974852925078641</v>
      </c>
      <c r="E41" s="17" t="n">
        <f aca="false">IF(BILAN!E43=0,0,'COMPTE DE RESULTAT'!E47/BILAN!E43)</f>
        <v>0.0831009074936242</v>
      </c>
      <c r="F41" s="17" t="n">
        <f aca="false">IF(BILAN!F43=0,0,'COMPTE DE RESULTAT'!F47/BILAN!F43)</f>
        <v>0.0812055518785634</v>
      </c>
      <c r="G41" s="17" t="n">
        <f aca="false">IF(BILAN!G43=0,0,'COMPTE DE RESULTAT'!G47/BILAN!G43)</f>
        <v>0.0821962160926193</v>
      </c>
      <c r="H41" s="17" t="n">
        <f aca="false">IF(BILAN!H43=0,0,'COMPTE DE RESULTAT'!H47/BILAN!H43)</f>
        <v>0.0809303896542483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ignoredErrors>
    <ignoredError sqref="A1:Z400" formula="1" formulaRange="1" unlockedFormula="1" numberStoredAsText="1" emptyCellReferenc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2026-10-08T14:57:44Z</dcterms:created>
  <dc:creator>openpyxl</dc:creator>
  <dc:description/>
  <dc:language>en-US</dc:language>
  <cp:lastModifiedBy/>
  <dcterms:modified xsi:type="dcterms:W3CDTF">2026-10-08T14:57:45Z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