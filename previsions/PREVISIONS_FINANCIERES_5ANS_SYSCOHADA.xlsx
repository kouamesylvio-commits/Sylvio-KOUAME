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 2024" sheetId="3" state="visible" r:id="rId5"/>
    <sheet name="BALANCE 2025" sheetId="4" state="visible" r:id="rId6"/>
    <sheet name="BALANCE 2026" sheetId="5" state="visible" r:id="rId7"/>
    <sheet name="BALANCE 2027" sheetId="6" state="visible" r:id="rId8"/>
    <sheet name="BALANCE 2028" sheetId="7" state="visible" r:id="rId9"/>
    <sheet name="BALANCE 2029" sheetId="8" state="visible" r:id="rId10"/>
    <sheet name="BILAN" sheetId="9" state="visible" r:id="rId11"/>
    <sheet name="COMPTE DE RESULTAT" sheetId="10" state="visible" r:id="rId12"/>
    <sheet name="TFT" sheetId="11" state="visible" r:id="rId13"/>
    <sheet name="CONTROL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<sst xmlns="http://schemas.openxmlformats.org/spreadsheetml/2006/main" count="2080" uniqueCount="628">
  <si>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</si>
  <si>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</si>
  <si>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</si>
  <si>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</si>
  <si>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</si>
  <si>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</si>
  <si>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</si>
  <si>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</si>
  <si>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</si>
  <si>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</si>
  <si>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</si>
  <si>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</si>
  <si>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</si>
  <si>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</si>
  <si>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</si>
  <si>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</si>
  <si>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</si>
  <si>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</si>
  <si>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</si>
  <si>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</si>
  <si>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</si>
  <si>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</si>
  <si>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</si>
  <si>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</si>
  <si>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</si>
  <si>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</si>
  <si>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</si>
  <si>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</si>
  <si>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</si>
  <si>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</si>
  <si>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</si>
  <si>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</si>
  <si>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</si>
  <si>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PROVISIONS</t>
  </si>
  <si>
    <t xml:space="preserve">Dotation aux provisions pour retraite (IFC)</t>
  </si>
  <si>
    <t xml:space="preserve">691 / 196</t>
  </si>
  <si>
    <t xml:space="preserve">Défaut : dotation réelle de l'année de base.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</si>
  <si>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</si>
  <si>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</si>
  <si>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</si>
  <si>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</si>
  <si>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</si>
  <si>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</si>
  <si>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</si>
  <si>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</si>
  <si>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</si>
  <si>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</si>
  <si>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</si>
  <si>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non soldé en 2025.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</si>
  <si>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</si>
  <si>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</si>
  <si>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</si>
  <si>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Part des sorties de banque affectée à l'approvisionnement de la caisse (virement de fonds 585)</t>
  </si>
  <si>
    <t xml:space="preserve">571 / 585</t>
  </si>
  <si>
    <t xml:space="preserve">Appro caisse = % x mouvements crédit du 521. Seule entrée en caisse (D 585 / C 521 puis D 571 / C 585). Créances clients encaissées par chèque ou virement. Soldes banque et caisse inchangés.</t>
  </si>
  <si>
    <t xml:space="preserve">Décaissements en espèces (% des approvisionnements de caisse de l'année)</t>
  </si>
  <si>
    <t xml:space="preserve">571</t>
  </si>
  <si>
    <t xml:space="preserve">Moins de 100 % : la caisse augmente ; plus de 100 % : elle diminue. Solde de caisse = ouverture + appro x (1 - %). La banque absorbe l'écart.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</si>
  <si>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</si>
  <si>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</si>
  <si>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</si>
  <si>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</si>
  <si>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</si>
  <si>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</si>
  <si>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</si>
  <si>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</si>
  <si>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</si>
  <si>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</si>
  <si>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</si>
  <si>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</si>
  <si>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</si>
  <si>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</si>
  <si>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</si>
  <si>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</si>
  <si>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</si>
  <si>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</si>
  <si>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</si>
  <si>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</si>
  <si>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</si>
  <si>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</si>
  <si>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</si>
  <si>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</si>
  <si>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</si>
  <si>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</si>
  <si>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</si>
  <si>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</si>
  <si>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</si>
  <si>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</si>
  <si>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</si>
  <si>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</si>
  <si>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</si>
  <si>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</si>
  <si>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</si>
  <si>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</si>
  <si>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</si>
  <si>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</si>
  <si>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</si>
  <si>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</si>
  <si>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</si>
  <si>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</si>
  <si>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</si>
  <si>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</si>
  <si>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</si>
  <si>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</si>
  <si>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</si>
  <si>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</si>
  <si>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</si>
  <si>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</si>
  <si>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</si>
  <si>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</si>
  <si>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</si>
  <si>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</si>
  <si>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</si>
  <si>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</si>
  <si>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</si>
  <si>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</si>
  <si>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</si>
  <si>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</si>
  <si>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</si>
  <si>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</si>
  <si>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</si>
  <si>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</si>
  <si>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</si>
  <si>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</si>
  <si>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</si>
  <si>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</si>
  <si>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</si>
  <si>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</si>
  <si>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</si>
  <si>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</si>
  <si>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</si>
  <si>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</si>
  <si>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</si>
  <si>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</si>
  <si>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</si>
  <si>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</si>
  <si>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</si>
  <si>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</si>
  <si>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</si>
  <si>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</si>
  <si>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</si>
  <si>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</si>
  <si>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</si>
  <si>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</si>
  <si>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</si>
  <si>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</si>
  <si>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</si>
  <si>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</si>
  <si>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</si>
  <si>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</si>
  <si>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</si>
  <si>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</si>
  <si>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2025 : encours BNI 39 658 832 + nouvel emprunt 54 395 682. Ne pas rembourser plus que l'encours (voir contrôle).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</si>
  <si>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</si>
  <si>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</si>
  <si>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</si>
  <si>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</si>
  <si>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</si>
  <si>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</si>
  <si>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</si>
  <si>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Remboursement du compte courant d'associés de base (% de l'encours)</t>
  </si>
  <si>
    <t xml:space="preserve">4621</t>
  </si>
  <si>
    <t xml:space="preserve">Encours au 31/12/2024 : 3,7 M, soldé en 2025.</t>
  </si>
  <si>
    <t xml:space="preserve">Nouveaux apports en compte courant d'associés</t>
  </si>
  <si>
    <t xml:space="preserve">   Compte courant d'associés au 31/12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</si>
  <si>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</si>
  <si>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</si>
  <si>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</si>
  <si>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</si>
  <si>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</si>
  <si>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</si>
  <si>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</si>
  <si>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</si>
  <si>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</si>
  <si>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</si>
  <si>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</si>
  <si>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</si>
  <si>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</si>
  <si>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</si>
  <si>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</si>
  <si>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</si>
  <si>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</si>
  <si>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</si>
  <si>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</si>
  <si>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</si>
  <si>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</si>
  <si>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</si>
  <si>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</si>
  <si>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</si>
  <si>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</si>
  <si>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</si>
  <si>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</si>
  <si>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</si>
  <si>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</si>
  <si>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 GÉNÉRALE À 6 COLONNES : EXERCICE 2024 (RÉEL)</t>
  </si>
  <si>
    <t xml:space="preserve">Balance réelle reprise de l'onglet « 2025 » du fichier BALANCES_ET_PREVISIONS_TEST (ouverture, mouvements et clôture 2024).</t>
  </si>
  <si>
    <t xml:space="preserve">Soldes d'ouverture</t>
  </si>
  <si>
    <t xml:space="preserve">Mouvements de l'exercice</t>
  </si>
  <si>
    <t xml:space="preserve">Soldes de clôture</t>
  </si>
  <si>
    <t xml:space="preserve">Contrôle</t>
  </si>
  <si>
    <t xml:space="preserve">AJOUTER UN COMPTE</t>
  </si>
  <si>
    <t xml:space="preserve">Compte</t>
  </si>
  <si>
    <t xml:space="preserve">Intitulé</t>
  </si>
  <si>
    <t xml:space="preserve">Poste</t>
  </si>
  <si>
    <t xml:space="preserve">Débit</t>
  </si>
  <si>
    <t xml:space="preserve">Crédit</t>
  </si>
  <si>
    <t xml:space="preserve">Ouv.+Mvts-Clôt.</t>
  </si>
  <si>
    <t xml:space="preserve">1. Clic droit dans le tableau &gt; Insérer &gt; Lignes de tableau au-dessus,</t>
  </si>
  <si>
    <t xml:space="preserve">Banque SGCI</t>
  </si>
  <si>
    <t xml:space="preserve">TRESO</t>
  </si>
  <si>
    <t xml:space="preserve">   ou saisir directement sous la dernière ligne du tableau.</t>
  </si>
  <si>
    <t xml:space="preserve">Caisse</t>
  </si>
  <si>
    <t xml:space="preserve">BS</t>
  </si>
  <si>
    <t xml:space="preserve">2. Saisir Compte, Intitulé et Poste (code ci-dessous).</t>
  </si>
  <si>
    <t xml:space="preserve">Virements de fonds</t>
  </si>
  <si>
    <t xml:space="preserve">3. Les autres colonnes se remplissent : ouverture = clôture N-1 du compte,</t>
  </si>
  <si>
    <t xml:space="preserve">Sous-total : comptes du tableau ci-dessous</t>
  </si>
  <si>
    <t xml:space="preserve">   clôture = ouverture (bilan) ou part de la nature de charge (classe 6).</t>
  </si>
  <si>
    <t xml:space="preserve">TOTAL BALANCE</t>
  </si>
  <si>
    <t xml:space="preserve">   Elles peuvent être saisies manuellement.</t>
  </si>
  <si>
    <t xml:space="preserve">Écart débit - crédit (doit être nul)</t>
  </si>
  <si>
    <t xml:space="preserve">4. Ajouter le compte dans chaque exercice où il doit figurer :</t>
  </si>
  <si>
    <t xml:space="preserve">   le contrôle « ouverture N = clôture N-1 » le signale sinon.</t>
  </si>
  <si>
    <t xml:space="preserve">COMPTES DE LA BALANCE (tableau extensible)</t>
  </si>
  <si>
    <t xml:space="preserve">Code poste</t>
  </si>
  <si>
    <t xml:space="preserve">Signification</t>
  </si>
  <si>
    <t xml:space="preserve">Ouverture Débit</t>
  </si>
  <si>
    <t xml:space="preserve">Ouverture Crédit</t>
  </si>
  <si>
    <t xml:space="preserve">Mouvements Débit</t>
  </si>
  <si>
    <t xml:space="preserve">Mouvements Crédit</t>
  </si>
  <si>
    <t xml:space="preserve">Clôture Débit</t>
  </si>
  <si>
    <t xml:space="preserve">Clôture Crédit</t>
  </si>
  <si>
    <t xml:space="preserve">CA à CM</t>
  </si>
  <si>
    <t xml:space="preserve">Capitaux propres (10 à 15)</t>
  </si>
  <si>
    <t xml:space="preserve">Capital social</t>
  </si>
  <si>
    <t xml:space="preserve">CA</t>
  </si>
  <si>
    <t xml:space="preserve">DA, DB, DC</t>
  </si>
  <si>
    <t xml:space="preserve">Dettes financières, location-acquisition, provisions</t>
  </si>
  <si>
    <t xml:space="preserve">Réserve légale</t>
  </si>
  <si>
    <t xml:space="preserve">CF</t>
  </si>
  <si>
    <t xml:space="preserve">AD, AJ à AN, AP, AS</t>
  </si>
  <si>
    <t xml:space="preserve">Immobilisations (incorporelles, corporelles, financières)</t>
  </si>
  <si>
    <t xml:space="preserve">Report à nouveau</t>
  </si>
  <si>
    <t xml:space="preserve">CH</t>
  </si>
  <si>
    <t xml:space="preserve">BH, BI, BJ</t>
  </si>
  <si>
    <t xml:space="preserve">Fournisseurs débiteurs, clients, autres créances</t>
  </si>
  <si>
    <t xml:space="preserve">Résultat en instance d'affectation : bénéfice</t>
  </si>
  <si>
    <t xml:space="preserve">R13</t>
  </si>
  <si>
    <t xml:space="preserve">DH, DJ, DK, DM</t>
  </si>
  <si>
    <t xml:space="preserve">Dettes HAO, fournisseurs, fiscales et sociales, autres dettes</t>
  </si>
  <si>
    <t xml:space="preserve">Emprunts auprès des établissements de crédit (BNI)</t>
  </si>
  <si>
    <t xml:space="preserve">BS / TRESO / DR</t>
  </si>
  <si>
    <t xml:space="preserve">Trésorerie actif / banque / trésorerie passif</t>
  </si>
  <si>
    <t xml:space="preserve">Dettes de location-acquisition</t>
  </si>
  <si>
    <t xml:space="preserve">TA à TO</t>
  </si>
  <si>
    <t xml:space="preserve">Produits (TC = travaux et services vendus, TK = revenus financiers)</t>
  </si>
  <si>
    <t xml:space="preserve">Provisions pour pensions et obligations similaires (IFC)</t>
  </si>
  <si>
    <t xml:space="preserve">DC</t>
  </si>
  <si>
    <t xml:space="preserve">RE, RG, RH, RI, RJ, RK</t>
  </si>
  <si>
    <t xml:space="preserve">Achats, transports, services ext., impôts et taxes, autres charges, personnel</t>
  </si>
  <si>
    <t xml:space="preserve">Aménagements, agencements et installations techniques</t>
  </si>
  <si>
    <t xml:space="preserve">AL</t>
  </si>
  <si>
    <t xml:space="preserve">RL, RM, RS</t>
  </si>
  <si>
    <t xml:space="preserve">Dotations, frais financiers, impôt sur le résultat</t>
  </si>
  <si>
    <t xml:space="preserve">Matériel industriel</t>
  </si>
  <si>
    <t xml:space="preserve">AM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</si>
  <si>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</si>
  <si>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</si>
  <si>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</si>
  <si>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</si>
  <si>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</si>
  <si>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</si>
  <si>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</si>
  <si>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</si>
  <si>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</si>
  <si>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</si>
  <si>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</si>
  <si>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</si>
  <si>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</si>
  <si>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</si>
  <si>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Fournisseurs avances et accoptes ve</t>
  </si>
  <si>
    <t xml:space="preserve">BH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</si>
  <si>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</si>
  <si>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</si>
  <si>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</si>
  <si>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</si>
  <si>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</si>
  <si>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</si>
  <si>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</si>
  <si>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Assurance et organisme de sante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</si>
  <si>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</si>
  <si>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</si>
  <si>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</si>
  <si>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</si>
  <si>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</si>
  <si>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</si>
  <si>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</si>
  <si>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</si>
  <si>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</si>
  <si>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</si>
  <si>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</si>
  <si>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</si>
  <si>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</si>
  <si>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</si>
  <si>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</si>
  <si>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</si>
  <si>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</si>
  <si>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</si>
  <si>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</si>
  <si>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</si>
  <si>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</si>
  <si>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</si>
  <si>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</si>
  <si>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</si>
  <si>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</si>
  <si>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</si>
  <si>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</si>
  <si>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</si>
  <si>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</si>
  <si>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</si>
  <si>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</si>
  <si>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</si>
  <si>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</si>
  <si>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</si>
  <si>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</si>
  <si>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</si>
  <si>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</si>
  <si>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</si>
  <si>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</si>
  <si>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</si>
  <si>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</si>
  <si>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</si>
  <si>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</si>
  <si>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</si>
  <si>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</si>
  <si>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</si>
  <si>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</si>
  <si>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</si>
  <si>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</si>
  <si>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</si>
  <si>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</si>
  <si>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</si>
  <si>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</si>
  <si>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</si>
  <si>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</si>
  <si>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</si>
  <si>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</si>
  <si>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</si>
  <si>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</si>
  <si>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</si>
  <si>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</si>
  <si>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</si>
  <si>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</si>
  <si>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</si>
  <si>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</si>
  <si>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</si>
  <si>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</si>
  <si>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</si>
  <si>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</si>
  <si>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</si>
  <si>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</si>
  <si>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</si>
  <si>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</si>
  <si>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</si>
  <si>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BALANCE GÉNÉRALE À 6 COLONNES : EXERCICE 2025 (PRÉVISIONNEL)</t>
  </si>
  <si>
    <t xml:space="preserve">Ouverture = clôture N-1 du même compte (classes 6 à 8 soldées, résultat N-1 en 13). Clôture calculée depuis les hypothèses ; mouvements = flux de l'exercice. Soldes après inventaire, avant écritures de clôture.</t>
  </si>
  <si>
    <t xml:space="preserve">Calcul : trésorerie totale à répartir (banque + caisse)</t>
  </si>
  <si>
    <t xml:space="preserve">Calcul : sorties de banque de l'exercice (crédit 521)</t>
  </si>
  <si>
    <t xml:space="preserve">Calcul : approvisionnement de la caisse (% des sorties de banque)</t>
  </si>
  <si>
    <t xml:space="preserve">BALANCE GÉNÉRALE À 6 COLONNES : EXERCICE 2026 (PRÉVISIONNEL)</t>
  </si>
  <si>
    <t xml:space="preserve">BALANCE GÉNÉRALE À 6 COLONNES : EXERCICE 2027 (PRÉVISIONNEL)</t>
  </si>
  <si>
    <t xml:space="preserve">BALANCE GÉNÉRALE À 6 COLONNES : EXERCICE 2028 (PRÉVISIONNEL)</t>
  </si>
  <si>
    <t xml:space="preserve">BALANCE GÉNÉRALE À 6 COLONNES : EXERCICE 2029 (PRÉVISIONNEL)</t>
  </si>
  <si>
    <t xml:space="preserve">BILAN PRÉVISIONNEL SUR 5 ANS (modèle SYSCOHADA révisé, système normal)</t>
  </si>
  <si>
    <t xml:space="preserve">Alimenté par les soldes de clôture des onglets BALANCE de chaque exercice.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</si>
  <si>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</si>
  <si>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</si>
  <si>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</si>
  <si>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</si>
  <si>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</si>
  <si>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</si>
  <si>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</si>
  <si>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</si>
  <si>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</si>
  <si>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</si>
  <si>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</si>
  <si>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</si>
  <si>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</si>
  <si>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</si>
  <si>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</si>
  <si>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</si>
  <si>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</si>
  <si>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</si>
  <si>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</si>
  <si>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</si>
  <si>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</si>
  <si>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</si>
  <si>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</si>
  <si>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</si>
  <si>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</si>
  <si>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</si>
  <si>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</si>
  <si>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</si>
  <si>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</si>
  <si>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</si>
  <si>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</si>
  <si>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</si>
  <si>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</si>
  <si>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</si>
  <si>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</si>
  <si>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</si>
  <si>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</si>
  <si>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</si>
  <si>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</si>
  <si>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</si>
  <si>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</si>
  <si>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</si>
  <si>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</si>
  <si>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</si>
  <si>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</si>
  <si>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</si>
  <si>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</si>
  <si>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</si>
  <si>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</si>
  <si>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</si>
  <si>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</si>
  <si>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</si>
  <si>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</si>
  <si>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</si>
  <si>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</si>
  <si>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</si>
  <si>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</si>
  <si>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</si>
  <si>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</si>
  <si>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</si>
  <si>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</si>
  <si>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</si>
  <si>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</si>
  <si>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</si>
  <si>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</si>
  <si>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</si>
  <si>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</si>
  <si>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</si>
  <si>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</si>
  <si>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</si>
  <si>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</si>
  <si>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</si>
  <si>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</si>
  <si>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</si>
  <si>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</si>
  <si>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</si>
  <si>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</si>
  <si>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</si>
  <si>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</si>
  <si>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</si>
  <si>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</si>
  <si>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</si>
  <si>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</si>
  <si>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</si>
  <si>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</si>
  <si>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</si>
  <si>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</si>
  <si>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</si>
  <si>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</si>
  <si>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</si>
  <si>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</si>
  <si>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les soldes de clôture des onglets BALANCE de chaque exercice.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</si>
  <si>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</si>
  <si>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</si>
  <si>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</si>
  <si>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</si>
  <si>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</si>
  <si>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</si>
  <si>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</si>
  <si>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</si>
  <si>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</si>
  <si>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</si>
  <si>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</si>
  <si>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</si>
  <si>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</si>
  <si>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</si>
  <si>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</si>
  <si>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</si>
  <si>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</si>
  <si>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</si>
  <si>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</si>
  <si>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</si>
  <si>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</si>
  <si>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</si>
  <si>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</si>
  <si>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</si>
  <si>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</si>
  <si>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</si>
  <si>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</si>
  <si>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</si>
  <si>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</si>
  <si>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</si>
  <si>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</si>
  <si>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</si>
  <si>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</si>
  <si>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</si>
  <si>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</si>
  <si>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</si>
  <si>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</si>
  <si>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</si>
  <si>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</si>
  <si>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</si>
  <si>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</si>
  <si>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</si>
  <si>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</si>
  <si>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</si>
  <si>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</si>
  <si>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</si>
  <si>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</si>
  <si>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</si>
  <si>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</si>
  <si>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</si>
  <si>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</si>
  <si>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</si>
  <si>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</si>
  <si>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</si>
  <si>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</si>
  <si>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</si>
  <si>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</si>
  <si>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</si>
  <si>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</si>
  <si>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</si>
  <si>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</si>
  <si>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</si>
  <si>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</si>
  <si>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</si>
  <si>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</si>
  <si>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</si>
  <si>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</si>
  <si>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</si>
  <si>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</si>
  <si>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</si>
  <si>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</si>
  <si>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</si>
  <si>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</si>
  <si>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</si>
  <si>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</si>
  <si>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</si>
  <si>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</si>
  <si>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</si>
  <si>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</si>
  <si>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</si>
  <si>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</si>
  <si>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</si>
  <si>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</si>
  <si>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</si>
  <si>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</si>
  <si>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</si>
  <si>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</si>
  <si>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</si>
  <si>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</si>
  <si>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</si>
  <si>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</si>
  <si>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</si>
  <si>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</si>
  <si>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</si>
  <si>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</si>
  <si>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</si>
  <si>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</si>
  <si>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</si>
  <si>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</si>
  <si>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</si>
  <si>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</si>
  <si>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</si>
  <si>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</si>
  <si>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</si>
  <si>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</si>
  <si>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</si>
  <si>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</si>
  <si>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</si>
  <si>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</si>
  <si>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</si>
  <si>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</si>
  <si>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</si>
  <si>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</si>
  <si>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</si>
  <si>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</si>
  <si>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</si>
  <si>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</si>
  <si>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</si>
  <si>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</si>
  <si>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</si>
  <si>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</si>
  <si>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</si>
  <si>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</si>
  <si>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</si>
  <si>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</si>
  <si>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</si>
  <si>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: équilibre ouverture, mouvements et clôture (somme des écarts débit - crédit)</t>
  </si>
  <si>
    <t xml:space="preserve">Balance : ouverture + mouvements - clôture, compte par compte (somme des écarts)</t>
  </si>
  <si>
    <t xml:space="preserve">Balance N : ouverture = clôture N-1, compte par compte (classes 1 à 5, hors compte 13)</t>
  </si>
  <si>
    <t xml:space="preserve">Balance N : résultat d'ouverture (13) - résultat net N-1 (XI)</t>
  </si>
  <si>
    <t xml:space="preserve">Concordance : classe 2 (solde net) - actif immobilisé net (AZ)</t>
  </si>
  <si>
    <t xml:space="preserve">Concordance : classes 3 et 4 (solde net) - (actif circulant BK - passif circulant DP)</t>
  </si>
  <si>
    <t xml:space="preserve">Concordance : classe 5 (solde net) - trésorerie nette (BT - DT)</t>
  </si>
  <si>
    <t xml:space="preserve">Concordance : classe 1 (créditeur net) + résultat - (capitaux propres CP + dettes financières DD)</t>
  </si>
  <si>
    <t xml:space="preserve">Concordance : classes 7 - 6 - 8 de la balance - résultat net XI</t>
  </si>
  <si>
    <t xml:space="preserve">Concordance : comptes 70 de la balance - chiffre d'affaires XB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</si>
  <si>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</si>
  <si>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</si>
  <si>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</si>
  <si>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</si>
  <si>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</si>
  <si>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</si>
  <si>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</si>
  <si>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mouvements négatifs dans la balance (nombre)</t>
  </si>
  <si>
    <t xml:space="preserve">Alerte : dette financière négative (remboursement &gt; encours) (1 = oui)</t>
  </si>
  <si>
    <t xml:space="preserve">Alerte : caisse créditrice (1 = oui)</t>
  </si>
  <si>
    <t xml:space="preserve">Contrôle : sorties de banque de la balance - sorties calculées pour l'appro de caisse (tolérance d'arrondi 2 FCFA)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</si>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</sst>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_BAL_2024" displayName="T_BAL_2024" ref="A15:J102" headerRowCount="1">
  <autoFilter ref="A15:J102"/>
  <tableColumns count="10">
    <tableColumn id="1" name="Compte"/>
    <tableColumn id="2" name="Intitulé"/>
    <tableColumn id="3" name="Poste"/>
    <tableColumn id="4" name="Ouverture Débit"/>
    <tableColumn id="5" name="Ouverture Crédit"/>
    <tableColumn id="6" name="Mouvements Débit"/>
    <tableColumn id="7" name="Mouvements Crédit"/>
    <tableColumn id="8" name="Clôture Débit"/>
    <tableColumn id="9" name="Clôture Crédit"/>
    <tableColumn id="10" name="Contrôle">
      <calculatedColumnFormula>(T_BAL_2024[[#This Row],[Ouverture Débit]]-T_BAL_2024[[#This Row],[Ouverture Crédit]])+(T_BAL_2024[[#This Row],[Mouvements Débit]]-T_BAL_2024[[#This Row],[Mouvements Crédit]])-(T_BAL_2024[[#This Row],[Clôture Débit]]-T_BAL_2024[[#This Row],[Clôture Crédit]])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_BAL_2025" displayName="T_BAL_2025" ref="A15:J102" headerRowCount="1">
  <autoFilter ref="A15:J102"/>
  <tableColumns count="10">
    <tableColumn id="1" name="Compte"/>
    <tableColumn id="2" name="Intitulé"/>
    <tableColumn id="3" name="Poste"/>
    <tableColumn id="4" name="Ouverture Débit">
      <calculatedColumnFormula>IF(LEFT(T_BAL_2025[[#This Row],[Compte]],1)&gt;="6",0,SUMIFS('BALANCE 2024'!$H:$H,'BALANCE 2024'!$A:$A,T_BAL_2025[[#This Row],[Compte]]))</calculatedColumnFormula>
    </tableColumn>
    <tableColumn id="5" name="Ouverture Crédit">
      <calculatedColumnFormula>IF(LEFT(T_BAL_2025[[#This Row],[Compte]],1)&gt;="6",0,SUMIFS('BALANCE 2024'!$I:$I,'BALANCE 2024'!$A:$A,T_BAL_2025[[#This Row],[Compte]]))</calculatedColumnFormula>
    </tableColumn>
    <tableColumn id="6" name="Mouvements Débit">
      <calculatedColumnFormula>MAX(0,(T_BAL_2025[[#This Row],[Clôture Débit]]-T_BAL_2025[[#This Row],[Clôture Crédit]])-(T_BAL_2025[[#This Row],[Ouverture Débit]]-T_BAL_2025[[#This Row],[Ouverture Crédit]]))</calculatedColumnFormula>
    </tableColumn>
    <tableColumn id="7" name="Mouvements Crédit">
      <calculatedColumnFormula>MAX(0,(T_BAL_2025[[#This Row],[Ouverture Débit]]-T_BAL_2025[[#This Row],[Ouverture Crédit]])-(T_BAL_2025[[#This Row],[Clôture Débit]]-T_BAL_2025[[#This Row],[Clôture Crédit]]))</calculatedColumnFormula>
    </tableColumn>
    <tableColumn id="8" name="Clôture Débit">
      <calculatedColumnFormula>ROUND(IF(LEFT(T_BAL_2025[[#This Row],[Compte]],1)&gt;="6",IF(T_BAL_2025[[#This Row],[Poste]]="RE",IF(HYPOTHESES!$C$43=0,0,HYPOTHESES!D$43*SUMIFS('BALANCE 2024'!$H:$H,'BALANCE 2024'!$A:$A,T_BAL_2025[[#This Row],[Compte]])/HYPOTHESES!$C$43),IF(T_BAL_2025[[#This Row],[Poste]]="RG",IF(HYPOTHESES!$C$44=0,0,HYPOTHESES!D$44*SUMIFS('BALANCE 2024'!$H:$H,'BALANCE 2024'!$A:$A,T_BAL_2025[[#This Row],[Compte]])/HYPOTHESES!$C$44),IF(T_BAL_2025[[#This Row],[Poste]]="RH",IF(HYPOTHESES!$C$45=0,0,HYPOTHESES!D$45*SUMIFS('BALANCE 2024'!$H:$H,'BALANCE 2024'!$A:$A,T_BAL_2025[[#This Row],[Compte]])/HYPOTHESES!$C$45),IF(T_BAL_2025[[#This Row],[Poste]]="RI",IF(HYPOTHESES!$C$46=0,0,HYPOTHESES!D$46*SUMIFS('BALANCE 2024'!$H:$H,'BALANCE 2024'!$A:$A,T_BAL_2025[[#This Row],[Compte]])/HYPOTHESES!$C$46),IF(T_BAL_2025[[#This Row],[Poste]]="RJ",IF(HYPOTHESES!$C$47=0,0,HYPOTHESES!D$47*SUMIFS('BALANCE 2024'!$H:$H,'BALANCE 2024'!$A:$A,T_BAL_2025[[#This Row],[Compte]])/HYPOTHESES!$C$47),IF(T_BAL_2025[[#This Row],[Poste]]="RK",IF(HYPOTHESES!$C$48=0,0,HYPOTHESES!D$48*SUMIFS('BALANCE 2024'!$H:$H,'BALANCE 2024'!$A:$A,T_BAL_2025[[#This Row],[Compte]])/HYPOTHESES!$C$48),0)))))),MAX(0,T_BAL_2025[[#This Row],[Ouverture Débit]]-T_BAL_2025[[#This Row],[Ouverture Crédit]])),0)</calculatedColumnFormula>
    </tableColumn>
    <tableColumn id="9" name="Clôture Crédit">
      <calculatedColumnFormula>IF(LEFT(T_BAL_2025[[#This Row],[Compte]],1)&gt;="6",0,MAX(0,T_BAL_2025[[#This Row],[Ouverture Crédit]]-T_BAL_2025[[#This Row],[Ouverture Débit]]))</calculatedColumnFormula>
    </tableColumn>
    <tableColumn id="10" name="Contrôle">
      <calculatedColumnFormula>(T_BAL_2025[[#This Row],[Ouverture Débit]]-T_BAL_2025[[#This Row],[Ouverture Crédit]])+(T_BAL_2025[[#This Row],[Mouvements Débit]]-T_BAL_2025[[#This Row],[Mouvements Crédit]])-(T_BAL_2025[[#This Row],[Clôture Débit]]-T_BAL_2025[[#This Row],[Clôture Crédit]])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T_BAL_2026" displayName="T_BAL_2026" ref="A15:J102" headerRowCount="1">
  <autoFilter ref="A15:J102"/>
  <tableColumns count="10">
    <tableColumn id="1" name="Compte"/>
    <tableColumn id="2" name="Intitulé"/>
    <tableColumn id="3" name="Poste"/>
    <tableColumn id="4" name="Ouverture Débit">
      <calculatedColumnFormula>IF(LEFT(T_BAL_2026[[#This Row],[Compte]],1)&gt;="6",0,SUMIFS('BALANCE 2025'!$H:$H,'BALANCE 2025'!$A:$A,T_BAL_2026[[#This Row],[Compte]]))</calculatedColumnFormula>
    </tableColumn>
    <tableColumn id="5" name="Ouverture Crédit">
      <calculatedColumnFormula>IF(LEFT(T_BAL_2026[[#This Row],[Compte]],1)&gt;="6",0,SUMIFS('BALANCE 2025'!$I:$I,'BALANCE 2025'!$A:$A,T_BAL_2026[[#This Row],[Compte]]))</calculatedColumnFormula>
    </tableColumn>
    <tableColumn id="6" name="Mouvements Débit">
      <calculatedColumnFormula>MAX(0,(T_BAL_2026[[#This Row],[Clôture Débit]]-T_BAL_2026[[#This Row],[Clôture Crédit]])-(T_BAL_2026[[#This Row],[Ouverture Débit]]-T_BAL_2026[[#This Row],[Ouverture Crédit]]))</calculatedColumnFormula>
    </tableColumn>
    <tableColumn id="7" name="Mouvements Crédit">
      <calculatedColumnFormula>MAX(0,(T_BAL_2026[[#This Row],[Ouverture Débit]]-T_BAL_2026[[#This Row],[Ouverture Crédit]])-(T_BAL_2026[[#This Row],[Clôture Débit]]-T_BAL_2026[[#This Row],[Clôture Crédit]]))</calculatedColumnFormula>
    </tableColumn>
    <tableColumn id="8" name="Clôture Débit">
      <calculatedColumnFormula>ROUND(IF(LEFT(T_BAL_2026[[#This Row],[Compte]],1)&gt;="6",IF(T_BAL_2026[[#This Row],[Poste]]="RE",IF(HYPOTHESES!$C$43=0,0,HYPOTHESES!E$43*SUMIFS('BALANCE 2024'!$H:$H,'BALANCE 2024'!$A:$A,T_BAL_2026[[#This Row],[Compte]])/HYPOTHESES!$C$43),IF(T_BAL_2026[[#This Row],[Poste]]="RG",IF(HYPOTHESES!$C$44=0,0,HYPOTHESES!E$44*SUMIFS('BALANCE 2024'!$H:$H,'BALANCE 2024'!$A:$A,T_BAL_2026[[#This Row],[Compte]])/HYPOTHESES!$C$44),IF(T_BAL_2026[[#This Row],[Poste]]="RH",IF(HYPOTHESES!$C$45=0,0,HYPOTHESES!E$45*SUMIFS('BALANCE 2024'!$H:$H,'BALANCE 2024'!$A:$A,T_BAL_2026[[#This Row],[Compte]])/HYPOTHESES!$C$45),IF(T_BAL_2026[[#This Row],[Poste]]="RI",IF(HYPOTHESES!$C$46=0,0,HYPOTHESES!E$46*SUMIFS('BALANCE 2024'!$H:$H,'BALANCE 2024'!$A:$A,T_BAL_2026[[#This Row],[Compte]])/HYPOTHESES!$C$46),IF(T_BAL_2026[[#This Row],[Poste]]="RJ",IF(HYPOTHESES!$C$47=0,0,HYPOTHESES!E$47*SUMIFS('BALANCE 2024'!$H:$H,'BALANCE 2024'!$A:$A,T_BAL_2026[[#This Row],[Compte]])/HYPOTHESES!$C$47),IF(T_BAL_2026[[#This Row],[Poste]]="RK",IF(HYPOTHESES!$C$48=0,0,HYPOTHESES!E$48*SUMIFS('BALANCE 2024'!$H:$H,'BALANCE 2024'!$A:$A,T_BAL_2026[[#This Row],[Compte]])/HYPOTHESES!$C$48),0)))))),MAX(0,T_BAL_2026[[#This Row],[Ouverture Débit]]-T_BAL_2026[[#This Row],[Ouverture Crédit]])),0)</calculatedColumnFormula>
    </tableColumn>
    <tableColumn id="9" name="Clôture Crédit">
      <calculatedColumnFormula>IF(LEFT(T_BAL_2026[[#This Row],[Compte]],1)&gt;="6",0,MAX(0,T_BAL_2026[[#This Row],[Ouverture Crédit]]-T_BAL_2026[[#This Row],[Ouverture Débit]]))</calculatedColumnFormula>
    </tableColumn>
    <tableColumn id="10" name="Contrôle">
      <calculatedColumnFormula>(T_BAL_2026[[#This Row],[Ouverture Débit]]-T_BAL_2026[[#This Row],[Ouverture Crédit]])+(T_BAL_2026[[#This Row],[Mouvements Débit]]-T_BAL_2026[[#This Row],[Mouvements Crédit]])-(T_BAL_2026[[#This Row],[Clôture Débit]]-T_BAL_2026[[#This Row],[Clôture Crédit]])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_BAL_2027" displayName="T_BAL_2027" ref="A15:J102" headerRowCount="1">
  <autoFilter ref="A15:J102"/>
  <tableColumns count="10">
    <tableColumn id="1" name="Compte"/>
    <tableColumn id="2" name="Intitulé"/>
    <tableColumn id="3" name="Poste"/>
    <tableColumn id="4" name="Ouverture Débit">
      <calculatedColumnFormula>IF(LEFT(T_BAL_2027[[#This Row],[Compte]],1)&gt;="6",0,SUMIFS('BALANCE 2026'!$H:$H,'BALANCE 2026'!$A:$A,T_BAL_2027[[#This Row],[Compte]]))</calculatedColumnFormula>
    </tableColumn>
    <tableColumn id="5" name="Ouverture Crédit">
      <calculatedColumnFormula>IF(LEFT(T_BAL_2027[[#This Row],[Compte]],1)&gt;="6",0,SUMIFS('BALANCE 2026'!$I:$I,'BALANCE 2026'!$A:$A,T_BAL_2027[[#This Row],[Compte]]))</calculatedColumnFormula>
    </tableColumn>
    <tableColumn id="6" name="Mouvements Débit">
      <calculatedColumnFormula>MAX(0,(T_BAL_2027[[#This Row],[Clôture Débit]]-T_BAL_2027[[#This Row],[Clôture Crédit]])-(T_BAL_2027[[#This Row],[Ouverture Débit]]-T_BAL_2027[[#This Row],[Ouverture Crédit]]))</calculatedColumnFormula>
    </tableColumn>
    <tableColumn id="7" name="Mouvements Crédit">
      <calculatedColumnFormula>MAX(0,(T_BAL_2027[[#This Row],[Ouverture Débit]]-T_BAL_2027[[#This Row],[Ouverture Crédit]])-(T_BAL_2027[[#This Row],[Clôture Débit]]-T_BAL_2027[[#This Row],[Clôture Crédit]]))</calculatedColumnFormula>
    </tableColumn>
    <tableColumn id="8" name="Clôture Débit">
      <calculatedColumnFormula>ROUND(IF(LEFT(T_BAL_2027[[#This Row],[Compte]],1)&gt;="6",IF(T_BAL_2027[[#This Row],[Poste]]="RE",IF(HYPOTHESES!$C$43=0,0,HYPOTHESES!F$43*SUMIFS('BALANCE 2024'!$H:$H,'BALANCE 2024'!$A:$A,T_BAL_2027[[#This Row],[Compte]])/HYPOTHESES!$C$43),IF(T_BAL_2027[[#This Row],[Poste]]="RG",IF(HYPOTHESES!$C$44=0,0,HYPOTHESES!F$44*SUMIFS('BALANCE 2024'!$H:$H,'BALANCE 2024'!$A:$A,T_BAL_2027[[#This Row],[Compte]])/HYPOTHESES!$C$44),IF(T_BAL_2027[[#This Row],[Poste]]="RH",IF(HYPOTHESES!$C$45=0,0,HYPOTHESES!F$45*SUMIFS('BALANCE 2024'!$H:$H,'BALANCE 2024'!$A:$A,T_BAL_2027[[#This Row],[Compte]])/HYPOTHESES!$C$45),IF(T_BAL_2027[[#This Row],[Poste]]="RI",IF(HYPOTHESES!$C$46=0,0,HYPOTHESES!F$46*SUMIFS('BALANCE 2024'!$H:$H,'BALANCE 2024'!$A:$A,T_BAL_2027[[#This Row],[Compte]])/HYPOTHESES!$C$46),IF(T_BAL_2027[[#This Row],[Poste]]="RJ",IF(HYPOTHESES!$C$47=0,0,HYPOTHESES!F$47*SUMIFS('BALANCE 2024'!$H:$H,'BALANCE 2024'!$A:$A,T_BAL_2027[[#This Row],[Compte]])/HYPOTHESES!$C$47),IF(T_BAL_2027[[#This Row],[Poste]]="RK",IF(HYPOTHESES!$C$48=0,0,HYPOTHESES!F$48*SUMIFS('BALANCE 2024'!$H:$H,'BALANCE 2024'!$A:$A,T_BAL_2027[[#This Row],[Compte]])/HYPOTHESES!$C$48),0)))))),MAX(0,T_BAL_2027[[#This Row],[Ouverture Débit]]-T_BAL_2027[[#This Row],[Ouverture Crédit]])),0)</calculatedColumnFormula>
    </tableColumn>
    <tableColumn id="9" name="Clôture Crédit">
      <calculatedColumnFormula>IF(LEFT(T_BAL_2027[[#This Row],[Compte]],1)&gt;="6",0,MAX(0,T_BAL_2027[[#This Row],[Ouverture Crédit]]-T_BAL_2027[[#This Row],[Ouverture Débit]]))</calculatedColumnFormula>
    </tableColumn>
    <tableColumn id="10" name="Contrôle">
      <calculatedColumnFormula>(T_BAL_2027[[#This Row],[Ouverture Débit]]-T_BAL_2027[[#This Row],[Ouverture Crédit]])+(T_BAL_2027[[#This Row],[Mouvements Débit]]-T_BAL_2027[[#This Row],[Mouvements Crédit]])-(T_BAL_2027[[#This Row],[Clôture Débit]]-T_BAL_2027[[#This Row],[Clôture Crédit]])</calculatedColumnFormula>
    </tableColumn>
  </tableColumns>
  <tableStyleInfo name="TableStyleLight1" showRowStripes="0"/>
</table>
</file>

<file path=xl/tables/table5.xml><?xml version="1.0" encoding="utf-8"?>
<table xmlns="http://schemas.openxmlformats.org/spreadsheetml/2006/main" id="5" name="T_BAL_2028" displayName="T_BAL_2028" ref="A15:J102" headerRowCount="1">
  <autoFilter ref="A15:J102"/>
  <tableColumns count="10">
    <tableColumn id="1" name="Compte"/>
    <tableColumn id="2" name="Intitulé"/>
    <tableColumn id="3" name="Poste"/>
    <tableColumn id="4" name="Ouverture Débit">
      <calculatedColumnFormula>IF(LEFT(T_BAL_2028[[#This Row],[Compte]],1)&gt;="6",0,SUMIFS('BALANCE 2027'!$H:$H,'BALANCE 2027'!$A:$A,T_BAL_2028[[#This Row],[Compte]]))</calculatedColumnFormula>
    </tableColumn>
    <tableColumn id="5" name="Ouverture Crédit">
      <calculatedColumnFormula>IF(LEFT(T_BAL_2028[[#This Row],[Compte]],1)&gt;="6",0,SUMIFS('BALANCE 2027'!$I:$I,'BALANCE 2027'!$A:$A,T_BAL_2028[[#This Row],[Compte]]))</calculatedColumnFormula>
    </tableColumn>
    <tableColumn id="6" name="Mouvements Débit">
      <calculatedColumnFormula>MAX(0,(T_BAL_2028[[#This Row],[Clôture Débit]]-T_BAL_2028[[#This Row],[Clôture Crédit]])-(T_BAL_2028[[#This Row],[Ouverture Débit]]-T_BAL_2028[[#This Row],[Ouverture Crédit]]))</calculatedColumnFormula>
    </tableColumn>
    <tableColumn id="7" name="Mouvements Crédit">
      <calculatedColumnFormula>MAX(0,(T_BAL_2028[[#This Row],[Ouverture Débit]]-T_BAL_2028[[#This Row],[Ouverture Crédit]])-(T_BAL_2028[[#This Row],[Clôture Débit]]-T_BAL_2028[[#This Row],[Clôture Crédit]]))</calculatedColumnFormula>
    </tableColumn>
    <tableColumn id="8" name="Clôture Débit">
      <calculatedColumnFormula>ROUND(IF(LEFT(T_BAL_2028[[#This Row],[Compte]],1)&gt;="6",IF(T_BAL_2028[[#This Row],[Poste]]="RE",IF(HYPOTHESES!$C$43=0,0,HYPOTHESES!G$43*SUMIFS('BALANCE 2024'!$H:$H,'BALANCE 2024'!$A:$A,T_BAL_2028[[#This Row],[Compte]])/HYPOTHESES!$C$43),IF(T_BAL_2028[[#This Row],[Poste]]="RG",IF(HYPOTHESES!$C$44=0,0,HYPOTHESES!G$44*SUMIFS('BALANCE 2024'!$H:$H,'BALANCE 2024'!$A:$A,T_BAL_2028[[#This Row],[Compte]])/HYPOTHESES!$C$44),IF(T_BAL_2028[[#This Row],[Poste]]="RH",IF(HYPOTHESES!$C$45=0,0,HYPOTHESES!G$45*SUMIFS('BALANCE 2024'!$H:$H,'BALANCE 2024'!$A:$A,T_BAL_2028[[#This Row],[Compte]])/HYPOTHESES!$C$45),IF(T_BAL_2028[[#This Row],[Poste]]="RI",IF(HYPOTHESES!$C$46=0,0,HYPOTHESES!G$46*SUMIFS('BALANCE 2024'!$H:$H,'BALANCE 2024'!$A:$A,T_BAL_2028[[#This Row],[Compte]])/HYPOTHESES!$C$46),IF(T_BAL_2028[[#This Row],[Poste]]="RJ",IF(HYPOTHESES!$C$47=0,0,HYPOTHESES!G$47*SUMIFS('BALANCE 2024'!$H:$H,'BALANCE 2024'!$A:$A,T_BAL_2028[[#This Row],[Compte]])/HYPOTHESES!$C$47),IF(T_BAL_2028[[#This Row],[Poste]]="RK",IF(HYPOTHESES!$C$48=0,0,HYPOTHESES!G$48*SUMIFS('BALANCE 2024'!$H:$H,'BALANCE 2024'!$A:$A,T_BAL_2028[[#This Row],[Compte]])/HYPOTHESES!$C$48),0)))))),MAX(0,T_BAL_2028[[#This Row],[Ouverture Débit]]-T_BAL_2028[[#This Row],[Ouverture Crédit]])),0)</calculatedColumnFormula>
    </tableColumn>
    <tableColumn id="9" name="Clôture Crédit">
      <calculatedColumnFormula>IF(LEFT(T_BAL_2028[[#This Row],[Compte]],1)&gt;="6",0,MAX(0,T_BAL_2028[[#This Row],[Ouverture Crédit]]-T_BAL_2028[[#This Row],[Ouverture Débit]]))</calculatedColumnFormula>
    </tableColumn>
    <tableColumn id="10" name="Contrôle">
      <calculatedColumnFormula>(T_BAL_2028[[#This Row],[Ouverture Débit]]-T_BAL_2028[[#This Row],[Ouverture Crédit]])+(T_BAL_2028[[#This Row],[Mouvements Débit]]-T_BAL_2028[[#This Row],[Mouvements Crédit]])-(T_BAL_2028[[#This Row],[Clôture Débit]]-T_BAL_2028[[#This Row],[Clôture Crédit]])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_BAL_2029" displayName="T_BAL_2029" ref="A15:J102" headerRowCount="1">
  <autoFilter ref="A15:J102"/>
  <tableColumns count="10">
    <tableColumn id="1" name="Compte"/>
    <tableColumn id="2" name="Intitulé"/>
    <tableColumn id="3" name="Poste"/>
    <tableColumn id="4" name="Ouverture Débit">
      <calculatedColumnFormula>IF(LEFT(T_BAL_2029[[#This Row],[Compte]],1)&gt;="6",0,SUMIFS('BALANCE 2028'!$H:$H,'BALANCE 2028'!$A:$A,T_BAL_2029[[#This Row],[Compte]]))</calculatedColumnFormula>
    </tableColumn>
    <tableColumn id="5" name="Ouverture Crédit">
      <calculatedColumnFormula>IF(LEFT(T_BAL_2029[[#This Row],[Compte]],1)&gt;="6",0,SUMIFS('BALANCE 2028'!$I:$I,'BALANCE 2028'!$A:$A,T_BAL_2029[[#This Row],[Compte]]))</calculatedColumnFormula>
    </tableColumn>
    <tableColumn id="6" name="Mouvements Débit">
      <calculatedColumnFormula>MAX(0,(T_BAL_2029[[#This Row],[Clôture Débit]]-T_BAL_2029[[#This Row],[Clôture Crédit]])-(T_BAL_2029[[#This Row],[Ouverture Débit]]-T_BAL_2029[[#This Row],[Ouverture Crédit]]))</calculatedColumnFormula>
    </tableColumn>
    <tableColumn id="7" name="Mouvements Crédit">
      <calculatedColumnFormula>MAX(0,(T_BAL_2029[[#This Row],[Ouverture Débit]]-T_BAL_2029[[#This Row],[Ouverture Crédit]])-(T_BAL_2029[[#This Row],[Clôture Débit]]-T_BAL_2029[[#This Row],[Clôture Crédit]]))</calculatedColumnFormula>
    </tableColumn>
    <tableColumn id="8" name="Clôture Débit">
      <calculatedColumnFormula>ROUND(IF(LEFT(T_BAL_2029[[#This Row],[Compte]],1)&gt;="6",IF(T_BAL_2029[[#This Row],[Poste]]="RE",IF(HYPOTHESES!$C$43=0,0,HYPOTHESES!H$43*SUMIFS('BALANCE 2024'!$H:$H,'BALANCE 2024'!$A:$A,T_BAL_2029[[#This Row],[Compte]])/HYPOTHESES!$C$43),IF(T_BAL_2029[[#This Row],[Poste]]="RG",IF(HYPOTHESES!$C$44=0,0,HYPOTHESES!H$44*SUMIFS('BALANCE 2024'!$H:$H,'BALANCE 2024'!$A:$A,T_BAL_2029[[#This Row],[Compte]])/HYPOTHESES!$C$44),IF(T_BAL_2029[[#This Row],[Poste]]="RH",IF(HYPOTHESES!$C$45=0,0,HYPOTHESES!H$45*SUMIFS('BALANCE 2024'!$H:$H,'BALANCE 2024'!$A:$A,T_BAL_2029[[#This Row],[Compte]])/HYPOTHESES!$C$45),IF(T_BAL_2029[[#This Row],[Poste]]="RI",IF(HYPOTHESES!$C$46=0,0,HYPOTHESES!H$46*SUMIFS('BALANCE 2024'!$H:$H,'BALANCE 2024'!$A:$A,T_BAL_2029[[#This Row],[Compte]])/HYPOTHESES!$C$46),IF(T_BAL_2029[[#This Row],[Poste]]="RJ",IF(HYPOTHESES!$C$47=0,0,HYPOTHESES!H$47*SUMIFS('BALANCE 2024'!$H:$H,'BALANCE 2024'!$A:$A,T_BAL_2029[[#This Row],[Compte]])/HYPOTHESES!$C$47),IF(T_BAL_2029[[#This Row],[Poste]]="RK",IF(HYPOTHESES!$C$48=0,0,HYPOTHESES!H$48*SUMIFS('BALANCE 2024'!$H:$H,'BALANCE 2024'!$A:$A,T_BAL_2029[[#This Row],[Compte]])/HYPOTHESES!$C$48),0)))))),MAX(0,T_BAL_2029[[#This Row],[Ouverture Débit]]-T_BAL_2029[[#This Row],[Ouverture Crédit]])),0)</calculatedColumnFormula>
    </tableColumn>
    <tableColumn id="9" name="Clôture Crédit">
      <calculatedColumnFormula>IF(LEFT(T_BAL_2029[[#This Row],[Compte]],1)&gt;="6",0,MAX(0,T_BAL_2029[[#This Row],[Ouverture Crédit]]-T_BAL_2029[[#This Row],[Ouverture Débit]]))</calculatedColumnFormula>
    </tableColumn>
    <tableColumn id="10" name="Contrôle">
      <calculatedColumnFormula>(T_BAL_2029[[#This Row],[Ouverture Débit]]-T_BAL_2029[[#This Row],[Ouverture Crédit]])+(T_BAL_2029[[#This Row],[Mouvements Débit]]-T_BAL_2029[[#This Row],[Mouvements Crédit]])-(T_BAL_2029[[#This Row],[Clôture Débit]]-T_BAL_2029[[#This Row],[Clôture Crédit]])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0.07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SUMIFS('BALANCE 2024'!$I:$I,'BALANCE 2024'!$C:$C,"TK")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IF(SUMIFS('BALANCE 2024'!$I:$I,'BALANCE 2024'!$C:$C,"TC")=0,0,SUMIFS('BALANCE 2024'!$H:$H,'BALANCE 2024'!$C:$C,"RE")/SUMIFS('BALANCE 2024'!$I:$I,'BALANCE 2024'!$C:$C,"TC"))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IF(SUMIFS('BALANCE 2024'!$I:$I,'BALANCE 2024'!$C:$C,"TC")=0,0,SUMIFS('BALANCE 2024'!$H:$H,'BALANCE 2024'!$C:$C,"RG")/SUMIFS('BALANCE 2024'!$I:$I,'BALANCE 2024'!$C:$C,"TC"))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IF(SUMIFS('BALANCE 2024'!$I:$I,'BALANCE 2024'!$C:$C,"TC")=0,0,SUMIFS('BALANCE 2024'!$H:$H,'BALANCE 2024'!$C:$C,"RH")/SUMIFS('BALANCE 2024'!$I:$I,'BALANCE 2024'!$C:$C,"TC"))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IF(SUMIFS('BALANCE 2024'!$I:$I,'BALANCE 2024'!$C:$C,"TC")=0,0,SUMIFS('BALANCE 2024'!$H:$H,'BALANCE 2024'!$C:$C,"RI")/SUMIFS('BALANCE 2024'!$I:$I,'BALANCE 2024'!$C:$C,"TC"))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IF(SUMIFS('BALANCE 2024'!$I:$I,'BALANCE 2024'!$C:$C,"TC")=0,0,SUMIFS('BALANCE 2024'!$H:$H,'BALANCE 2024'!$C:$C,"RJ")/SUMIFS('BALANCE 2024'!$I:$I,'BALANCE 2024'!$C:$C,"TC"))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IF(SUMIFS('BALANCE 2024'!$I:$I,'BALANCE 2024'!$C:$C,"TC")=0,0,SUMIFS('BALANCE 2024'!$H:$H,'BALANCE 2024'!$C:$C,"RK")/SUMIFS('BALANCE 2024'!$I:$I,'BALANCE 2024'!$C:$C,"TC"))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6059296</v>
      </c>
      <c r="E20" s="16" t="n">
        <v>6059296</v>
      </c>
      <c r="F20" s="16" t="n">
        <v>6059296</v>
      </c>
      <c r="G20" s="16" t="n">
        <v>6059296</v>
      </c>
      <c r="H20" s="16" t="n">
        <v>6059296</v>
      </c>
      <c r="I20" s="7" t="s">
        <v>36</v>
      </c>
    </row>
    <row r="21" customFormat="false" ht="15" hidden="false" customHeight="false" outlineLevel="0" collapsed="false">
      <c r="A21" s="10" t="s">
        <v>37</v>
      </c>
      <c r="B21" s="11"/>
      <c r="C21" s="11"/>
      <c r="D21" s="11"/>
      <c r="E21" s="11"/>
      <c r="F21" s="11"/>
      <c r="G21" s="11"/>
      <c r="H21" s="11"/>
      <c r="I21" s="11"/>
    </row>
    <row r="22" customFormat="false" ht="15" hidden="false" customHeight="false" outlineLevel="0" collapsed="false">
      <c r="A22" s="12" t="s">
        <v>38</v>
      </c>
      <c r="B22" s="13" t="s">
        <v>39</v>
      </c>
      <c r="C22" s="18" t="n">
        <f aca="false">IF(C42=0,0,SUMIFS('BALANCE 2024'!$H:$H,'BALANCE 2024'!$C:$C,"BI")/(C42*(1+D10))*360)</f>
        <v>196.827174840192</v>
      </c>
      <c r="D22" s="19" t="n">
        <v>190</v>
      </c>
      <c r="E22" s="19" t="n">
        <v>197</v>
      </c>
      <c r="F22" s="19" t="n">
        <v>197</v>
      </c>
      <c r="G22" s="19" t="n">
        <v>197</v>
      </c>
      <c r="H22" s="19" t="n">
        <v>197</v>
      </c>
      <c r="I22" s="7" t="s">
        <v>40</v>
      </c>
    </row>
    <row r="23" customFormat="false" ht="15" hidden="false" customHeight="false" outlineLevel="0" collapsed="false">
      <c r="A23" s="12" t="s">
        <v>41</v>
      </c>
      <c r="B23" s="13" t="s">
        <v>42</v>
      </c>
      <c r="C23" s="18" t="n">
        <f aca="false">IF(C49=0,0,SUMIFS('BALANCE 2024'!$I:$I,'BALANCE 2024'!$C:$C,"DJ")/(C49*(1+D10))*360)</f>
        <v>57.2511620547497</v>
      </c>
      <c r="D23" s="19" t="n">
        <v>57</v>
      </c>
      <c r="E23" s="19" t="n">
        <v>57</v>
      </c>
      <c r="F23" s="19" t="n">
        <v>57</v>
      </c>
      <c r="G23" s="19" t="n">
        <v>57</v>
      </c>
      <c r="H23" s="19" t="n">
        <v>57</v>
      </c>
      <c r="I23" s="7" t="s">
        <v>43</v>
      </c>
    </row>
    <row r="24" customFormat="false" ht="15" hidden="false" customHeight="false" outlineLevel="0" collapsed="false">
      <c r="A24" s="12" t="s">
        <v>44</v>
      </c>
      <c r="B24" s="13" t="s">
        <v>45</v>
      </c>
      <c r="C24" s="18" t="n">
        <f aca="false">IF('INVEST ET FINANCEMENT'!C41=0,0,SUMIFS('BALANCE 2024'!$I:$I,'BALANCE 2024'!$C:$C,"DH")/'INVEST ET FINANCEMENT'!C41*360)</f>
        <v>131.098002937034</v>
      </c>
      <c r="D24" s="19" t="n">
        <v>131</v>
      </c>
      <c r="E24" s="19" t="n">
        <v>131</v>
      </c>
      <c r="F24" s="19" t="n">
        <v>131</v>
      </c>
      <c r="G24" s="19" t="n">
        <v>131</v>
      </c>
      <c r="H24" s="19" t="n">
        <v>131</v>
      </c>
      <c r="I24" s="7" t="s">
        <v>46</v>
      </c>
    </row>
    <row r="25" customFormat="false" ht="15" hidden="false" customHeight="false" outlineLevel="0" collapsed="false">
      <c r="A25" s="12" t="s">
        <v>47</v>
      </c>
      <c r="B25" s="13" t="s">
        <v>45</v>
      </c>
      <c r="D25" s="14" t="n">
        <v>0.6</v>
      </c>
      <c r="E25" s="14" t="n">
        <v>0.4</v>
      </c>
      <c r="F25" s="14" t="n">
        <v>0</v>
      </c>
      <c r="G25" s="14" t="n">
        <v>0</v>
      </c>
      <c r="H25" s="14" t="n">
        <v>0</v>
      </c>
      <c r="I25" s="7" t="s">
        <v>48</v>
      </c>
    </row>
    <row r="26" customFormat="false" ht="15" hidden="false" customHeight="false" outlineLevel="0" collapsed="false">
      <c r="A26" s="12" t="s">
        <v>49</v>
      </c>
      <c r="B26" s="13" t="s">
        <v>45</v>
      </c>
      <c r="C26" s="15" t="n">
        <f aca="false">ROUND(SUMIFS('BALANCE 2024'!$I:$I,'BALANCE 2024'!$C:$C,"DH"),0)</f>
        <v>132896547</v>
      </c>
      <c r="D26" s="20" t="n">
        <f aca="false">ROUND($C26*MAX(0,1-SUM($D25:D25)),0)</f>
        <v>53158619</v>
      </c>
      <c r="E26" s="20" t="n">
        <f aca="false">ROUND($C26*MAX(0,1-SUM($D25:E25)),0)</f>
        <v>0</v>
      </c>
      <c r="F26" s="20" t="n">
        <f aca="false">ROUND($C26*MAX(0,1-SUM($D25:F25)),0)</f>
        <v>0</v>
      </c>
      <c r="G26" s="20" t="n">
        <f aca="false">ROUND($C26*MAX(0,1-SUM($D25:G25)),0)</f>
        <v>0</v>
      </c>
      <c r="H26" s="20" t="n">
        <f aca="false">ROUND($C26*MAX(0,1-SUM($D25:H25)),0)</f>
        <v>0</v>
      </c>
    </row>
    <row r="27" customFormat="false" ht="15" hidden="false" customHeight="false" outlineLevel="0" collapsed="false">
      <c r="A27" s="12" t="s">
        <v>50</v>
      </c>
      <c r="B27" s="13" t="s">
        <v>45</v>
      </c>
      <c r="D27" s="20" t="n">
        <f aca="false">ROUND('INVEST ET FINANCEMENT'!D41*D24/360,0)</f>
        <v>6012616</v>
      </c>
      <c r="E27" s="20" t="n">
        <f aca="false">ROUND('INVEST ET FINANCEMENT'!E41*E24/360,0)</f>
        <v>12736111</v>
      </c>
      <c r="F27" s="20" t="n">
        <f aca="false">ROUND('INVEST ET FINANCEMENT'!F41*F24/360,0)</f>
        <v>12736111</v>
      </c>
      <c r="G27" s="20" t="n">
        <f aca="false">ROUND('INVEST ET FINANCEMENT'!G41*G24/360,0)</f>
        <v>27291667</v>
      </c>
      <c r="H27" s="20" t="n">
        <f aca="false">ROUND('INVEST ET FINANCEMENT'!H41*H24/360,0)</f>
        <v>12736111</v>
      </c>
    </row>
    <row r="28" customFormat="false" ht="15" hidden="false" customHeight="false" outlineLevel="0" collapsed="false">
      <c r="A28" s="4" t="s">
        <v>51</v>
      </c>
      <c r="B28" s="13" t="s">
        <v>45</v>
      </c>
      <c r="C28" s="21" t="n">
        <f aca="false">ROUND(C26,0)</f>
        <v>132896547</v>
      </c>
      <c r="D28" s="21" t="n">
        <f aca="false">ROUND(D26+D27,0)</f>
        <v>59171235</v>
      </c>
      <c r="E28" s="21" t="n">
        <f aca="false">ROUND(E26+E27,0)</f>
        <v>12736111</v>
      </c>
      <c r="F28" s="21" t="n">
        <f aca="false">ROUND(F26+F27,0)</f>
        <v>12736111</v>
      </c>
      <c r="G28" s="21" t="n">
        <f aca="false">ROUND(G26+G27,0)</f>
        <v>27291667</v>
      </c>
      <c r="H28" s="21" t="n">
        <f aca="false">ROUND(H26+H27,0)</f>
        <v>12736111</v>
      </c>
    </row>
    <row r="29" customFormat="false" ht="15" hidden="false" customHeight="false" outlineLevel="0" collapsed="false">
      <c r="A29" s="12" t="s">
        <v>52</v>
      </c>
      <c r="B29" s="13" t="s">
        <v>53</v>
      </c>
      <c r="D29" s="14" t="n">
        <v>0.2</v>
      </c>
      <c r="E29" s="14" t="n">
        <v>0.2</v>
      </c>
      <c r="F29" s="14" t="n">
        <v>0.2</v>
      </c>
      <c r="G29" s="14" t="n">
        <v>0.2</v>
      </c>
      <c r="H29" s="14" t="n">
        <v>0.2</v>
      </c>
      <c r="I29" s="7" t="s">
        <v>54</v>
      </c>
    </row>
    <row r="30" customFormat="false" ht="15" hidden="false" customHeight="false" outlineLevel="0" collapsed="false">
      <c r="A30" s="12" t="s">
        <v>55</v>
      </c>
      <c r="B30" s="13" t="s">
        <v>56</v>
      </c>
      <c r="D30" s="14" t="n">
        <v>0.99</v>
      </c>
      <c r="E30" s="14" t="n">
        <v>0.99</v>
      </c>
      <c r="F30" s="14" t="n">
        <v>0.99</v>
      </c>
      <c r="G30" s="14" t="n">
        <v>0.99</v>
      </c>
      <c r="H30" s="14" t="n">
        <v>0.99</v>
      </c>
      <c r="I30" s="7" t="s">
        <v>57</v>
      </c>
    </row>
    <row r="31" customFormat="false" ht="15" hidden="false" customHeight="false" outlineLevel="0" collapsed="false">
      <c r="A31" s="12" t="s">
        <v>58</v>
      </c>
      <c r="B31" s="13" t="s">
        <v>59</v>
      </c>
      <c r="D31" s="16" t="n">
        <v>0</v>
      </c>
      <c r="E31" s="16" t="n">
        <v>0</v>
      </c>
      <c r="F31" s="16" t="n">
        <v>0</v>
      </c>
      <c r="G31" s="16" t="n">
        <v>0</v>
      </c>
      <c r="H31" s="16" t="n">
        <v>0</v>
      </c>
      <c r="I31" s="7" t="s">
        <v>60</v>
      </c>
    </row>
    <row r="32" customFormat="false" ht="15" hidden="false" customHeight="false" outlineLevel="0" collapsed="false">
      <c r="I32" s="7" t="s">
        <v>61</v>
      </c>
    </row>
    <row r="33" customFormat="false" ht="15" hidden="false" customHeight="false" outlineLevel="0" collapsed="false">
      <c r="A33" s="10" t="s">
        <v>62</v>
      </c>
      <c r="B33" s="11"/>
      <c r="C33" s="11"/>
      <c r="D33" s="11"/>
      <c r="E33" s="11"/>
      <c r="F33" s="11"/>
      <c r="G33" s="11"/>
      <c r="H33" s="11"/>
      <c r="I33" s="11"/>
    </row>
    <row r="34" customFormat="false" ht="15" hidden="false" customHeight="false" outlineLevel="0" collapsed="false">
      <c r="A34" s="12" t="s">
        <v>63</v>
      </c>
      <c r="B34" s="13" t="s">
        <v>12</v>
      </c>
      <c r="D34" s="14" t="n">
        <v>0.25</v>
      </c>
      <c r="E34" s="14" t="n">
        <v>0.25</v>
      </c>
      <c r="F34" s="14" t="n">
        <v>0.25</v>
      </c>
      <c r="G34" s="14" t="n">
        <v>0.25</v>
      </c>
      <c r="H34" s="14" t="n">
        <v>0.25</v>
      </c>
      <c r="I34" s="7" t="s">
        <v>64</v>
      </c>
    </row>
    <row r="35" customFormat="false" ht="15" hidden="false" customHeight="false" outlineLevel="0" collapsed="false">
      <c r="A35" s="12" t="s">
        <v>65</v>
      </c>
      <c r="B35" s="13" t="s">
        <v>12</v>
      </c>
      <c r="D35" s="22" t="n">
        <v>0.005</v>
      </c>
      <c r="E35" s="22" t="n">
        <v>0.005</v>
      </c>
      <c r="F35" s="22" t="n">
        <v>0.005</v>
      </c>
      <c r="G35" s="22" t="n">
        <v>0.005</v>
      </c>
      <c r="H35" s="22" t="n">
        <v>0.005</v>
      </c>
      <c r="I35" s="7" t="s">
        <v>66</v>
      </c>
    </row>
    <row r="36" customFormat="false" ht="15" hidden="false" customHeight="false" outlineLevel="0" collapsed="false">
      <c r="A36" s="12" t="s">
        <v>67</v>
      </c>
      <c r="B36" s="13" t="s">
        <v>68</v>
      </c>
      <c r="D36" s="16" t="n">
        <v>3000000</v>
      </c>
      <c r="E36" s="16" t="n">
        <v>3000000</v>
      </c>
      <c r="F36" s="16" t="n">
        <v>3000000</v>
      </c>
      <c r="G36" s="16" t="n">
        <v>3000000</v>
      </c>
      <c r="H36" s="16" t="n">
        <v>3000000</v>
      </c>
      <c r="I36" s="7" t="s">
        <v>69</v>
      </c>
    </row>
    <row r="37" customFormat="false" ht="15" hidden="false" customHeight="false" outlineLevel="0" collapsed="false">
      <c r="A37" s="12" t="s">
        <v>70</v>
      </c>
      <c r="B37" s="13" t="s">
        <v>68</v>
      </c>
      <c r="D37" s="16" t="n">
        <v>35000000</v>
      </c>
      <c r="E37" s="16" t="n">
        <v>35000000</v>
      </c>
      <c r="F37" s="16" t="n">
        <v>35000000</v>
      </c>
      <c r="G37" s="16" t="n">
        <v>35000000</v>
      </c>
      <c r="H37" s="16" t="n">
        <v>35000000</v>
      </c>
      <c r="I37" s="7" t="s">
        <v>69</v>
      </c>
    </row>
    <row r="38" customFormat="false" ht="15" hidden="false" customHeight="false" outlineLevel="0" collapsed="false">
      <c r="A38" s="12" t="s">
        <v>71</v>
      </c>
      <c r="B38" s="13" t="s">
        <v>68</v>
      </c>
      <c r="D38" s="16" t="n">
        <v>0</v>
      </c>
      <c r="E38" s="16" t="n">
        <v>0</v>
      </c>
      <c r="F38" s="16" t="n">
        <v>0</v>
      </c>
      <c r="G38" s="16" t="n">
        <v>0</v>
      </c>
      <c r="H38" s="16" t="n">
        <v>0</v>
      </c>
      <c r="I38" s="7" t="s">
        <v>72</v>
      </c>
    </row>
    <row r="39" customFormat="false" ht="15" hidden="false" customHeight="false" outlineLevel="0" collapsed="false">
      <c r="A39" s="12" t="s">
        <v>73</v>
      </c>
      <c r="B39" s="13" t="s">
        <v>12</v>
      </c>
      <c r="D39" s="14" t="n">
        <v>0.1</v>
      </c>
      <c r="E39" s="14" t="n">
        <v>0.1</v>
      </c>
      <c r="F39" s="14" t="n">
        <v>0.1</v>
      </c>
      <c r="G39" s="14" t="n">
        <v>0.1</v>
      </c>
      <c r="H39" s="14" t="n">
        <v>0.1</v>
      </c>
      <c r="I39" s="7" t="s">
        <v>74</v>
      </c>
    </row>
    <row r="40" customFormat="false" ht="15" hidden="false" customHeight="false" outlineLevel="0" collapsed="false">
      <c r="A40" s="12" t="s">
        <v>75</v>
      </c>
      <c r="B40" s="13" t="s">
        <v>12</v>
      </c>
      <c r="D40" s="14" t="n">
        <v>0.2</v>
      </c>
      <c r="E40" s="14" t="n">
        <v>0.2</v>
      </c>
      <c r="F40" s="14" t="n">
        <v>0.2</v>
      </c>
      <c r="G40" s="14" t="n">
        <v>0.2</v>
      </c>
      <c r="H40" s="14" t="n">
        <v>0.2</v>
      </c>
      <c r="I40" s="7" t="s">
        <v>76</v>
      </c>
    </row>
    <row r="41" customFormat="false" ht="15" hidden="false" customHeight="false" outlineLevel="0" collapsed="false">
      <c r="A41" s="10" t="s">
        <v>77</v>
      </c>
      <c r="B41" s="11"/>
      <c r="C41" s="11"/>
      <c r="D41" s="11"/>
      <c r="E41" s="11"/>
      <c r="F41" s="11"/>
      <c r="G41" s="11"/>
      <c r="H41" s="11"/>
      <c r="I41" s="11"/>
    </row>
    <row r="42" customFormat="false" ht="15" hidden="false" customHeight="false" outlineLevel="0" collapsed="false">
      <c r="A42" s="4" t="s">
        <v>78</v>
      </c>
      <c r="B42" s="13" t="s">
        <v>79</v>
      </c>
      <c r="C42" s="23" t="n">
        <f aca="false">ROUND(SUMIFS('BALANCE 2024'!$I:$I,'BALANCE 2024'!$C:$C,"TC"),0)</f>
        <v>701026695</v>
      </c>
      <c r="D42" s="21" t="n">
        <f aca="false">ROUND(C42*(1+D9),0)</f>
        <v>750098564</v>
      </c>
      <c r="E42" s="21" t="n">
        <f aca="false">ROUND(D42*(1+E9),0)</f>
        <v>787603492</v>
      </c>
      <c r="F42" s="21" t="n">
        <f aca="false">ROUND(E42*(1+F9),0)</f>
        <v>826983667</v>
      </c>
      <c r="G42" s="21" t="n">
        <f aca="false">ROUND(F42*(1+G9),0)</f>
        <v>868332850</v>
      </c>
      <c r="H42" s="21" t="n">
        <f aca="false">ROUND(G42*(1+H9),0)</f>
        <v>911749493</v>
      </c>
    </row>
    <row r="43" customFormat="false" ht="15" hidden="false" customHeight="false" outlineLevel="0" collapsed="false">
      <c r="A43" s="12" t="s">
        <v>20</v>
      </c>
      <c r="B43" s="13" t="s">
        <v>21</v>
      </c>
      <c r="C43" s="15" t="n">
        <f aca="false">ROUND(SUMIFS('BALANCE 2024'!$H:$H,'BALANCE 2024'!$C:$C,"RE"),0)</f>
        <v>278141464</v>
      </c>
      <c r="D43" s="20" t="n">
        <f aca="false">ROUND(D42*D13,0)</f>
        <v>297639110</v>
      </c>
      <c r="E43" s="20" t="n">
        <f aca="false">ROUND(E42*E13,0)</f>
        <v>312521066</v>
      </c>
      <c r="F43" s="20" t="n">
        <f aca="false">ROUND(F42*F13,0)</f>
        <v>328147119</v>
      </c>
      <c r="G43" s="20" t="n">
        <f aca="false">ROUND(G42*G13,0)</f>
        <v>344554475</v>
      </c>
      <c r="H43" s="20" t="n">
        <f aca="false">ROUND(H42*H13,0)</f>
        <v>361782199</v>
      </c>
    </row>
    <row r="44" customFormat="false" ht="15" hidden="false" customHeight="false" outlineLevel="0" collapsed="false">
      <c r="A44" s="12" t="s">
        <v>23</v>
      </c>
      <c r="B44" s="13" t="s">
        <v>24</v>
      </c>
      <c r="C44" s="15" t="n">
        <f aca="false">ROUND(SUMIFS('BALANCE 2024'!$H:$H,'BALANCE 2024'!$C:$C,"RG"),0)</f>
        <v>3820098</v>
      </c>
      <c r="D44" s="20" t="n">
        <f aca="false">ROUND(D42*D14,0)</f>
        <v>4050532</v>
      </c>
      <c r="E44" s="20" t="n">
        <f aca="false">ROUND(E42*E14,0)</f>
        <v>4253059</v>
      </c>
      <c r="F44" s="20" t="n">
        <f aca="false">ROUND(F42*F14,0)</f>
        <v>4465712</v>
      </c>
      <c r="G44" s="20" t="n">
        <f aca="false">ROUND(G42*G14,0)</f>
        <v>4688997</v>
      </c>
      <c r="H44" s="20" t="n">
        <f aca="false">ROUND(H42*H14,0)</f>
        <v>4923447</v>
      </c>
    </row>
    <row r="45" customFormat="false" ht="15" hidden="false" customHeight="false" outlineLevel="0" collapsed="false">
      <c r="A45" s="12" t="s">
        <v>25</v>
      </c>
      <c r="B45" s="13" t="s">
        <v>26</v>
      </c>
      <c r="C45" s="15" t="n">
        <f aca="false">ROUND(SUMIFS('BALANCE 2024'!$H:$H,'BALANCE 2024'!$C:$C,"RH"),0)</f>
        <v>106769083</v>
      </c>
      <c r="D45" s="20" t="n">
        <f aca="false">ROUND(D42*D15,0)</f>
        <v>114240011</v>
      </c>
      <c r="E45" s="20" t="n">
        <f aca="false">ROUND(E42*E15,0)</f>
        <v>119952012</v>
      </c>
      <c r="F45" s="20" t="n">
        <f aca="false">ROUND(F42*F15,0)</f>
        <v>125949612</v>
      </c>
      <c r="G45" s="20" t="n">
        <f aca="false">ROUND(G42*G15,0)</f>
        <v>132247093</v>
      </c>
      <c r="H45" s="20" t="n">
        <f aca="false">ROUND(H42*H15,0)</f>
        <v>138859448</v>
      </c>
    </row>
    <row r="46" customFormat="false" ht="15" hidden="false" customHeight="false" outlineLevel="0" collapsed="false">
      <c r="A46" s="12" t="s">
        <v>27</v>
      </c>
      <c r="B46" s="13" t="s">
        <v>28</v>
      </c>
      <c r="C46" s="15" t="n">
        <f aca="false">ROUND(SUMIFS('BALANCE 2024'!$H:$H,'BALANCE 2024'!$C:$C,"RI"),0)</f>
        <v>14869670</v>
      </c>
      <c r="D46" s="20" t="n">
        <f aca="false">ROUND(D42*D16,0)</f>
        <v>15902090</v>
      </c>
      <c r="E46" s="20" t="n">
        <f aca="false">ROUND(E42*E16,0)</f>
        <v>16697194</v>
      </c>
      <c r="F46" s="20" t="n">
        <f aca="false">ROUND(F42*F16,0)</f>
        <v>17532054</v>
      </c>
      <c r="G46" s="20" t="n">
        <f aca="false">ROUND(G42*G16,0)</f>
        <v>18408656</v>
      </c>
      <c r="H46" s="20" t="n">
        <f aca="false">ROUND(H42*H16,0)</f>
        <v>19329089</v>
      </c>
    </row>
    <row r="47" customFormat="false" ht="15" hidden="false" customHeight="false" outlineLevel="0" collapsed="false">
      <c r="A47" s="12" t="s">
        <v>29</v>
      </c>
      <c r="B47" s="13" t="s">
        <v>30</v>
      </c>
      <c r="C47" s="15" t="n">
        <f aca="false">ROUND(SUMIFS('BALANCE 2024'!$H:$H,'BALANCE 2024'!$C:$C,"RJ"),0)</f>
        <v>1316731</v>
      </c>
      <c r="D47" s="20" t="n">
        <f aca="false">ROUND(D42*D17,0)</f>
        <v>1425187</v>
      </c>
      <c r="E47" s="20" t="n">
        <f aca="false">ROUND(E42*E17,0)</f>
        <v>1496447</v>
      </c>
      <c r="F47" s="20" t="n">
        <f aca="false">ROUND(F42*F17,0)</f>
        <v>1571269</v>
      </c>
      <c r="G47" s="20" t="n">
        <f aca="false">ROUND(G42*G17,0)</f>
        <v>1649832</v>
      </c>
      <c r="H47" s="20" t="n">
        <f aca="false">ROUND(H42*H17,0)</f>
        <v>1732324</v>
      </c>
    </row>
    <row r="48" customFormat="false" ht="15" hidden="false" customHeight="false" outlineLevel="0" collapsed="false">
      <c r="A48" s="12" t="s">
        <v>31</v>
      </c>
      <c r="B48" s="13" t="s">
        <v>32</v>
      </c>
      <c r="C48" s="15" t="n">
        <f aca="false">ROUND(SUMIFS('BALANCE 2024'!$H:$H,'BALANCE 2024'!$C:$C,"RK"),0)</f>
        <v>106025515</v>
      </c>
      <c r="D48" s="20" t="n">
        <f aca="false">ROUND(D42*D18,0)</f>
        <v>113414903</v>
      </c>
      <c r="E48" s="20" t="n">
        <f aca="false">ROUND(E42*E18,0)</f>
        <v>119085648</v>
      </c>
      <c r="F48" s="20" t="n">
        <f aca="false">ROUND(F42*F18,0)</f>
        <v>125039930</v>
      </c>
      <c r="G48" s="20" t="n">
        <f aca="false">ROUND(G42*G18,0)</f>
        <v>131291927</v>
      </c>
      <c r="H48" s="20" t="n">
        <f aca="false">ROUND(H42*H18,0)</f>
        <v>137856523</v>
      </c>
    </row>
    <row r="49" customFormat="false" ht="15" hidden="false" customHeight="false" outlineLevel="0" collapsed="false">
      <c r="A49" s="12" t="s">
        <v>80</v>
      </c>
      <c r="B49" s="13"/>
      <c r="C49" s="20" t="n">
        <f aca="false">ROUND(C43+C44+C45,0)</f>
        <v>388730645</v>
      </c>
      <c r="D49" s="20" t="n">
        <f aca="false">ROUND(D43+D44+D45,0)</f>
        <v>415929653</v>
      </c>
      <c r="E49" s="20" t="n">
        <f aca="false">ROUND(E43+E44+E45,0)</f>
        <v>436726137</v>
      </c>
      <c r="F49" s="20" t="n">
        <f aca="false">ROUND(F43+F44+F45,0)</f>
        <v>458562443</v>
      </c>
      <c r="G49" s="20" t="n">
        <f aca="false">ROUND(G43+G44+G45,0)</f>
        <v>481490565</v>
      </c>
      <c r="H49" s="20" t="n">
        <f aca="false">ROUND(H43+H44+H45,0)</f>
        <v>505565094</v>
      </c>
    </row>
    <row r="50" customFormat="false" ht="15" hidden="false" customHeight="false" outlineLevel="0" collapsed="false">
      <c r="A50" s="12" t="s">
        <v>81</v>
      </c>
      <c r="B50" s="13" t="s">
        <v>82</v>
      </c>
      <c r="C50" s="15" t="n">
        <f aca="false">ROUND(SUMIFS('BALANCE 2024'!$H:$H,'BALANCE 2024'!$A:$A,"&gt;=691000",'BALANCE 2024'!$A:$A,"&lt;692000"),0)</f>
        <v>6059296</v>
      </c>
      <c r="D50" s="20" t="n">
        <f aca="false">ROUND(D20,0)</f>
        <v>6059296</v>
      </c>
      <c r="E50" s="20" t="n">
        <f aca="false">ROUND(E20,0)</f>
        <v>6059296</v>
      </c>
      <c r="F50" s="20" t="n">
        <f aca="false">ROUND(F20,0)</f>
        <v>6059296</v>
      </c>
      <c r="G50" s="20" t="n">
        <f aca="false">ROUND(G20,0)</f>
        <v>6059296</v>
      </c>
      <c r="H50" s="20" t="n">
        <f aca="false">ROUND(H20,0)</f>
        <v>6059296</v>
      </c>
    </row>
    <row r="51" customFormat="false" ht="15" hidden="false" customHeight="false" outlineLevel="0" collapsed="false">
      <c r="A51" s="12" t="s">
        <v>83</v>
      </c>
      <c r="B51" s="13" t="s">
        <v>17</v>
      </c>
      <c r="C51" s="20" t="n">
        <f aca="false">ROUND(C11,0)</f>
        <v>848594</v>
      </c>
      <c r="D51" s="20" t="n">
        <f aca="false">ROUND(D11,0)</f>
        <v>848594</v>
      </c>
      <c r="E51" s="20" t="n">
        <f aca="false">ROUND(E11,0)</f>
        <v>848594</v>
      </c>
      <c r="F51" s="20" t="n">
        <f aca="false">ROUND(F11,0)</f>
        <v>848594</v>
      </c>
      <c r="G51" s="20" t="n">
        <f aca="false">ROUND(G11,0)</f>
        <v>848594</v>
      </c>
      <c r="H51" s="20" t="n">
        <f aca="false">ROUND(H11,0)</f>
        <v>848594</v>
      </c>
    </row>
    <row r="52" customFormat="false" ht="15" hidden="false" customHeight="false" outlineLevel="0" collapsed="false">
      <c r="A52" s="4" t="s">
        <v>84</v>
      </c>
      <c r="B52" s="13" t="s">
        <v>85</v>
      </c>
      <c r="C52" s="21" t="n">
        <f aca="false">ROUND(C42+C51-C43-C44-C45-C46-C47-C48-'INVEST ET FINANCEMENT'!C42-C50-'INVEST ET FINANCEMENT'!C64-'INVEST ET FINANCEMENT'!C65,0)</f>
        <v>96931836</v>
      </c>
      <c r="D52" s="21" t="n">
        <f aca="false">ROUND(D42+D51-D43-D44-D45-D46-D47-D48-'INVEST ET FINANCEMENT'!D42-D50-'INVEST ET FINANCEMENT'!D64-'INVEST ET FINANCEMENT'!D65,0)</f>
        <v>123353157</v>
      </c>
      <c r="E52" s="21" t="n">
        <f aca="false">ROUND(E42+E51-E43-E44-E45-E46-E47-E48-'INVEST ET FINANCEMENT'!E42-E50-'INVEST ET FINANCEMENT'!E64-'INVEST ET FINANCEMENT'!E65,0)</f>
        <v>114682036</v>
      </c>
      <c r="F52" s="21" t="n">
        <f aca="false">ROUND(F42+F51-F43-F44-F45-F46-F47-F48-'INVEST ET FINANCEMENT'!F42-F50-'INVEST ET FINANCEMENT'!F64-'INVEST ET FINANCEMENT'!F65,0)</f>
        <v>121971114</v>
      </c>
      <c r="G52" s="21" t="n">
        <f aca="false">ROUND(G42+G51-G43-G44-G45-G46-G47-G48-'INVEST ET FINANCEMENT'!G42-G50-'INVEST ET FINANCEMENT'!G64-'INVEST ET FINANCEMENT'!G65,0)</f>
        <v>134515784</v>
      </c>
      <c r="H52" s="21" t="n">
        <f aca="false">ROUND(H42+H51-H43-H44-H45-H46-H47-H48-'INVEST ET FINANCEMENT'!H42-H50-'INVEST ET FINANCEMENT'!H64-'INVEST ET FINANCEMENT'!H65,0)</f>
        <v>144106858</v>
      </c>
    </row>
    <row r="53" customFormat="false" ht="15" hidden="false" customHeight="false" outlineLevel="0" collapsed="false">
      <c r="A53" s="12" t="s">
        <v>86</v>
      </c>
      <c r="B53" s="13"/>
      <c r="D53" s="20" t="n">
        <f aca="false">ROUND(D52+D38,0)</f>
        <v>123353157</v>
      </c>
      <c r="E53" s="20" t="n">
        <f aca="false">ROUND(E52+E38,0)</f>
        <v>114682036</v>
      </c>
      <c r="F53" s="20" t="n">
        <f aca="false">ROUND(F52+F38,0)</f>
        <v>121971114</v>
      </c>
      <c r="G53" s="20" t="n">
        <f aca="false">ROUND(G52+G38,0)</f>
        <v>134515784</v>
      </c>
      <c r="H53" s="20" t="n">
        <f aca="false">ROUND(H52+H38,0)</f>
        <v>144106858</v>
      </c>
    </row>
    <row r="54" customFormat="false" ht="15" hidden="false" customHeight="false" outlineLevel="0" collapsed="false">
      <c r="A54" s="12" t="s">
        <v>87</v>
      </c>
      <c r="B54" s="13"/>
      <c r="D54" s="20" t="n">
        <f aca="false">ROUND(MAX(0,D53)*D34,0)</f>
        <v>30838289</v>
      </c>
      <c r="E54" s="20" t="n">
        <f aca="false">ROUND(MAX(0,E53)*E34,0)</f>
        <v>28670509</v>
      </c>
      <c r="F54" s="20" t="n">
        <f aca="false">ROUND(MAX(0,F53)*F34,0)</f>
        <v>30492779</v>
      </c>
      <c r="G54" s="20" t="n">
        <f aca="false">ROUND(MAX(0,G53)*G34,0)</f>
        <v>33628946</v>
      </c>
      <c r="H54" s="20" t="n">
        <f aca="false">ROUND(MAX(0,H53)*H34,0)</f>
        <v>36026715</v>
      </c>
    </row>
    <row r="55" customFormat="false" ht="15" hidden="false" customHeight="false" outlineLevel="0" collapsed="false">
      <c r="A55" s="12" t="s">
        <v>88</v>
      </c>
      <c r="B55" s="13"/>
      <c r="D55" s="20" t="n">
        <f aca="false">ROUND(MIN(D37,MAX(D36,D35*(D42*(1+D10)+D51))),0)</f>
        <v>4429824</v>
      </c>
      <c r="E55" s="20" t="n">
        <f aca="false">ROUND(MIN(E37,MAX(E36,E35*(E42*(1+E10)+E51))),0)</f>
        <v>4651104</v>
      </c>
      <c r="F55" s="20" t="n">
        <f aca="false">ROUND(MIN(F37,MAX(F36,F35*(F42*(1+F10)+F51))),0)</f>
        <v>4883447</v>
      </c>
      <c r="G55" s="20" t="n">
        <f aca="false">ROUND(MIN(G37,MAX(G36,G35*(G42*(1+G10)+G51))),0)</f>
        <v>5127407</v>
      </c>
      <c r="H55" s="20" t="n">
        <f aca="false">ROUND(MIN(H37,MAX(H36,H35*(H42*(1+H10)+H51))),0)</f>
        <v>5383565</v>
      </c>
    </row>
    <row r="56" customFormat="false" ht="15" hidden="false" customHeight="false" outlineLevel="0" collapsed="false">
      <c r="A56" s="4" t="s">
        <v>89</v>
      </c>
      <c r="B56" s="13" t="s">
        <v>90</v>
      </c>
      <c r="C56" s="23" t="n">
        <f aca="false">ROUND(SUMIFS('BALANCE 2024'!$H:$H,'BALANCE 2024'!$C:$C,"RS"),0)</f>
        <v>24232959</v>
      </c>
      <c r="D56" s="21" t="n">
        <f aca="false">ROUND(MAX(D54,D55),0)</f>
        <v>30838289</v>
      </c>
      <c r="E56" s="21" t="n">
        <f aca="false">ROUND(MAX(E54,E55),0)</f>
        <v>28670509</v>
      </c>
      <c r="F56" s="21" t="n">
        <f aca="false">ROUND(MAX(F54,F55),0)</f>
        <v>30492779</v>
      </c>
      <c r="G56" s="21" t="n">
        <f aca="false">ROUND(MAX(G54,G55),0)</f>
        <v>33628946</v>
      </c>
      <c r="H56" s="21" t="n">
        <f aca="false">ROUND(MAX(H54,H55),0)</f>
        <v>36026715</v>
      </c>
    </row>
    <row r="57" customFormat="false" ht="15" hidden="false" customHeight="false" outlineLevel="0" collapsed="false">
      <c r="A57" s="4" t="s">
        <v>91</v>
      </c>
      <c r="B57" s="13" t="s">
        <v>92</v>
      </c>
      <c r="C57" s="21" t="n">
        <f aca="false">ROUND(C52-C56,0)</f>
        <v>72698877</v>
      </c>
      <c r="D57" s="21" t="n">
        <f aca="false">ROUND(D52-D56,0)</f>
        <v>92514868</v>
      </c>
      <c r="E57" s="21" t="n">
        <f aca="false">ROUND(E52-E56,0)</f>
        <v>86011527</v>
      </c>
      <c r="F57" s="21" t="n">
        <f aca="false">ROUND(F52-F56,0)</f>
        <v>91478335</v>
      </c>
      <c r="G57" s="21" t="n">
        <f aca="false">ROUND(G52-G56,0)</f>
        <v>100886838</v>
      </c>
      <c r="H57" s="21" t="n">
        <f aca="false">ROUND(H52-H56,0)</f>
        <v>108080143</v>
      </c>
    </row>
    <row r="58" customFormat="false" ht="15" hidden="false" customHeight="false" outlineLevel="0" collapsed="false">
      <c r="A58" s="12" t="s">
        <v>93</v>
      </c>
      <c r="B58" s="13" t="s">
        <v>94</v>
      </c>
      <c r="D58" s="20" t="n">
        <f aca="false">ROUND(MIN(D39*MAX(0,C57),MAX(0,D40*'BALANCE 2024'!I16-'BALANCE 2024'!I17)),0)</f>
        <v>2000000</v>
      </c>
      <c r="E58" s="20" t="n">
        <f aca="false">ROUND(MIN(E39*MAX(0,D57),MAX(0,E40*'BALANCE 2025'!I16-'BALANCE 2025'!I17)),0)</f>
        <v>0</v>
      </c>
      <c r="F58" s="20" t="n">
        <f aca="false">ROUND(MIN(F39*MAX(0,E57),MAX(0,F40*'BALANCE 2026'!I16-'BALANCE 2026'!I17)),0)</f>
        <v>0</v>
      </c>
      <c r="G58" s="20" t="n">
        <f aca="false">ROUND(MIN(G39*MAX(0,F57),MAX(0,G40*'BALANCE 2027'!I16-'BALANCE 2027'!I17)),0)</f>
        <v>0</v>
      </c>
      <c r="H58" s="20" t="n">
        <f aca="false">ROUND(MIN(H39*MAX(0,G57),MAX(0,H40*'BALANCE 2028'!I16-'BALANCE 2028'!I17)),0)</f>
        <v>0</v>
      </c>
    </row>
    <row r="59" customFormat="false" ht="15" hidden="false" customHeight="false" outlineLevel="0" collapsed="false">
      <c r="A59" s="12" t="s">
        <v>95</v>
      </c>
      <c r="B59" s="13" t="s">
        <v>96</v>
      </c>
      <c r="D59" s="20" t="n">
        <f aca="false">ROUND(MAX(0,C57-D58)*'INVEST ET FINANCEMENT'!D55,0)</f>
        <v>0</v>
      </c>
      <c r="E59" s="20" t="n">
        <f aca="false">ROUND(MAX(0,D57-E58)*'INVEST ET FINANCEMENT'!E55,0)</f>
        <v>0</v>
      </c>
      <c r="F59" s="20" t="n">
        <f aca="false">ROUND(MAX(0,E57-F58)*'INVEST ET FINANCEMENT'!F55,0)</f>
        <v>0</v>
      </c>
      <c r="G59" s="20" t="n">
        <f aca="false">ROUND(MAX(0,F57-G58)*'INVEST ET FINANCEMENT'!G55,0)</f>
        <v>0</v>
      </c>
      <c r="H59" s="20" t="n">
        <f aca="false">ROUND(MAX(0,G57-H58)*'INVEST ET FINANCEMENT'!H55,0)</f>
        <v>0</v>
      </c>
    </row>
    <row r="60" customFormat="false" ht="15" hidden="false" customHeight="false" outlineLevel="0" collapsed="false">
      <c r="A60" s="12" t="s">
        <v>97</v>
      </c>
      <c r="B60" s="13" t="s">
        <v>98</v>
      </c>
      <c r="D60" s="20" t="n">
        <f aca="false">ROUND(C57-D58-D59,0)</f>
        <v>70698877</v>
      </c>
      <c r="E60" s="20" t="n">
        <f aca="false">ROUND(D57-E58-E59,0)</f>
        <v>92514868</v>
      </c>
      <c r="F60" s="20" t="n">
        <f aca="false">ROUND(E57-F58-F59,0)</f>
        <v>86011527</v>
      </c>
      <c r="G60" s="20" t="n">
        <f aca="false">ROUND(F57-G58-G59,0)</f>
        <v>91478335</v>
      </c>
      <c r="H60" s="20" t="n">
        <f aca="false">ROUND(G57-H58-H59,0)</f>
        <v>100886838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99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100</v>
      </c>
    </row>
    <row r="3" customFormat="false" ht="15" hidden="false" customHeight="false" outlineLevel="0" collapsed="false">
      <c r="A3" s="3" t="s">
        <v>101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102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103</v>
      </c>
      <c r="B9" s="13" t="s">
        <v>104</v>
      </c>
      <c r="C9" s="24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105</v>
      </c>
    </row>
    <row r="10" customFormat="false" ht="15" hidden="false" customHeight="false" outlineLevel="0" collapsed="false">
      <c r="A10" s="12" t="s">
        <v>106</v>
      </c>
      <c r="B10" s="13" t="s">
        <v>107</v>
      </c>
      <c r="C10" s="24" t="n">
        <v>294528381</v>
      </c>
      <c r="D10" s="16" t="n">
        <v>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105</v>
      </c>
    </row>
    <row r="11" customFormat="false" ht="15" hidden="false" customHeight="false" outlineLevel="0" collapsed="false">
      <c r="A11" s="12" t="s">
        <v>108</v>
      </c>
      <c r="B11" s="13" t="s">
        <v>109</v>
      </c>
      <c r="C11" s="24" t="n">
        <v>14513941</v>
      </c>
      <c r="D11" s="16" t="n">
        <v>930000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105</v>
      </c>
    </row>
    <row r="12" customFormat="false" ht="15" hidden="false" customHeight="false" outlineLevel="0" collapsed="false">
      <c r="A12" s="12" t="s">
        <v>110</v>
      </c>
      <c r="B12" s="13" t="s">
        <v>111</v>
      </c>
      <c r="C12" s="24" t="n">
        <v>55896547</v>
      </c>
      <c r="D12" s="16" t="n">
        <v>15593220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105</v>
      </c>
    </row>
    <row r="13" customFormat="false" ht="15" hidden="false" customHeight="false" outlineLevel="0" collapsed="false">
      <c r="A13" s="12" t="s">
        <v>112</v>
      </c>
      <c r="B13" s="13" t="s">
        <v>113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4" t="s">
        <v>114</v>
      </c>
    </row>
    <row r="15" customFormat="false" ht="15" hidden="false" customHeight="false" outlineLevel="0" collapsed="false">
      <c r="A15" s="12" t="s">
        <v>115</v>
      </c>
      <c r="C15" s="6" t="n">
        <v>10</v>
      </c>
      <c r="I15" s="7" t="s">
        <v>116</v>
      </c>
    </row>
    <row r="16" customFormat="false" ht="15" hidden="false" customHeight="false" outlineLevel="0" collapsed="false">
      <c r="A16" s="12" t="s">
        <v>117</v>
      </c>
      <c r="C16" s="6" t="n">
        <v>5</v>
      </c>
      <c r="I16" s="7" t="s">
        <v>116</v>
      </c>
    </row>
    <row r="17" customFormat="false" ht="15" hidden="false" customHeight="false" outlineLevel="0" collapsed="false">
      <c r="A17" s="12" t="s">
        <v>118</v>
      </c>
      <c r="C17" s="6" t="n">
        <v>2</v>
      </c>
      <c r="I17" s="7" t="s">
        <v>116</v>
      </c>
    </row>
    <row r="18" customFormat="false" ht="15" hidden="false" customHeight="false" outlineLevel="0" collapsed="false">
      <c r="A18" s="12" t="s">
        <v>119</v>
      </c>
      <c r="C18" s="6" t="n">
        <v>3</v>
      </c>
      <c r="I18" s="7" t="s">
        <v>116</v>
      </c>
    </row>
    <row r="19" customFormat="false" ht="15" hidden="false" customHeight="false" outlineLevel="0" collapsed="false">
      <c r="A19" s="4" t="s">
        <v>120</v>
      </c>
    </row>
    <row r="20" customFormat="false" ht="15" hidden="false" customHeight="false" outlineLevel="0" collapsed="false">
      <c r="A20" s="12" t="s">
        <v>115</v>
      </c>
      <c r="B20" s="13" t="s">
        <v>121</v>
      </c>
      <c r="D20" s="16" t="n">
        <v>19282845</v>
      </c>
      <c r="E20" s="16" t="n">
        <v>19282845</v>
      </c>
      <c r="F20" s="16" t="n">
        <v>19282845</v>
      </c>
      <c r="G20" s="16" t="n">
        <v>19282845</v>
      </c>
      <c r="H20" s="16" t="n">
        <v>19282845</v>
      </c>
      <c r="I20" s="7" t="s">
        <v>36</v>
      </c>
    </row>
    <row r="21" customFormat="false" ht="15" hidden="false" customHeight="false" outlineLevel="0" collapsed="false">
      <c r="A21" s="12" t="s">
        <v>117</v>
      </c>
      <c r="B21" s="13" t="s">
        <v>121</v>
      </c>
      <c r="D21" s="16" t="n">
        <v>28205053</v>
      </c>
      <c r="E21" s="16" t="n">
        <v>44854932</v>
      </c>
      <c r="F21" s="16" t="n">
        <v>44854932</v>
      </c>
      <c r="G21" s="16" t="n">
        <v>44854932</v>
      </c>
      <c r="H21" s="16" t="n">
        <v>44854932</v>
      </c>
      <c r="I21" s="7" t="s">
        <v>36</v>
      </c>
    </row>
    <row r="22" customFormat="false" ht="15" hidden="false" customHeight="false" outlineLevel="0" collapsed="false">
      <c r="A22" s="12" t="s">
        <v>118</v>
      </c>
      <c r="B22" s="13" t="s">
        <v>121</v>
      </c>
      <c r="D22" s="16" t="n">
        <v>4934884</v>
      </c>
      <c r="E22" s="16" t="n">
        <v>4934884</v>
      </c>
      <c r="F22" s="16" t="n">
        <v>4934884</v>
      </c>
      <c r="G22" s="16" t="n">
        <v>4934884</v>
      </c>
      <c r="H22" s="16" t="n">
        <v>4934884</v>
      </c>
      <c r="I22" s="7" t="s">
        <v>36</v>
      </c>
    </row>
    <row r="23" customFormat="false" ht="15" hidden="false" customHeight="false" outlineLevel="0" collapsed="false">
      <c r="A23" s="12" t="s">
        <v>119</v>
      </c>
      <c r="B23" s="13" t="s">
        <v>121</v>
      </c>
      <c r="D23" s="16" t="n">
        <v>13760638</v>
      </c>
      <c r="E23" s="16" t="n">
        <v>10760638</v>
      </c>
      <c r="F23" s="16" t="n">
        <v>10760638</v>
      </c>
      <c r="G23" s="16" t="n">
        <v>10760638</v>
      </c>
      <c r="H23" s="16" t="n">
        <v>10760638</v>
      </c>
      <c r="I23" s="7" t="s">
        <v>36</v>
      </c>
    </row>
    <row r="24" customFormat="false" ht="15" hidden="false" customHeight="false" outlineLevel="0" collapsed="false">
      <c r="A24" s="12" t="s">
        <v>122</v>
      </c>
      <c r="B24" s="13" t="s">
        <v>104</v>
      </c>
      <c r="C24" s="20" t="n">
        <v>61665016</v>
      </c>
      <c r="I24" s="7" t="s">
        <v>123</v>
      </c>
    </row>
    <row r="25" customFormat="false" ht="15" hidden="false" customHeight="false" outlineLevel="0" collapsed="false">
      <c r="A25" s="12" t="s">
        <v>124</v>
      </c>
      <c r="B25" s="13" t="s">
        <v>107</v>
      </c>
      <c r="C25" s="20" t="n">
        <v>257861504</v>
      </c>
      <c r="I25" s="7" t="s">
        <v>123</v>
      </c>
    </row>
    <row r="26" customFormat="false" ht="15" hidden="false" customHeight="false" outlineLevel="0" collapsed="false">
      <c r="A26" s="12" t="s">
        <v>125</v>
      </c>
      <c r="B26" s="13" t="s">
        <v>109</v>
      </c>
      <c r="C26" s="20" t="n">
        <v>9579057</v>
      </c>
      <c r="I26" s="7" t="s">
        <v>123</v>
      </c>
    </row>
    <row r="27" customFormat="false" ht="15" hidden="false" customHeight="false" outlineLevel="0" collapsed="false">
      <c r="A27" s="12" t="s">
        <v>126</v>
      </c>
      <c r="B27" s="13" t="s">
        <v>111</v>
      </c>
      <c r="C27" s="20" t="n">
        <v>73755603</v>
      </c>
      <c r="I27" s="7" t="s">
        <v>123</v>
      </c>
    </row>
    <row r="28" customFormat="false" ht="15" hidden="false" customHeight="false" outlineLevel="0" collapsed="false">
      <c r="A28" s="10" t="s">
        <v>127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128</v>
      </c>
      <c r="B29" s="13" t="s">
        <v>121</v>
      </c>
      <c r="D29" s="20" t="n">
        <f aca="false">ROUND(MIN(D20,$C24),0)</f>
        <v>19282845</v>
      </c>
      <c r="E29" s="20" t="n">
        <f aca="false">ROUND(MIN(E20,$C24-SUM($D29:D29)),0)</f>
        <v>19282845</v>
      </c>
      <c r="F29" s="20" t="n">
        <f aca="false">ROUND(MIN(F20,$C24-SUM($D29:E29)),0)</f>
        <v>19282845</v>
      </c>
      <c r="G29" s="20" t="n">
        <f aca="false">ROUND(MIN(G20,$C24-SUM($D29:F29)),0)</f>
        <v>3816481</v>
      </c>
      <c r="H29" s="20" t="n">
        <f aca="false">ROUND(MIN(H20,$C24-SUM($D29:G29)),0)</f>
        <v>0</v>
      </c>
    </row>
    <row r="30" customFormat="false" ht="15" hidden="false" customHeight="false" outlineLevel="0" collapsed="false">
      <c r="A30" s="12" t="s">
        <v>129</v>
      </c>
      <c r="B30" s="13" t="s">
        <v>121</v>
      </c>
      <c r="D30" s="20" t="n">
        <f aca="false">ROUND(SUMPRODUCT($D9:D9/$C15*((D$7-$D$7:D$7)&lt;$C15)),0)</f>
        <v>0</v>
      </c>
      <c r="E30" s="20" t="n">
        <f aca="false">ROUND(SUMPRODUCT($D9:E9/$C15*((E$7-$D$7:E$7)&lt;$C15)),0)</f>
        <v>0</v>
      </c>
      <c r="F30" s="20" t="n">
        <f aca="false">ROUND(SUMPRODUCT($D9:F9/$C15*((F$7-$D$7:F$7)&lt;$C15)),0)</f>
        <v>0</v>
      </c>
      <c r="G30" s="20" t="n">
        <f aca="false">ROUND(SUMPRODUCT($D9:G9/$C15*((G$7-$D$7:G$7)&lt;$C15)),0)</f>
        <v>0</v>
      </c>
      <c r="H30" s="20" t="n">
        <f aca="false">ROUND(SUMPRODUCT($D9:H9/$C15*((H$7-$D$7:H$7)&lt;$C15)),0)</f>
        <v>0</v>
      </c>
    </row>
    <row r="31" customFormat="false" ht="15" hidden="false" customHeight="false" outlineLevel="0" collapsed="false">
      <c r="A31" s="12" t="s">
        <v>130</v>
      </c>
      <c r="B31" s="13" t="s">
        <v>121</v>
      </c>
      <c r="D31" s="20" t="n">
        <f aca="false">ROUND(D29+D30,0)</f>
        <v>19282845</v>
      </c>
      <c r="E31" s="20" t="n">
        <f aca="false">ROUND(E29+E30,0)</f>
        <v>19282845</v>
      </c>
      <c r="F31" s="20" t="n">
        <f aca="false">ROUND(F29+F30,0)</f>
        <v>19282845</v>
      </c>
      <c r="G31" s="20" t="n">
        <f aca="false">ROUND(G29+G30,0)</f>
        <v>3816481</v>
      </c>
      <c r="H31" s="20" t="n">
        <f aca="false">ROUND(H29+H30,0)</f>
        <v>0</v>
      </c>
    </row>
    <row r="32" customFormat="false" ht="15" hidden="false" customHeight="false" outlineLevel="0" collapsed="false">
      <c r="A32" s="12" t="s">
        <v>131</v>
      </c>
      <c r="B32" s="13" t="s">
        <v>121</v>
      </c>
      <c r="D32" s="20" t="n">
        <f aca="false">ROUND(MIN(D21,$C25),0)</f>
        <v>28205053</v>
      </c>
      <c r="E32" s="20" t="n">
        <f aca="false">ROUND(MIN(E21,$C25-SUM($D32:D32)),0)</f>
        <v>44854932</v>
      </c>
      <c r="F32" s="20" t="n">
        <f aca="false">ROUND(MIN(F21,$C25-SUM($D32:E32)),0)</f>
        <v>44854932</v>
      </c>
      <c r="G32" s="20" t="n">
        <f aca="false">ROUND(MIN(G21,$C25-SUM($D32:F32)),0)</f>
        <v>44854932</v>
      </c>
      <c r="H32" s="20" t="n">
        <f aca="false">ROUND(MIN(H21,$C25-SUM($D32:G32)),0)</f>
        <v>44854932</v>
      </c>
    </row>
    <row r="33" customFormat="false" ht="15" hidden="false" customHeight="false" outlineLevel="0" collapsed="false">
      <c r="A33" s="12" t="s">
        <v>132</v>
      </c>
      <c r="B33" s="13" t="s">
        <v>121</v>
      </c>
      <c r="D33" s="20" t="n">
        <f aca="false">ROUND(SUMPRODUCT($D10:D10/$C16*((D$7-$D$7:D$7)&lt;$C16)),0)</f>
        <v>0</v>
      </c>
      <c r="E33" s="20" t="n">
        <f aca="false">ROUND(SUMPRODUCT($D10:E10/$C16*((E$7-$D$7:E$7)&lt;$C16)),0)</f>
        <v>6000000</v>
      </c>
      <c r="F33" s="20" t="n">
        <f aca="false">ROUND(SUMPRODUCT($D10:F10/$C16*((F$7-$D$7:F$7)&lt;$C16)),0)</f>
        <v>12000000</v>
      </c>
      <c r="G33" s="20" t="n">
        <f aca="false">ROUND(SUMPRODUCT($D10:G10/$C16*((G$7-$D$7:G$7)&lt;$C16)),0)</f>
        <v>18000000</v>
      </c>
      <c r="H33" s="20" t="n">
        <f aca="false">ROUND(SUMPRODUCT($D10:H10/$C16*((H$7-$D$7:H$7)&lt;$C16)),0)</f>
        <v>24000000</v>
      </c>
    </row>
    <row r="34" customFormat="false" ht="15" hidden="false" customHeight="false" outlineLevel="0" collapsed="false">
      <c r="A34" s="12" t="s">
        <v>133</v>
      </c>
      <c r="B34" s="13" t="s">
        <v>121</v>
      </c>
      <c r="D34" s="20" t="n">
        <f aca="false">ROUND(D32+D33,0)</f>
        <v>28205053</v>
      </c>
      <c r="E34" s="20" t="n">
        <f aca="false">ROUND(E32+E33,0)</f>
        <v>50854932</v>
      </c>
      <c r="F34" s="20" t="n">
        <f aca="false">ROUND(F32+F33,0)</f>
        <v>56854932</v>
      </c>
      <c r="G34" s="20" t="n">
        <f aca="false">ROUND(G32+G33,0)</f>
        <v>62854932</v>
      </c>
      <c r="H34" s="20" t="n">
        <f aca="false">ROUND(H32+H33,0)</f>
        <v>68854932</v>
      </c>
    </row>
    <row r="35" customFormat="false" ht="15" hidden="false" customHeight="false" outlineLevel="0" collapsed="false">
      <c r="A35" s="12" t="s">
        <v>134</v>
      </c>
      <c r="B35" s="13" t="s">
        <v>121</v>
      </c>
      <c r="D35" s="20" t="n">
        <f aca="false">ROUND(MIN(D22,$C26),0)</f>
        <v>4934884</v>
      </c>
      <c r="E35" s="20" t="n">
        <f aca="false">ROUND(MIN(E22,$C26-SUM($D35:D35)),0)</f>
        <v>4644173</v>
      </c>
      <c r="F35" s="20" t="n">
        <f aca="false">ROUND(MIN(F22,$C26-SUM($D35:E35)),0)</f>
        <v>0</v>
      </c>
      <c r="G35" s="20" t="n">
        <f aca="false">ROUND(MIN(G22,$C26-SUM($D35:F35)),0)</f>
        <v>0</v>
      </c>
      <c r="H35" s="20" t="n">
        <f aca="false">ROUND(MIN(H22,$C26-SUM($D35:G35)),0)</f>
        <v>0</v>
      </c>
    </row>
    <row r="36" customFormat="false" ht="15" hidden="false" customHeight="false" outlineLevel="0" collapsed="false">
      <c r="A36" s="12" t="s">
        <v>135</v>
      </c>
      <c r="B36" s="13" t="s">
        <v>121</v>
      </c>
      <c r="D36" s="20" t="n">
        <f aca="false">ROUND(SUMPRODUCT($D11:D11/$C17*((D$7-$D$7:D$7)&lt;$C17)),0)</f>
        <v>465000</v>
      </c>
      <c r="E36" s="20" t="n">
        <f aca="false">ROUND(SUMPRODUCT($D11:E11/$C17*((E$7-$D$7:E$7)&lt;$C17)),0)</f>
        <v>2965000</v>
      </c>
      <c r="F36" s="20" t="n">
        <f aca="false">ROUND(SUMPRODUCT($D11:F11/$C17*((F$7-$D$7:F$7)&lt;$C17)),0)</f>
        <v>5000000</v>
      </c>
      <c r="G36" s="20" t="n">
        <f aca="false">ROUND(SUMPRODUCT($D11:G11/$C17*((G$7-$D$7:G$7)&lt;$C17)),0)</f>
        <v>5000000</v>
      </c>
      <c r="H36" s="20" t="n">
        <f aca="false">ROUND(SUMPRODUCT($D11:H11/$C17*((H$7-$D$7:H$7)&lt;$C17)),0)</f>
        <v>5000000</v>
      </c>
    </row>
    <row r="37" customFormat="false" ht="15" hidden="false" customHeight="false" outlineLevel="0" collapsed="false">
      <c r="A37" s="12" t="s">
        <v>136</v>
      </c>
      <c r="B37" s="13" t="s">
        <v>121</v>
      </c>
      <c r="D37" s="20" t="n">
        <f aca="false">ROUND(D35+D36,0)</f>
        <v>5399884</v>
      </c>
      <c r="E37" s="20" t="n">
        <f aca="false">ROUND(E35+E36,0)</f>
        <v>7609173</v>
      </c>
      <c r="F37" s="20" t="n">
        <f aca="false">ROUND(F35+F36,0)</f>
        <v>5000000</v>
      </c>
      <c r="G37" s="20" t="n">
        <f aca="false">ROUND(G35+G36,0)</f>
        <v>5000000</v>
      </c>
      <c r="H37" s="20" t="n">
        <f aca="false">ROUND(H35+H36,0)</f>
        <v>5000000</v>
      </c>
    </row>
    <row r="38" customFormat="false" ht="15" hidden="false" customHeight="false" outlineLevel="0" collapsed="false">
      <c r="A38" s="12" t="s">
        <v>137</v>
      </c>
      <c r="B38" s="13" t="s">
        <v>121</v>
      </c>
      <c r="D38" s="20" t="n">
        <f aca="false">ROUND(MIN(D23,$C27),0)</f>
        <v>13760638</v>
      </c>
      <c r="E38" s="20" t="n">
        <f aca="false">ROUND(MIN(E23,$C27-SUM($D38:D38)),0)</f>
        <v>10760638</v>
      </c>
      <c r="F38" s="20" t="n">
        <f aca="false">ROUND(MIN(F23,$C27-SUM($D38:E38)),0)</f>
        <v>10760638</v>
      </c>
      <c r="G38" s="20" t="n">
        <f aca="false">ROUND(MIN(G23,$C27-SUM($D38:F38)),0)</f>
        <v>10760638</v>
      </c>
      <c r="H38" s="20" t="n">
        <f aca="false">ROUND(MIN(H23,$C27-SUM($D38:G38)),0)</f>
        <v>10760638</v>
      </c>
    </row>
    <row r="39" customFormat="false" ht="15" hidden="false" customHeight="false" outlineLevel="0" collapsed="false">
      <c r="A39" s="12" t="s">
        <v>138</v>
      </c>
      <c r="B39" s="13" t="s">
        <v>121</v>
      </c>
      <c r="D39" s="20" t="n">
        <f aca="false">ROUND(SUMPRODUCT($D12:D12/$C18*((D$7-$D$7:D$7)&lt;$C18)),0)</f>
        <v>5197740</v>
      </c>
      <c r="E39" s="20" t="n">
        <f aca="false">ROUND(SUMPRODUCT($D12:E12/$C18*((E$7-$D$7:E$7)&lt;$C18)),0)</f>
        <v>5197740</v>
      </c>
      <c r="F39" s="20" t="n">
        <f aca="false">ROUND(SUMPRODUCT($D12:F12/$C18*((F$7-$D$7:F$7)&lt;$C18)),0)</f>
        <v>5197740</v>
      </c>
      <c r="G39" s="20" t="n">
        <f aca="false">ROUND(SUMPRODUCT($D12:G12/$C18*((G$7-$D$7:G$7)&lt;$C18)),0)</f>
        <v>13333333</v>
      </c>
      <c r="H39" s="20" t="n">
        <f aca="false">ROUND(SUMPRODUCT($D12:H12/$C18*((H$7-$D$7:H$7)&lt;$C18)),0)</f>
        <v>13333333</v>
      </c>
    </row>
    <row r="40" customFormat="false" ht="15" hidden="false" customHeight="false" outlineLevel="0" collapsed="false">
      <c r="A40" s="12" t="s">
        <v>139</v>
      </c>
      <c r="B40" s="13" t="s">
        <v>121</v>
      </c>
      <c r="D40" s="20" t="n">
        <f aca="false">ROUND(D38+D39,0)</f>
        <v>18958378</v>
      </c>
      <c r="E40" s="20" t="n">
        <f aca="false">ROUND(E38+E39,0)</f>
        <v>15958378</v>
      </c>
      <c r="F40" s="20" t="n">
        <f aca="false">ROUND(F38+F39,0)</f>
        <v>15958378</v>
      </c>
      <c r="G40" s="20" t="n">
        <f aca="false">ROUND(G38+G39,0)</f>
        <v>24093971</v>
      </c>
      <c r="H40" s="20" t="n">
        <f aca="false">ROUND(H38+H39,0)</f>
        <v>24093971</v>
      </c>
    </row>
    <row r="41" customFormat="false" ht="15" hidden="false" customHeight="false" outlineLevel="0" collapsed="false">
      <c r="A41" s="4" t="s">
        <v>140</v>
      </c>
      <c r="B41" s="13"/>
      <c r="C41" s="21" t="n">
        <f aca="false">ROUND(C9+C10+C11+C12,0)</f>
        <v>364938869</v>
      </c>
      <c r="D41" s="21" t="n">
        <f aca="false">ROUND(D9+D10+D11+D12,0)</f>
        <v>16523220</v>
      </c>
      <c r="E41" s="21" t="n">
        <f aca="false">ROUND(E9+E10+E11+E12,0)</f>
        <v>35000000</v>
      </c>
      <c r="F41" s="21" t="n">
        <f aca="false">ROUND(F9+F10+F11+F12,0)</f>
        <v>35000000</v>
      </c>
      <c r="G41" s="21" t="n">
        <f aca="false">ROUND(G9+G10+G11+G12,0)</f>
        <v>75000000</v>
      </c>
      <c r="H41" s="21" t="n">
        <f aca="false">ROUND(H9+H10+H11+H12,0)</f>
        <v>35000000</v>
      </c>
    </row>
    <row r="42" customFormat="false" ht="15" hidden="false" customHeight="false" outlineLevel="0" collapsed="false">
      <c r="A42" s="4" t="s">
        <v>141</v>
      </c>
      <c r="B42" s="13" t="s">
        <v>121</v>
      </c>
      <c r="C42" s="23" t="n">
        <f aca="false">ROUND(SUMIFS('BALANCE 2024'!$H:$H,'BALANCE 2024'!$A:$A,"&gt;=681000",'BALANCE 2024'!$A:$A,"&lt;682000"),0)</f>
        <v>79833299</v>
      </c>
      <c r="D42" s="21" t="n">
        <f aca="false">ROUND(D31+D34+D37+D40,0)</f>
        <v>71846160</v>
      </c>
      <c r="E42" s="21" t="n">
        <f aca="false">ROUND(E31+E34+E37+E40,0)</f>
        <v>93705328</v>
      </c>
      <c r="F42" s="21" t="n">
        <f aca="false">ROUND(F31+F34+F37+F40,0)</f>
        <v>97096155</v>
      </c>
      <c r="G42" s="21" t="n">
        <f aca="false">ROUND(G31+G34+G37+G40,0)</f>
        <v>95765384</v>
      </c>
      <c r="H42" s="21" t="n">
        <f aca="false">ROUND(H31+H34+H37+H40,0)</f>
        <v>97948903</v>
      </c>
    </row>
    <row r="43" customFormat="false" ht="15" hidden="false" customHeight="false" outlineLevel="0" collapsed="false">
      <c r="A43" s="12" t="s">
        <v>142</v>
      </c>
      <c r="B43" s="13" t="s">
        <v>143</v>
      </c>
      <c r="C43" s="15" t="n">
        <f aca="false">ROUND(SUMIFS('BALANCE 2024'!$H:$H,'BALANCE 2024'!$C:$C,"AJ")+SUMIFS('BALANCE 2024'!$H:$H,'BALANCE 2024'!$C:$C,"AK")+SUMIFS('BALANCE 2024'!$H:$H,'BALANCE 2024'!$C:$C,"AL")+SUMIFS('BALANCE 2024'!$H:$H,'BALANCE 2024'!$C:$C,"AM")+SUMIFS('BALANCE 2024'!$H:$H,'BALANCE 2024'!$C:$C,"AN"),0)</f>
        <v>876398854</v>
      </c>
      <c r="D43" s="20" t="n">
        <f aca="false">ROUND(C43+D41,0)</f>
        <v>892922074</v>
      </c>
      <c r="E43" s="20" t="n">
        <f aca="false">ROUND(D43+E41,0)</f>
        <v>927922074</v>
      </c>
      <c r="F43" s="20" t="n">
        <f aca="false">ROUND(E43+F41,0)</f>
        <v>962922074</v>
      </c>
      <c r="G43" s="20" t="n">
        <f aca="false">ROUND(F43+G41,0)</f>
        <v>1037922074</v>
      </c>
      <c r="H43" s="20" t="n">
        <f aca="false">ROUND(G43+H41,0)</f>
        <v>1072922074</v>
      </c>
    </row>
    <row r="44" customFormat="false" ht="15" hidden="false" customHeight="false" outlineLevel="0" collapsed="false">
      <c r="A44" s="12" t="s">
        <v>144</v>
      </c>
      <c r="B44" s="13" t="s">
        <v>145</v>
      </c>
      <c r="C44" s="15" t="n">
        <f aca="false">ROUND(SUMIFS('BALANCE 2024'!$I:$I,'BALANCE 2024'!$C:$C,"AJ")+SUMIFS('BALANCE 2024'!$I:$I,'BALANCE 2024'!$C:$C,"AK")+SUMIFS('BALANCE 2024'!$I:$I,'BALANCE 2024'!$C:$C,"AL")+SUMIFS('BALANCE 2024'!$I:$I,'BALANCE 2024'!$C:$C,"AM")+SUMIFS('BALANCE 2024'!$I:$I,'BALANCE 2024'!$C:$C,"AN"),0)</f>
        <v>473537674</v>
      </c>
      <c r="D44" s="20" t="n">
        <f aca="false">ROUND(C44+D42,0)</f>
        <v>545383834</v>
      </c>
      <c r="E44" s="20" t="n">
        <f aca="false">ROUND(D44+E42,0)</f>
        <v>639089162</v>
      </c>
      <c r="F44" s="20" t="n">
        <f aca="false">ROUND(E44+F42,0)</f>
        <v>736185317</v>
      </c>
      <c r="G44" s="20" t="n">
        <f aca="false">ROUND(F44+G42,0)</f>
        <v>831950701</v>
      </c>
      <c r="H44" s="20" t="n">
        <f aca="false">ROUND(G44+H42,0)</f>
        <v>929899604</v>
      </c>
    </row>
    <row r="45" customFormat="false" ht="15" hidden="false" customHeight="false" outlineLevel="0" collapsed="false">
      <c r="A45" s="4" t="s">
        <v>146</v>
      </c>
      <c r="B45" s="13" t="s">
        <v>147</v>
      </c>
      <c r="C45" s="21" t="n">
        <f aca="false">ROUND(C43-C44,0)</f>
        <v>402861180</v>
      </c>
      <c r="D45" s="21" t="n">
        <f aca="false">ROUND(D43-D44,0)</f>
        <v>347538240</v>
      </c>
      <c r="E45" s="21" t="n">
        <f aca="false">ROUND(E43-E44,0)</f>
        <v>288832912</v>
      </c>
      <c r="F45" s="21" t="n">
        <f aca="false">ROUND(F43-F44,0)</f>
        <v>226736757</v>
      </c>
      <c r="G45" s="21" t="n">
        <f aca="false">ROUND(G43-G44,0)</f>
        <v>205971373</v>
      </c>
      <c r="H45" s="21" t="n">
        <f aca="false">ROUND(H43-H44,0)</f>
        <v>143022470</v>
      </c>
    </row>
    <row r="46" customFormat="false" ht="15" hidden="false" customHeight="false" outlineLevel="0" collapsed="false">
      <c r="A46" s="10" t="s">
        <v>148</v>
      </c>
      <c r="B46" s="11"/>
      <c r="C46" s="11"/>
      <c r="D46" s="11"/>
      <c r="E46" s="11"/>
      <c r="F46" s="11"/>
      <c r="G46" s="11"/>
      <c r="H46" s="11"/>
      <c r="I46" s="11"/>
    </row>
    <row r="47" customFormat="false" ht="15" hidden="false" customHeight="false" outlineLevel="0" collapsed="false">
      <c r="A47" s="12" t="s">
        <v>149</v>
      </c>
      <c r="B47" s="13" t="s">
        <v>150</v>
      </c>
      <c r="D47" s="16" t="n">
        <v>54395682</v>
      </c>
      <c r="E47" s="16" t="n">
        <v>0</v>
      </c>
      <c r="F47" s="16" t="n">
        <v>0</v>
      </c>
      <c r="G47" s="16" t="n">
        <v>0</v>
      </c>
      <c r="H47" s="16" t="n">
        <v>0</v>
      </c>
    </row>
    <row r="48" customFormat="false" ht="15" hidden="false" customHeight="false" outlineLevel="0" collapsed="false">
      <c r="A48" s="12" t="s">
        <v>151</v>
      </c>
      <c r="B48" s="13" t="s">
        <v>150</v>
      </c>
      <c r="D48" s="16" t="n">
        <v>94054514</v>
      </c>
      <c r="E48" s="16" t="n">
        <v>0</v>
      </c>
      <c r="F48" s="16" t="n">
        <v>0</v>
      </c>
      <c r="G48" s="16" t="n">
        <v>0</v>
      </c>
      <c r="H48" s="16" t="n">
        <v>0</v>
      </c>
      <c r="I48" s="7" t="s">
        <v>152</v>
      </c>
    </row>
    <row r="49" customFormat="false" ht="15" hidden="false" customHeight="false" outlineLevel="0" collapsed="false">
      <c r="A49" s="12" t="s">
        <v>153</v>
      </c>
      <c r="B49" s="13" t="s">
        <v>154</v>
      </c>
      <c r="D49" s="16" t="n">
        <v>10619694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155</v>
      </c>
    </row>
    <row r="50" customFormat="false" ht="15" hidden="false" customHeight="false" outlineLevel="0" collapsed="false">
      <c r="A50" s="12" t="s">
        <v>156</v>
      </c>
      <c r="B50" s="13" t="s">
        <v>12</v>
      </c>
      <c r="D50" s="14" t="n">
        <v>0.06</v>
      </c>
      <c r="E50" s="14" t="n">
        <v>0.08</v>
      </c>
      <c r="F50" s="14" t="n">
        <v>0.08</v>
      </c>
      <c r="G50" s="14" t="n">
        <v>0.08</v>
      </c>
      <c r="H50" s="14" t="n">
        <v>0.08</v>
      </c>
      <c r="I50" s="7" t="s">
        <v>157</v>
      </c>
    </row>
    <row r="51" customFormat="false" ht="15" hidden="false" customHeight="false" outlineLevel="0" collapsed="false">
      <c r="A51" s="12" t="s">
        <v>158</v>
      </c>
      <c r="B51" s="13" t="s">
        <v>159</v>
      </c>
      <c r="D51" s="16" t="n">
        <v>0</v>
      </c>
      <c r="E51" s="16" t="n">
        <v>0</v>
      </c>
      <c r="F51" s="16" t="n">
        <v>0</v>
      </c>
      <c r="G51" s="16" t="n">
        <v>0</v>
      </c>
      <c r="H51" s="16" t="n">
        <v>0</v>
      </c>
    </row>
    <row r="52" customFormat="false" ht="15" hidden="false" customHeight="false" outlineLevel="0" collapsed="false">
      <c r="A52" s="12" t="s">
        <v>160</v>
      </c>
      <c r="B52" s="13" t="s">
        <v>161</v>
      </c>
      <c r="D52" s="14" t="n">
        <v>1</v>
      </c>
      <c r="E52" s="14" t="n">
        <v>0</v>
      </c>
      <c r="F52" s="14" t="n">
        <v>0</v>
      </c>
      <c r="G52" s="14" t="n">
        <v>0</v>
      </c>
      <c r="H52" s="14" t="n">
        <v>0</v>
      </c>
      <c r="I52" s="7" t="s">
        <v>162</v>
      </c>
    </row>
    <row r="53" customFormat="false" ht="15" hidden="false" customHeight="false" outlineLevel="0" collapsed="false">
      <c r="A53" s="12" t="s">
        <v>163</v>
      </c>
      <c r="B53" s="13" t="s">
        <v>161</v>
      </c>
      <c r="D53" s="16" t="n">
        <v>0</v>
      </c>
      <c r="E53" s="16" t="n">
        <v>0</v>
      </c>
      <c r="F53" s="16" t="n">
        <v>0</v>
      </c>
      <c r="G53" s="16" t="n">
        <v>0</v>
      </c>
      <c r="H53" s="16" t="n">
        <v>0</v>
      </c>
    </row>
    <row r="54" customFormat="false" ht="15" hidden="false" customHeight="false" outlineLevel="0" collapsed="false">
      <c r="A54" s="12" t="s">
        <v>164</v>
      </c>
      <c r="B54" s="13" t="s">
        <v>161</v>
      </c>
      <c r="C54" s="15" t="n">
        <f aca="false">ROUND(SUMIFS('BALANCE 2024'!$I:$I,'BALANCE 2024'!$A:$A,462100)-SUMIFS('BALANCE 2024'!$H:$H,'BALANCE 2024'!$A:$A,462100),0)</f>
        <v>3700000</v>
      </c>
      <c r="D54" s="20" t="n">
        <f aca="false">ROUND($C54*MAX(0,1-SUM($D52:D52))+SUM($D53:D53),0)</f>
        <v>0</v>
      </c>
      <c r="E54" s="20" t="n">
        <f aca="false">ROUND($C54*MAX(0,1-SUM($D52:E52))+SUM($D53:E53),0)</f>
        <v>0</v>
      </c>
      <c r="F54" s="20" t="n">
        <f aca="false">ROUND($C54*MAX(0,1-SUM($D52:F52))+SUM($D53:F53),0)</f>
        <v>0</v>
      </c>
      <c r="G54" s="20" t="n">
        <f aca="false">ROUND($C54*MAX(0,1-SUM($D52:G52))+SUM($D53:G53),0)</f>
        <v>0</v>
      </c>
      <c r="H54" s="20" t="n">
        <f aca="false">ROUND($C54*MAX(0,1-SUM($D52:H52))+SUM($D53:H53),0)</f>
        <v>0</v>
      </c>
    </row>
    <row r="55" customFormat="false" ht="15" hidden="false" customHeight="false" outlineLevel="0" collapsed="false">
      <c r="A55" s="12" t="s">
        <v>165</v>
      </c>
      <c r="B55" s="13" t="s">
        <v>12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7" t="s">
        <v>166</v>
      </c>
    </row>
    <row r="56" customFormat="false" ht="15" hidden="false" customHeight="false" outlineLevel="0" collapsed="false">
      <c r="A56" s="10" t="s">
        <v>167</v>
      </c>
      <c r="B56" s="11"/>
      <c r="C56" s="11"/>
      <c r="D56" s="11"/>
      <c r="E56" s="11"/>
      <c r="F56" s="11"/>
      <c r="G56" s="11"/>
      <c r="H56" s="11"/>
      <c r="I56" s="11"/>
    </row>
    <row r="57" customFormat="false" ht="15" hidden="false" customHeight="false" outlineLevel="0" collapsed="false">
      <c r="A57" s="12" t="s">
        <v>168</v>
      </c>
      <c r="B57" s="13" t="s">
        <v>150</v>
      </c>
      <c r="D57" s="20" t="n">
        <f aca="false">ROUND('BALANCE 2024'!I20,0)</f>
        <v>39658832</v>
      </c>
      <c r="E57" s="20" t="n">
        <f aca="false">ROUND('BALANCE 2025'!I20,0)</f>
        <v>0</v>
      </c>
      <c r="F57" s="20" t="n">
        <f aca="false">ROUND('BALANCE 2026'!I20,0)</f>
        <v>0</v>
      </c>
      <c r="G57" s="20" t="n">
        <f aca="false">ROUND('BALANCE 2027'!I20,0)</f>
        <v>0</v>
      </c>
      <c r="H57" s="20" t="n">
        <f aca="false">ROUND('BALANCE 2028'!I20,0)</f>
        <v>0</v>
      </c>
    </row>
    <row r="58" customFormat="false" ht="15" hidden="false" customHeight="false" outlineLevel="0" collapsed="false">
      <c r="A58" s="12" t="s">
        <v>169</v>
      </c>
      <c r="B58" s="13" t="s">
        <v>150</v>
      </c>
      <c r="D58" s="20" t="n">
        <f aca="false">ROUND(D47,0)</f>
        <v>54395682</v>
      </c>
      <c r="E58" s="20" t="n">
        <f aca="false">ROUND(E47,0)</f>
        <v>0</v>
      </c>
      <c r="F58" s="20" t="n">
        <f aca="false">ROUND(F47,0)</f>
        <v>0</v>
      </c>
      <c r="G58" s="20" t="n">
        <f aca="false">ROUND(G47,0)</f>
        <v>0</v>
      </c>
      <c r="H58" s="20" t="n">
        <f aca="false">ROUND(H47,0)</f>
        <v>0</v>
      </c>
    </row>
    <row r="59" customFormat="false" ht="15" hidden="false" customHeight="false" outlineLevel="0" collapsed="false">
      <c r="A59" s="12" t="s">
        <v>170</v>
      </c>
      <c r="B59" s="13" t="s">
        <v>150</v>
      </c>
      <c r="D59" s="20" t="n">
        <f aca="false">ROUND(-D48,0)</f>
        <v>-94054514</v>
      </c>
      <c r="E59" s="20" t="n">
        <f aca="false">ROUND(-E48,0)</f>
        <v>-0</v>
      </c>
      <c r="F59" s="20" t="n">
        <f aca="false">ROUND(-F48,0)</f>
        <v>-0</v>
      </c>
      <c r="G59" s="20" t="n">
        <f aca="false">ROUND(-G48,0)</f>
        <v>-0</v>
      </c>
      <c r="H59" s="20" t="n">
        <f aca="false">ROUND(-H48,0)</f>
        <v>-0</v>
      </c>
    </row>
    <row r="60" customFormat="false" ht="15" hidden="false" customHeight="false" outlineLevel="0" collapsed="false">
      <c r="A60" s="4" t="s">
        <v>171</v>
      </c>
      <c r="B60" s="13" t="s">
        <v>172</v>
      </c>
      <c r="C60" s="23" t="n">
        <f aca="false">ROUND(SUMIFS('BALANCE 2024'!$I:$I,'BALANCE 2024'!$C:$C,"DA"),0)</f>
        <v>39658832</v>
      </c>
      <c r="D60" s="21" t="n">
        <f aca="false">ROUND(D57+D58+D59,0)</f>
        <v>0</v>
      </c>
      <c r="E60" s="21" t="n">
        <f aca="false">ROUND(E57+E58+E59,0)</f>
        <v>0</v>
      </c>
      <c r="F60" s="21" t="n">
        <f aca="false">ROUND(F57+F58+F59,0)</f>
        <v>0</v>
      </c>
      <c r="G60" s="21" t="n">
        <f aca="false">ROUND(G57+G58+G59,0)</f>
        <v>0</v>
      </c>
      <c r="H60" s="21" t="n">
        <f aca="false">ROUND(H57+H58+H59,0)</f>
        <v>0</v>
      </c>
    </row>
    <row r="61" customFormat="false" ht="15" hidden="false" customHeight="false" outlineLevel="0" collapsed="false">
      <c r="A61" s="12" t="s">
        <v>173</v>
      </c>
      <c r="B61" s="13" t="s">
        <v>154</v>
      </c>
      <c r="D61" s="20" t="n">
        <f aca="false">ROUND('BALANCE 2024'!I21,0)</f>
        <v>10619694</v>
      </c>
      <c r="E61" s="20" t="n">
        <f aca="false">ROUND('BALANCE 2025'!I21,0)</f>
        <v>0</v>
      </c>
      <c r="F61" s="20" t="n">
        <f aca="false">ROUND('BALANCE 2026'!I21,0)</f>
        <v>0</v>
      </c>
      <c r="G61" s="20" t="n">
        <f aca="false">ROUND('BALANCE 2027'!I21,0)</f>
        <v>0</v>
      </c>
      <c r="H61" s="20" t="n">
        <f aca="false">ROUND('BALANCE 2028'!I21,0)</f>
        <v>0</v>
      </c>
    </row>
    <row r="62" customFormat="false" ht="15" hidden="false" customHeight="false" outlineLevel="0" collapsed="false">
      <c r="A62" s="12" t="s">
        <v>170</v>
      </c>
      <c r="B62" s="13" t="s">
        <v>154</v>
      </c>
      <c r="D62" s="20" t="n">
        <f aca="false">ROUND(-D49,0)</f>
        <v>-10619694</v>
      </c>
      <c r="E62" s="20" t="n">
        <f aca="false">ROUND(-E49,0)</f>
        <v>-0</v>
      </c>
      <c r="F62" s="20" t="n">
        <f aca="false">ROUND(-F49,0)</f>
        <v>-0</v>
      </c>
      <c r="G62" s="20" t="n">
        <f aca="false">ROUND(-G49,0)</f>
        <v>-0</v>
      </c>
      <c r="H62" s="20" t="n">
        <f aca="false">ROUND(-H49,0)</f>
        <v>-0</v>
      </c>
    </row>
    <row r="63" customFormat="false" ht="15" hidden="false" customHeight="false" outlineLevel="0" collapsed="false">
      <c r="A63" s="4" t="s">
        <v>174</v>
      </c>
      <c r="B63" s="13" t="s">
        <v>175</v>
      </c>
      <c r="C63" s="23" t="n">
        <f aca="false">ROUND(SUMIFS('BALANCE 2024'!$I:$I,'BALANCE 2024'!$C:$C,"DB"),0)</f>
        <v>10619694</v>
      </c>
      <c r="D63" s="21" t="n">
        <f aca="false">ROUND(D61+D62,0)</f>
        <v>0</v>
      </c>
      <c r="E63" s="21" t="n">
        <f aca="false">ROUND(E61+E62,0)</f>
        <v>0</v>
      </c>
      <c r="F63" s="21" t="n">
        <f aca="false">ROUND(F61+F62,0)</f>
        <v>0</v>
      </c>
      <c r="G63" s="21" t="n">
        <f aca="false">ROUND(G61+G62,0)</f>
        <v>0</v>
      </c>
      <c r="H63" s="21" t="n">
        <f aca="false">ROUND(H61+H62,0)</f>
        <v>0</v>
      </c>
    </row>
    <row r="64" customFormat="false" ht="15" hidden="false" customHeight="false" outlineLevel="0" collapsed="false">
      <c r="A64" s="12" t="s">
        <v>176</v>
      </c>
      <c r="B64" s="13" t="s">
        <v>177</v>
      </c>
      <c r="C64" s="15" t="n">
        <f aca="false">ROUND(SUMIFS('BALANCE 2024'!$H:$H,'BALANCE 2024'!$A:$A,"&gt;=671000",'BALANCE 2024'!$A:$A,"&lt;672000"),0)</f>
        <v>4142819</v>
      </c>
      <c r="D64" s="20" t="n">
        <f aca="false">ROUND(D50*'BALANCE 2024'!I20,0)</f>
        <v>2379530</v>
      </c>
      <c r="E64" s="20" t="n">
        <f aca="false">ROUND(E50*'BALANCE 2025'!I20,0)</f>
        <v>0</v>
      </c>
      <c r="F64" s="20" t="n">
        <f aca="false">ROUND(F50*'BALANCE 2026'!I20,0)</f>
        <v>0</v>
      </c>
      <c r="G64" s="20" t="n">
        <f aca="false">ROUND(G50*'BALANCE 2027'!I20,0)</f>
        <v>0</v>
      </c>
      <c r="H64" s="20" t="n">
        <f aca="false">ROUND(H50*'BALANCE 2028'!I20,0)</f>
        <v>0</v>
      </c>
    </row>
    <row r="65" customFormat="false" ht="15" hidden="false" customHeight="false" outlineLevel="0" collapsed="false">
      <c r="A65" s="12" t="s">
        <v>178</v>
      </c>
      <c r="B65" s="13" t="s">
        <v>179</v>
      </c>
      <c r="C65" s="15" t="n">
        <f aca="false">ROUND(SUMIFS('BALANCE 2024'!$H:$H,'BALANCE 2024'!$A:$A,"&gt;=672000",'BALANCE 2024'!$A:$A,"&lt;673000"),0)</f>
        <v>3965478</v>
      </c>
      <c r="D65" s="20" t="n">
        <f aca="false">ROUND(D50*'BALANCE 2024'!I21,0)</f>
        <v>637182</v>
      </c>
      <c r="E65" s="20" t="n">
        <f aca="false">ROUND(E50*'BALANCE 2025'!I21,0)</f>
        <v>0</v>
      </c>
      <c r="F65" s="20" t="n">
        <f aca="false">ROUND(F50*'BALANCE 2026'!I21,0)</f>
        <v>0</v>
      </c>
      <c r="G65" s="20" t="n">
        <f aca="false">ROUND(G50*'BALANCE 2027'!I21,0)</f>
        <v>0</v>
      </c>
      <c r="H65" s="20" t="n">
        <f aca="false">ROUND(H50*'BALANCE 2028'!I21,0)</f>
        <v>0</v>
      </c>
    </row>
    <row r="66" customFormat="false" ht="15" hidden="false" customHeight="false" outlineLevel="0" collapsed="false">
      <c r="A66" s="4" t="s">
        <v>180</v>
      </c>
      <c r="B66" s="13"/>
      <c r="D66" s="21" t="n">
        <f aca="false">ROUND(D48+D49+D64+D65,0)</f>
        <v>107690920</v>
      </c>
      <c r="E66" s="21" t="n">
        <f aca="false">ROUND(E48+E49+E64+E65,0)</f>
        <v>0</v>
      </c>
      <c r="F66" s="21" t="n">
        <f aca="false">ROUND(F48+F49+F64+F65,0)</f>
        <v>0</v>
      </c>
      <c r="G66" s="21" t="n">
        <f aca="false">ROUND(G48+G49+G64+G65,0)</f>
        <v>0</v>
      </c>
      <c r="H66" s="21" t="n">
        <f aca="false">ROUND(H48+H49+H64+H65,0)</f>
        <v>0</v>
      </c>
    </row>
    <row r="67" customFormat="false" ht="15" hidden="false" customHeight="false" outlineLevel="0" collapsed="false">
      <c r="A67" s="10" t="s">
        <v>181</v>
      </c>
      <c r="B67" s="11"/>
      <c r="C67" s="11"/>
      <c r="D67" s="11"/>
      <c r="E67" s="11"/>
      <c r="F67" s="11"/>
      <c r="G67" s="11"/>
      <c r="H67" s="11"/>
      <c r="I67" s="11"/>
    </row>
    <row r="68" customFormat="false" ht="15" hidden="false" customHeight="false" outlineLevel="0" collapsed="false">
      <c r="A68" s="12" t="s">
        <v>182</v>
      </c>
      <c r="B68" s="13"/>
      <c r="D68" s="20" t="n">
        <f aca="false">ROUND(D41,0)</f>
        <v>16523220</v>
      </c>
      <c r="E68" s="20" t="n">
        <f aca="false">ROUND(E41,0)</f>
        <v>35000000</v>
      </c>
      <c r="F68" s="20" t="n">
        <f aca="false">ROUND(F41,0)</f>
        <v>35000000</v>
      </c>
      <c r="G68" s="20" t="n">
        <f aca="false">ROUND(G41,0)</f>
        <v>75000000</v>
      </c>
      <c r="H68" s="20" t="n">
        <f aca="false">ROUND(H41,0)</f>
        <v>35000000</v>
      </c>
    </row>
    <row r="69" customFormat="false" ht="15" hidden="false" customHeight="false" outlineLevel="0" collapsed="false">
      <c r="A69" s="12" t="s">
        <v>183</v>
      </c>
      <c r="B69" s="13"/>
      <c r="D69" s="20" t="n">
        <f aca="false">ROUND(D13,0)</f>
        <v>0</v>
      </c>
      <c r="E69" s="20" t="n">
        <f aca="false">ROUND(E13,0)</f>
        <v>0</v>
      </c>
      <c r="F69" s="20" t="n">
        <f aca="false">ROUND(F13,0)</f>
        <v>0</v>
      </c>
      <c r="G69" s="20" t="n">
        <f aca="false">ROUND(G13,0)</f>
        <v>0</v>
      </c>
      <c r="H69" s="20" t="n">
        <f aca="false">ROUND(H13,0)</f>
        <v>0</v>
      </c>
    </row>
    <row r="70" customFormat="false" ht="15" hidden="false" customHeight="false" outlineLevel="0" collapsed="false">
      <c r="A70" s="12" t="s">
        <v>184</v>
      </c>
      <c r="B70" s="13"/>
      <c r="D70" s="20" t="n">
        <f aca="false">ROUND(D48+D49,0)</f>
        <v>104674208</v>
      </c>
      <c r="E70" s="20" t="n">
        <f aca="false">ROUND(E48+E49,0)</f>
        <v>0</v>
      </c>
      <c r="F70" s="20" t="n">
        <f aca="false">ROUND(F48+F49,0)</f>
        <v>0</v>
      </c>
      <c r="G70" s="20" t="n">
        <f aca="false">ROUND(G48+G49,0)</f>
        <v>0</v>
      </c>
      <c r="H70" s="20" t="n">
        <f aca="false">ROUND(H48+H49,0)</f>
        <v>0</v>
      </c>
    </row>
    <row r="71" customFormat="false" ht="15" hidden="false" customHeight="false" outlineLevel="0" collapsed="false">
      <c r="A71" s="12" t="s">
        <v>185</v>
      </c>
      <c r="B71" s="13"/>
      <c r="D71" s="20" t="n">
        <f aca="false">ROUND(HYPOTHESES!D59,0)</f>
        <v>0</v>
      </c>
      <c r="E71" s="20" t="n">
        <f aca="false">ROUND(HYPOTHESES!E59,0)</f>
        <v>0</v>
      </c>
      <c r="F71" s="20" t="n">
        <f aca="false">ROUND(HYPOTHESES!F59,0)</f>
        <v>0</v>
      </c>
      <c r="G71" s="20" t="n">
        <f aca="false">ROUND(HYPOTHESES!G59,0)</f>
        <v>0</v>
      </c>
      <c r="H71" s="20" t="n">
        <f aca="false">ROUND(HYPOTHESES!H59,0)</f>
        <v>0</v>
      </c>
    </row>
    <row r="72" customFormat="false" ht="15" hidden="false" customHeight="false" outlineLevel="0" collapsed="false">
      <c r="A72" s="4" t="s">
        <v>186</v>
      </c>
      <c r="B72" s="13"/>
      <c r="D72" s="21" t="n">
        <f aca="false">ROUND(SUM(D68:D71),0)</f>
        <v>121197428</v>
      </c>
      <c r="E72" s="21" t="n">
        <f aca="false">ROUND(SUM(E68:E71),0)</f>
        <v>35000000</v>
      </c>
      <c r="F72" s="21" t="n">
        <f aca="false">ROUND(SUM(F68:F71),0)</f>
        <v>35000000</v>
      </c>
      <c r="G72" s="21" t="n">
        <f aca="false">ROUND(SUM(G68:G71),0)</f>
        <v>75000000</v>
      </c>
      <c r="H72" s="21" t="n">
        <f aca="false">ROUND(SUM(H68:H71),0)</f>
        <v>35000000</v>
      </c>
    </row>
    <row r="73" customFormat="false" ht="15" hidden="false" customHeight="false" outlineLevel="0" collapsed="false">
      <c r="A73" s="12" t="s">
        <v>187</v>
      </c>
      <c r="B73" s="13" t="s">
        <v>188</v>
      </c>
      <c r="D73" s="20" t="n">
        <f aca="false">ROUND(HYPOTHESES!D57+D42+HYPOTHESES!D50,0)</f>
        <v>170420324</v>
      </c>
      <c r="E73" s="20" t="n">
        <f aca="false">ROUND(HYPOTHESES!E57+E42+HYPOTHESES!E50,0)</f>
        <v>185776151</v>
      </c>
      <c r="F73" s="20" t="n">
        <f aca="false">ROUND(HYPOTHESES!F57+F42+HYPOTHESES!F50,0)</f>
        <v>194633786</v>
      </c>
      <c r="G73" s="20" t="n">
        <f aca="false">ROUND(HYPOTHESES!G57+G42+HYPOTHESES!G50,0)</f>
        <v>202711518</v>
      </c>
      <c r="H73" s="20" t="n">
        <f aca="false">ROUND(HYPOTHESES!H57+H42+HYPOTHESES!H50,0)</f>
        <v>212088342</v>
      </c>
    </row>
    <row r="74" customFormat="false" ht="15" hidden="false" customHeight="false" outlineLevel="0" collapsed="false">
      <c r="A74" s="12" t="s">
        <v>189</v>
      </c>
      <c r="B74" s="13"/>
      <c r="D74" s="20" t="n">
        <f aca="false">ROUND(D51,0)</f>
        <v>0</v>
      </c>
      <c r="E74" s="20" t="n">
        <f aca="false">ROUND(E51,0)</f>
        <v>0</v>
      </c>
      <c r="F74" s="20" t="n">
        <f aca="false">ROUND(F51,0)</f>
        <v>0</v>
      </c>
      <c r="G74" s="20" t="n">
        <f aca="false">ROUND(G51,0)</f>
        <v>0</v>
      </c>
      <c r="H74" s="20" t="n">
        <f aca="false">ROUND(H51,0)</f>
        <v>0</v>
      </c>
    </row>
    <row r="75" customFormat="false" ht="15" hidden="false" customHeight="false" outlineLevel="0" collapsed="false">
      <c r="A75" s="12" t="s">
        <v>190</v>
      </c>
      <c r="B75" s="13"/>
      <c r="D75" s="20" t="n">
        <f aca="false">ROUND(D47,0)</f>
        <v>54395682</v>
      </c>
      <c r="E75" s="20" t="n">
        <f aca="false">ROUND(E47,0)</f>
        <v>0</v>
      </c>
      <c r="F75" s="20" t="n">
        <f aca="false">ROUND(F47,0)</f>
        <v>0</v>
      </c>
      <c r="G75" s="20" t="n">
        <f aca="false">ROUND(G47,0)</f>
        <v>0</v>
      </c>
      <c r="H75" s="20" t="n">
        <f aca="false">ROUND(H47,0)</f>
        <v>0</v>
      </c>
    </row>
    <row r="76" customFormat="false" ht="15" hidden="false" customHeight="false" outlineLevel="0" collapsed="false">
      <c r="A76" s="4" t="s">
        <v>191</v>
      </c>
      <c r="B76" s="13"/>
      <c r="D76" s="21" t="n">
        <f aca="false">ROUND(SUM(D73:D75),0)</f>
        <v>224816006</v>
      </c>
      <c r="E76" s="21" t="n">
        <f aca="false">ROUND(SUM(E73:E75),0)</f>
        <v>185776151</v>
      </c>
      <c r="F76" s="21" t="n">
        <f aca="false">ROUND(SUM(F73:F75),0)</f>
        <v>194633786</v>
      </c>
      <c r="G76" s="21" t="n">
        <f aca="false">ROUND(SUM(G73:G75),0)</f>
        <v>202711518</v>
      </c>
      <c r="H76" s="21" t="n">
        <f aca="false">ROUND(SUM(H73:H75),0)</f>
        <v>212088342</v>
      </c>
    </row>
    <row r="77" customFormat="false" ht="15" hidden="false" customHeight="false" outlineLevel="0" collapsed="false">
      <c r="A77" s="4" t="s">
        <v>192</v>
      </c>
      <c r="B77" s="13"/>
      <c r="D77" s="21" t="n">
        <f aca="false">ROUND(D76-D72,0)</f>
        <v>103618578</v>
      </c>
      <c r="E77" s="21" t="n">
        <f aca="false">ROUND(E76-E72,0)</f>
        <v>150776151</v>
      </c>
      <c r="F77" s="21" t="n">
        <f aca="false">ROUND(F76-F72,0)</f>
        <v>159633786</v>
      </c>
      <c r="G77" s="21" t="n">
        <f aca="false">ROUND(G76-G72,0)</f>
        <v>127711518</v>
      </c>
      <c r="H77" s="21" t="n">
        <f aca="false">ROUND(H76-H72,0)</f>
        <v>177088342</v>
      </c>
      <c r="I77" s="7" t="s">
        <v>193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70"/>
  </cols>
  <sheetData>
    <row r="1" customFormat="false" ht="24" hidden="false" customHeight="true" outlineLevel="0" collapsed="false">
      <c r="A1" s="1" t="s">
        <v>194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195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L3" s="28" t="s">
        <v>200</v>
      </c>
      <c r="M3" s="28"/>
    </row>
    <row r="4" customFormat="false" ht="15" hidden="false" customHeight="fals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205</v>
      </c>
      <c r="F4" s="8" t="s">
        <v>204</v>
      </c>
      <c r="G4" s="8" t="s">
        <v>205</v>
      </c>
      <c r="H4" s="8" t="s">
        <v>204</v>
      </c>
      <c r="I4" s="8" t="s">
        <v>205</v>
      </c>
      <c r="J4" s="8" t="s">
        <v>206</v>
      </c>
      <c r="L4" s="29" t="s">
        <v>207</v>
      </c>
    </row>
    <row r="5" customFormat="false" ht="15" hidden="false" customHeight="false" outlineLevel="0" collapsed="false">
      <c r="A5" s="30" t="n">
        <v>521101</v>
      </c>
      <c r="B5" s="12" t="s">
        <v>208</v>
      </c>
      <c r="C5" s="13" t="s">
        <v>209</v>
      </c>
      <c r="D5" s="24" t="n">
        <v>372469349</v>
      </c>
      <c r="E5" s="24" t="n">
        <v>0</v>
      </c>
      <c r="F5" s="24" t="n">
        <v>1088091779</v>
      </c>
      <c r="G5" s="24" t="n">
        <v>1337972863</v>
      </c>
      <c r="H5" s="24" t="n">
        <v>122588265</v>
      </c>
      <c r="I5" s="24" t="n">
        <v>0</v>
      </c>
      <c r="J5" s="20" t="n">
        <f aca="false">(D5-E5)+(F5-G5)-(H5-I5)</f>
        <v>0</v>
      </c>
      <c r="L5" s="29" t="s">
        <v>210</v>
      </c>
    </row>
    <row r="6" customFormat="false" ht="15" hidden="false" customHeight="false" outlineLevel="0" collapsed="false">
      <c r="A6" s="30" t="n">
        <v>571101</v>
      </c>
      <c r="B6" s="12" t="s">
        <v>211</v>
      </c>
      <c r="C6" s="13" t="s">
        <v>212</v>
      </c>
      <c r="D6" s="24" t="n">
        <v>4501980</v>
      </c>
      <c r="E6" s="24" t="n">
        <v>0</v>
      </c>
      <c r="F6" s="24" t="n">
        <v>6589458</v>
      </c>
      <c r="G6" s="24" t="n">
        <v>5545745</v>
      </c>
      <c r="H6" s="24" t="n">
        <v>5545693</v>
      </c>
      <c r="I6" s="24" t="n">
        <v>0</v>
      </c>
      <c r="J6" s="20" t="n">
        <f aca="false">(D6-E6)+(F6-G6)-(H6-I6)</f>
        <v>0</v>
      </c>
      <c r="L6" s="29" t="s">
        <v>213</v>
      </c>
    </row>
    <row r="7" customFormat="false" ht="15" hidden="false" customHeight="false" outlineLevel="0" collapsed="false">
      <c r="A7" s="30" t="n">
        <v>585000</v>
      </c>
      <c r="B7" s="12" t="s">
        <v>214</v>
      </c>
      <c r="C7" s="13" t="s">
        <v>212</v>
      </c>
      <c r="D7" s="24" t="n">
        <v>0</v>
      </c>
      <c r="E7" s="24" t="n">
        <v>0</v>
      </c>
      <c r="F7" s="24" t="n">
        <v>0</v>
      </c>
      <c r="G7" s="24" t="n">
        <v>0</v>
      </c>
      <c r="H7" s="24" t="n">
        <v>0</v>
      </c>
      <c r="I7" s="24" t="n">
        <v>0</v>
      </c>
      <c r="J7" s="20" t="n">
        <f aca="false">(D7-E7)+(F7-G7)-(H7-I7)</f>
        <v>0</v>
      </c>
      <c r="L7" s="29" t="s">
        <v>215</v>
      </c>
    </row>
    <row r="8" customFormat="false" ht="15" hidden="false" customHeight="false" outlineLevel="0" collapsed="false">
      <c r="A8" s="31"/>
      <c r="B8" s="32" t="s">
        <v>216</v>
      </c>
      <c r="C8" s="31"/>
      <c r="D8" s="33" t="n">
        <f aca="false">SUBTOTAL(109,T_BAL_2024[Ouverture Débit])</f>
        <v>931994061</v>
      </c>
      <c r="E8" s="33" t="n">
        <f aca="false">SUBTOTAL(109,T_BAL_2024[Ouverture Crédit])</f>
        <v>1308965390</v>
      </c>
      <c r="F8" s="33" t="n">
        <f aca="false">SUBTOTAL(109,T_BAL_2024[Mouvements Débit])</f>
        <v>3283813850</v>
      </c>
      <c r="G8" s="33" t="n">
        <f aca="false">SUBTOTAL(109,T_BAL_2024[Mouvements Crédit])</f>
        <v>3034976479</v>
      </c>
      <c r="H8" s="33" t="n">
        <f aca="false">SUBTOTAL(109,T_BAL_2024[Clôture Débit])</f>
        <v>2214266800</v>
      </c>
      <c r="I8" s="33" t="n">
        <f aca="false">SUBTOTAL(109,T_BAL_2024[Clôture Crédit])</f>
        <v>2342400758</v>
      </c>
      <c r="J8" s="33" t="n">
        <f aca="false">SUBTOTAL(109,T_BAL_2024[Contrôle])</f>
        <v>0</v>
      </c>
      <c r="L8" s="29" t="s">
        <v>217</v>
      </c>
    </row>
    <row r="9" customFormat="false" ht="15" hidden="false" customHeight="false" outlineLevel="0" collapsed="false">
      <c r="A9" s="34"/>
      <c r="B9" s="35" t="s">
        <v>218</v>
      </c>
      <c r="C9" s="34"/>
      <c r="D9" s="36" t="n">
        <f aca="false">SUM(D5:D8)</f>
        <v>1308965390</v>
      </c>
      <c r="E9" s="36" t="n">
        <f aca="false">SUM(E5:E8)</f>
        <v>1308965390</v>
      </c>
      <c r="F9" s="36" t="n">
        <f aca="false">SUM(F5:F8)</f>
        <v>4378495087</v>
      </c>
      <c r="G9" s="36" t="n">
        <f aca="false">SUM(G5:G8)</f>
        <v>4378495087</v>
      </c>
      <c r="H9" s="36" t="n">
        <f aca="false">SUM(H5:H8)</f>
        <v>2342400758</v>
      </c>
      <c r="I9" s="36" t="n">
        <f aca="false">SUM(I5:I8)</f>
        <v>2342400758</v>
      </c>
      <c r="J9" s="36" t="n">
        <f aca="false">SUM(J5:J8)</f>
        <v>0</v>
      </c>
      <c r="L9" s="29" t="s">
        <v>219</v>
      </c>
    </row>
    <row r="10" customFormat="false" ht="15" hidden="false" customHeight="false" outlineLevel="0" collapsed="false">
      <c r="B10" s="4" t="s">
        <v>220</v>
      </c>
      <c r="D10" s="21" t="n">
        <f aca="false">D9-E9</f>
        <v>0</v>
      </c>
      <c r="F10" s="21" t="n">
        <f aca="false">F9-G9</f>
        <v>0</v>
      </c>
      <c r="H10" s="21" t="n">
        <f aca="false">H9-I9</f>
        <v>0</v>
      </c>
      <c r="L10" s="29" t="s">
        <v>221</v>
      </c>
    </row>
    <row r="11" customFormat="false" ht="15" hidden="false" customHeight="false" outlineLevel="0" collapsed="false">
      <c r="L11" s="29" t="s">
        <v>222</v>
      </c>
    </row>
    <row r="14" customFormat="false" ht="15" hidden="false" customHeight="false" outlineLevel="0" collapsed="false">
      <c r="A14" s="25"/>
      <c r="B14" s="27" t="s">
        <v>223</v>
      </c>
      <c r="C14" s="25"/>
      <c r="D14" s="26" t="s">
        <v>196</v>
      </c>
      <c r="E14" s="26"/>
      <c r="F14" s="26" t="s">
        <v>197</v>
      </c>
      <c r="G14" s="26"/>
      <c r="H14" s="26" t="s">
        <v>198</v>
      </c>
      <c r="I14" s="26"/>
      <c r="J14" s="27" t="s">
        <v>199</v>
      </c>
      <c r="L14" s="27" t="s">
        <v>224</v>
      </c>
      <c r="M14" s="27" t="s">
        <v>225</v>
      </c>
    </row>
    <row r="15" customFormat="false" ht="15" hidden="false" customHeight="false" outlineLevel="0" collapsed="false">
      <c r="A15" s="8" t="s">
        <v>201</v>
      </c>
      <c r="B15" s="8" t="s">
        <v>202</v>
      </c>
      <c r="C15" s="8" t="s">
        <v>203</v>
      </c>
      <c r="D15" s="8" t="s">
        <v>226</v>
      </c>
      <c r="E15" s="8" t="s">
        <v>227</v>
      </c>
      <c r="F15" s="8" t="s">
        <v>228</v>
      </c>
      <c r="G15" s="8" t="s">
        <v>229</v>
      </c>
      <c r="H15" s="8" t="s">
        <v>230</v>
      </c>
      <c r="I15" s="8" t="s">
        <v>231</v>
      </c>
      <c r="J15" s="8" t="s">
        <v>199</v>
      </c>
      <c r="L15" s="37" t="s">
        <v>232</v>
      </c>
      <c r="M15" s="29" t="s">
        <v>233</v>
      </c>
    </row>
    <row r="16" customFormat="false" ht="15" hidden="false" customHeight="false" outlineLevel="0" collapsed="false">
      <c r="A16" s="38" t="n">
        <v>101000</v>
      </c>
      <c r="B16" s="39" t="s">
        <v>234</v>
      </c>
      <c r="C16" s="40" t="s">
        <v>235</v>
      </c>
      <c r="D16" s="41" t="n">
        <v>0</v>
      </c>
      <c r="E16" s="41" t="n">
        <v>10000000</v>
      </c>
      <c r="F16" s="41" t="n">
        <v>0</v>
      </c>
      <c r="G16" s="41" t="n">
        <v>0</v>
      </c>
      <c r="H16" s="41" t="n">
        <v>0</v>
      </c>
      <c r="I16" s="41" t="n">
        <v>10000000</v>
      </c>
      <c r="J16" s="42" t="n">
        <f aca="false">(D16-E16)+(F16-G16)-(H16-I16)</f>
        <v>0</v>
      </c>
      <c r="L16" s="37" t="s">
        <v>236</v>
      </c>
      <c r="M16" s="29" t="s">
        <v>237</v>
      </c>
    </row>
    <row r="17" customFormat="false" ht="15" hidden="false" customHeight="false" outlineLevel="0" collapsed="false">
      <c r="A17" s="30" t="n">
        <v>111000</v>
      </c>
      <c r="B17" s="12" t="s">
        <v>238</v>
      </c>
      <c r="C17" s="13" t="s">
        <v>239</v>
      </c>
      <c r="D17" s="24" t="n">
        <v>0</v>
      </c>
      <c r="E17" s="24" t="n">
        <v>0</v>
      </c>
      <c r="F17" s="24" t="n">
        <v>0</v>
      </c>
      <c r="G17" s="24" t="n">
        <v>0</v>
      </c>
      <c r="H17" s="24" t="n">
        <v>0</v>
      </c>
      <c r="I17" s="24" t="n">
        <v>0</v>
      </c>
      <c r="J17" s="20" t="n">
        <f aca="false">(D17-E17)+(F17-G17)-(H17-I17)</f>
        <v>0</v>
      </c>
      <c r="L17" s="37" t="s">
        <v>240</v>
      </c>
      <c r="M17" s="29" t="s">
        <v>241</v>
      </c>
    </row>
    <row r="18" customFormat="false" ht="15" hidden="false" customHeight="false" outlineLevel="0" collapsed="false">
      <c r="A18" s="30" t="n">
        <v>121000</v>
      </c>
      <c r="B18" s="12" t="s">
        <v>242</v>
      </c>
      <c r="C18" s="13" t="s">
        <v>243</v>
      </c>
      <c r="D18" s="24" t="n">
        <v>0</v>
      </c>
      <c r="E18" s="24" t="n">
        <v>654621364</v>
      </c>
      <c r="F18" s="24" t="n">
        <v>0</v>
      </c>
      <c r="G18" s="24" t="n">
        <v>119178487</v>
      </c>
      <c r="H18" s="24" t="n">
        <v>0</v>
      </c>
      <c r="I18" s="24" t="n">
        <v>773799851</v>
      </c>
      <c r="J18" s="20" t="n">
        <f aca="false">(D18-E18)+(F18-G18)-(H18-I18)</f>
        <v>0</v>
      </c>
      <c r="L18" s="37" t="s">
        <v>244</v>
      </c>
      <c r="M18" s="29" t="s">
        <v>245</v>
      </c>
    </row>
    <row r="19" customFormat="false" ht="15" hidden="false" customHeight="false" outlineLevel="0" collapsed="false">
      <c r="A19" s="30" t="n">
        <v>130100</v>
      </c>
      <c r="B19" s="12" t="s">
        <v>246</v>
      </c>
      <c r="C19" s="13" t="s">
        <v>247</v>
      </c>
      <c r="D19" s="24" t="n">
        <v>0</v>
      </c>
      <c r="E19" s="24" t="n">
        <v>119178487</v>
      </c>
      <c r="F19" s="24" t="n">
        <v>119178487</v>
      </c>
      <c r="G19" s="24" t="n">
        <v>0</v>
      </c>
      <c r="H19" s="24" t="n">
        <v>0</v>
      </c>
      <c r="I19" s="24" t="n">
        <v>0</v>
      </c>
      <c r="J19" s="20" t="n">
        <f aca="false">(D19-E19)+(F19-G19)-(H19-I19)</f>
        <v>0</v>
      </c>
      <c r="L19" s="37" t="s">
        <v>248</v>
      </c>
      <c r="M19" s="29" t="s">
        <v>249</v>
      </c>
    </row>
    <row r="20" customFormat="false" ht="15" hidden="false" customHeight="false" outlineLevel="0" collapsed="false">
      <c r="A20" s="30" t="n">
        <v>162002</v>
      </c>
      <c r="B20" s="12" t="s">
        <v>250</v>
      </c>
      <c r="C20" s="13" t="s">
        <v>172</v>
      </c>
      <c r="D20" s="24" t="n">
        <v>0</v>
      </c>
      <c r="E20" s="24" t="n">
        <v>0</v>
      </c>
      <c r="F20" s="24" t="n">
        <v>351341168</v>
      </c>
      <c r="G20" s="24" t="n">
        <v>391000000</v>
      </c>
      <c r="H20" s="24" t="n">
        <v>0</v>
      </c>
      <c r="I20" s="24" t="n">
        <v>39658832</v>
      </c>
      <c r="J20" s="20" t="n">
        <f aca="false">(D20-E20)+(F20-G20)-(H20-I20)</f>
        <v>0</v>
      </c>
      <c r="L20" s="37" t="s">
        <v>251</v>
      </c>
      <c r="M20" s="29" t="s">
        <v>252</v>
      </c>
    </row>
    <row r="21" customFormat="false" ht="15" hidden="false" customHeight="false" outlineLevel="0" collapsed="false">
      <c r="A21" s="30" t="n">
        <v>173060</v>
      </c>
      <c r="B21" s="12" t="s">
        <v>253</v>
      </c>
      <c r="C21" s="13" t="s">
        <v>175</v>
      </c>
      <c r="D21" s="24" t="n">
        <v>0</v>
      </c>
      <c r="E21" s="24" t="n">
        <v>0</v>
      </c>
      <c r="F21" s="24" t="n">
        <v>18000000</v>
      </c>
      <c r="G21" s="24" t="n">
        <v>28619694</v>
      </c>
      <c r="H21" s="24" t="n">
        <v>0</v>
      </c>
      <c r="I21" s="24" t="n">
        <v>10619694</v>
      </c>
      <c r="J21" s="20" t="n">
        <f aca="false">(D21-E21)+(F21-G21)-(H21-I21)</f>
        <v>0</v>
      </c>
      <c r="L21" s="37" t="s">
        <v>254</v>
      </c>
      <c r="M21" s="29" t="s">
        <v>255</v>
      </c>
    </row>
    <row r="22" customFormat="false" ht="15" hidden="false" customHeight="false" outlineLevel="0" collapsed="false">
      <c r="A22" s="30" t="n">
        <v>196100</v>
      </c>
      <c r="B22" s="12" t="s">
        <v>256</v>
      </c>
      <c r="C22" s="13" t="s">
        <v>257</v>
      </c>
      <c r="D22" s="24" t="n">
        <v>0</v>
      </c>
      <c r="E22" s="24" t="n">
        <v>15214600</v>
      </c>
      <c r="F22" s="24" t="n">
        <v>0</v>
      </c>
      <c r="G22" s="24" t="n">
        <v>6059296</v>
      </c>
      <c r="H22" s="24" t="n">
        <v>0</v>
      </c>
      <c r="I22" s="24" t="n">
        <v>21273896</v>
      </c>
      <c r="J22" s="20" t="n">
        <f aca="false">(D22-E22)+(F22-G22)-(H22-I22)</f>
        <v>0</v>
      </c>
      <c r="L22" s="37" t="s">
        <v>258</v>
      </c>
      <c r="M22" s="29" t="s">
        <v>259</v>
      </c>
    </row>
    <row r="23" customFormat="false" ht="15" hidden="false" customHeight="false" outlineLevel="0" collapsed="false">
      <c r="A23" s="38" t="n">
        <v>234100</v>
      </c>
      <c r="B23" s="39" t="s">
        <v>260</v>
      </c>
      <c r="C23" s="40" t="s">
        <v>261</v>
      </c>
      <c r="D23" s="41" t="n">
        <v>103601492</v>
      </c>
      <c r="E23" s="41" t="n">
        <v>0</v>
      </c>
      <c r="F23" s="41" t="n">
        <v>0</v>
      </c>
      <c r="G23" s="41" t="n">
        <v>0</v>
      </c>
      <c r="H23" s="41" t="n">
        <v>103601492</v>
      </c>
      <c r="I23" s="41" t="n">
        <v>0</v>
      </c>
      <c r="J23" s="42" t="n">
        <f aca="false">(D23-E23)+(F23-G23)-(H23-I23)</f>
        <v>0</v>
      </c>
      <c r="L23" s="37" t="s">
        <v>262</v>
      </c>
      <c r="M23" s="29" t="s">
        <v>263</v>
      </c>
    </row>
    <row r="24" customFormat="false" ht="15" hidden="false" customHeight="false" outlineLevel="0" collapsed="false">
      <c r="A24" s="30" t="n">
        <v>241100</v>
      </c>
      <c r="B24" s="12" t="s">
        <v>264</v>
      </c>
      <c r="C24" s="13" t="s">
        <v>265</v>
      </c>
      <c r="D24" s="24" t="n">
        <v>19316887</v>
      </c>
      <c r="E24" s="24" t="n">
        <v>0</v>
      </c>
      <c r="F24" s="24" t="n">
        <v>294528381</v>
      </c>
      <c r="G24" s="24" t="n">
        <v>0</v>
      </c>
      <c r="H24" s="24" t="n">
        <v>313845268</v>
      </c>
      <c r="I24" s="24" t="n">
        <v>0</v>
      </c>
      <c r="J24" s="20" t="n">
        <f aca="false">(D24-E24)+(F24-G24)-(H24-I24)</f>
        <v>0</v>
      </c>
    </row>
    <row r="25" customFormat="false" ht="15" hidden="false" customHeight="false" outlineLevel="0" collapsed="false">
      <c r="A25" s="30" t="n">
        <v>244100</v>
      </c>
      <c r="B25" s="12" t="s">
        <v>266</v>
      </c>
      <c r="C25" s="13" t="s">
        <v>265</v>
      </c>
      <c r="D25" s="24" t="n">
        <v>2050000</v>
      </c>
      <c r="E25" s="24" t="n">
        <v>0</v>
      </c>
      <c r="F25" s="24" t="n">
        <v>7256956</v>
      </c>
      <c r="G25" s="24" t="n">
        <v>0</v>
      </c>
      <c r="H25" s="24" t="n">
        <v>9306956</v>
      </c>
      <c r="I25" s="24" t="n"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0" t="n">
        <v>244200</v>
      </c>
      <c r="B26" s="12" t="s">
        <v>267</v>
      </c>
      <c r="C26" s="13" t="s">
        <v>265</v>
      </c>
      <c r="D26" s="24" t="n">
        <v>5723474</v>
      </c>
      <c r="E26" s="24" t="n">
        <v>0</v>
      </c>
      <c r="F26" s="24" t="n">
        <v>7256985</v>
      </c>
      <c r="G26" s="24" t="n">
        <v>0</v>
      </c>
      <c r="H26" s="24" t="n">
        <v>12980459</v>
      </c>
      <c r="I26" s="24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0" t="n">
        <v>245100</v>
      </c>
      <c r="B27" s="12" t="s">
        <v>268</v>
      </c>
      <c r="C27" s="13" t="s">
        <v>269</v>
      </c>
      <c r="D27" s="24" t="n">
        <v>352148438</v>
      </c>
      <c r="E27" s="24" t="n">
        <v>0</v>
      </c>
      <c r="F27" s="24" t="n">
        <v>55896547</v>
      </c>
      <c r="G27" s="24" t="n">
        <v>0</v>
      </c>
      <c r="H27" s="24" t="n">
        <v>408044985</v>
      </c>
      <c r="I27" s="24" t="n">
        <v>0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0" t="n">
        <v>245600</v>
      </c>
      <c r="B28" s="12" t="s">
        <v>270</v>
      </c>
      <c r="C28" s="13" t="s">
        <v>269</v>
      </c>
      <c r="D28" s="24" t="n">
        <v>0</v>
      </c>
      <c r="E28" s="24" t="n">
        <v>0</v>
      </c>
      <c r="F28" s="24" t="n">
        <v>28619694</v>
      </c>
      <c r="G28" s="24" t="n">
        <v>0</v>
      </c>
      <c r="H28" s="24" t="n">
        <v>28619694</v>
      </c>
      <c r="I28" s="24" t="n">
        <v>0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0" t="n">
        <v>271800</v>
      </c>
      <c r="B29" s="12" t="s">
        <v>271</v>
      </c>
      <c r="C29" s="13" t="s">
        <v>272</v>
      </c>
      <c r="D29" s="24" t="n">
        <v>0</v>
      </c>
      <c r="E29" s="24" t="n">
        <v>0</v>
      </c>
      <c r="F29" s="24" t="n">
        <v>25000000</v>
      </c>
      <c r="G29" s="24" t="n">
        <v>0</v>
      </c>
      <c r="H29" s="24" t="n">
        <v>25000000</v>
      </c>
      <c r="I29" s="24" t="n">
        <v>0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0" t="n">
        <v>275100</v>
      </c>
      <c r="B30" s="12" t="s">
        <v>273</v>
      </c>
      <c r="C30" s="13" t="s">
        <v>272</v>
      </c>
      <c r="D30" s="24" t="n">
        <v>10150000</v>
      </c>
      <c r="E30" s="24" t="n">
        <v>0</v>
      </c>
      <c r="F30" s="24" t="n">
        <v>221270138</v>
      </c>
      <c r="G30" s="24" t="n">
        <v>0</v>
      </c>
      <c r="H30" s="24" t="n">
        <v>231420138</v>
      </c>
      <c r="I30" s="24" t="n">
        <v>0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0" t="n">
        <v>283400</v>
      </c>
      <c r="B31" s="12" t="s">
        <v>274</v>
      </c>
      <c r="C31" s="13" t="s">
        <v>261</v>
      </c>
      <c r="D31" s="24" t="n">
        <v>0</v>
      </c>
      <c r="E31" s="24" t="n">
        <v>22653631</v>
      </c>
      <c r="F31" s="24" t="n">
        <v>0</v>
      </c>
      <c r="G31" s="24" t="n">
        <v>19282845</v>
      </c>
      <c r="H31" s="24" t="n">
        <v>0</v>
      </c>
      <c r="I31" s="24" t="n">
        <v>41936476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0" t="n">
        <v>284100</v>
      </c>
      <c r="B32" s="12" t="s">
        <v>275</v>
      </c>
      <c r="C32" s="13" t="s">
        <v>265</v>
      </c>
      <c r="D32" s="24" t="n">
        <v>0</v>
      </c>
      <c r="E32" s="24" t="n">
        <v>11128832</v>
      </c>
      <c r="F32" s="24" t="n">
        <v>0</v>
      </c>
      <c r="G32" s="24" t="n">
        <v>44854932</v>
      </c>
      <c r="H32" s="24" t="n">
        <v>0</v>
      </c>
      <c r="I32" s="24" t="n">
        <v>55983764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0" t="n">
        <v>284400</v>
      </c>
      <c r="B33" s="12" t="s">
        <v>276</v>
      </c>
      <c r="C33" s="13" t="s">
        <v>265</v>
      </c>
      <c r="D33" s="24" t="n">
        <v>0</v>
      </c>
      <c r="E33" s="24" t="n">
        <v>7773474</v>
      </c>
      <c r="F33" s="24" t="n">
        <v>0</v>
      </c>
      <c r="G33" s="24" t="n">
        <v>4934884</v>
      </c>
      <c r="H33" s="24" t="n">
        <v>0</v>
      </c>
      <c r="I33" s="24" t="n">
        <v>12708358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0" t="n">
        <v>284500</v>
      </c>
      <c r="B34" s="12" t="s">
        <v>277</v>
      </c>
      <c r="C34" s="13" t="s">
        <v>269</v>
      </c>
      <c r="D34" s="24" t="n">
        <v>0</v>
      </c>
      <c r="E34" s="24" t="n">
        <v>352148438</v>
      </c>
      <c r="F34" s="24" t="n">
        <v>0</v>
      </c>
      <c r="G34" s="24" t="n">
        <v>10760638</v>
      </c>
      <c r="H34" s="24" t="n">
        <v>0</v>
      </c>
      <c r="I34" s="24" t="n">
        <v>362909076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8" t="n">
        <v>401100</v>
      </c>
      <c r="B35" s="39" t="s">
        <v>278</v>
      </c>
      <c r="C35" s="40" t="s">
        <v>279</v>
      </c>
      <c r="D35" s="41" t="n">
        <v>0</v>
      </c>
      <c r="E35" s="41" t="n">
        <v>75819203</v>
      </c>
      <c r="F35" s="41" t="n">
        <v>389098615</v>
      </c>
      <c r="G35" s="41" t="n">
        <v>386227278</v>
      </c>
      <c r="H35" s="41" t="n">
        <v>0</v>
      </c>
      <c r="I35" s="41" t="n">
        <v>72947866</v>
      </c>
      <c r="J35" s="42" t="n">
        <f aca="false">(D35-E35)+(F35-G35)-(H35-I35)</f>
        <v>0</v>
      </c>
    </row>
    <row r="36" customFormat="false" ht="15" hidden="false" customHeight="false" outlineLevel="0" collapsed="false">
      <c r="A36" s="30" t="n">
        <v>409100</v>
      </c>
      <c r="B36" s="12" t="s">
        <v>280</v>
      </c>
      <c r="C36" s="13" t="s">
        <v>281</v>
      </c>
      <c r="D36" s="24" t="n">
        <v>67361582</v>
      </c>
      <c r="E36" s="24" t="n">
        <v>0</v>
      </c>
      <c r="F36" s="24" t="n">
        <v>0</v>
      </c>
      <c r="G36" s="24" t="n">
        <v>67361582</v>
      </c>
      <c r="H36" s="24" t="n">
        <v>0</v>
      </c>
      <c r="I36" s="24" t="n">
        <v>0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0" t="n">
        <v>411100</v>
      </c>
      <c r="B37" s="12" t="s">
        <v>282</v>
      </c>
      <c r="C37" s="13" t="s">
        <v>283</v>
      </c>
      <c r="D37" s="24" t="n">
        <v>371642188</v>
      </c>
      <c r="E37" s="24" t="n">
        <v>0</v>
      </c>
      <c r="F37" s="24" t="n">
        <v>753172393</v>
      </c>
      <c r="G37" s="24" t="n">
        <v>672543185</v>
      </c>
      <c r="H37" s="24" t="n">
        <v>452271396</v>
      </c>
      <c r="I37" s="24" t="n">
        <v>0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0" t="n">
        <v>422000</v>
      </c>
      <c r="B38" s="12" t="s">
        <v>284</v>
      </c>
      <c r="C38" s="13" t="s">
        <v>285</v>
      </c>
      <c r="D38" s="24" t="n">
        <v>0</v>
      </c>
      <c r="E38" s="24" t="n">
        <v>0</v>
      </c>
      <c r="F38" s="24" t="n">
        <v>70124589</v>
      </c>
      <c r="G38" s="24" t="n">
        <v>81272138</v>
      </c>
      <c r="H38" s="24" t="n">
        <v>0</v>
      </c>
      <c r="I38" s="24" t="n">
        <v>11147549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0" t="n">
        <v>431301</v>
      </c>
      <c r="B39" s="12" t="s">
        <v>286</v>
      </c>
      <c r="C39" s="13" t="s">
        <v>285</v>
      </c>
      <c r="D39" s="24" t="n">
        <v>0</v>
      </c>
      <c r="E39" s="24" t="n">
        <v>0</v>
      </c>
      <c r="F39" s="24" t="n">
        <v>2145896</v>
      </c>
      <c r="G39" s="24" t="n">
        <v>7005273</v>
      </c>
      <c r="H39" s="24" t="n">
        <v>0</v>
      </c>
      <c r="I39" s="24" t="n">
        <v>4859377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0" t="n">
        <v>431302</v>
      </c>
      <c r="B40" s="12" t="s">
        <v>287</v>
      </c>
      <c r="C40" s="13" t="s">
        <v>285</v>
      </c>
      <c r="D40" s="24" t="n">
        <v>0</v>
      </c>
      <c r="E40" s="24" t="n">
        <v>0</v>
      </c>
      <c r="F40" s="24" t="n">
        <v>10256985</v>
      </c>
      <c r="G40" s="24" t="n">
        <v>11459390</v>
      </c>
      <c r="H40" s="24" t="n">
        <v>0</v>
      </c>
      <c r="I40" s="24" t="n">
        <v>1202405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0" t="n">
        <v>431802</v>
      </c>
      <c r="B41" s="12" t="s">
        <v>288</v>
      </c>
      <c r="C41" s="13" t="s">
        <v>285</v>
      </c>
      <c r="D41" s="24" t="n">
        <v>0</v>
      </c>
      <c r="E41" s="24" t="n">
        <v>0</v>
      </c>
      <c r="F41" s="24" t="n">
        <v>225682</v>
      </c>
      <c r="G41" s="24" t="n">
        <v>387620</v>
      </c>
      <c r="H41" s="24" t="n">
        <v>0</v>
      </c>
      <c r="I41" s="24" t="n">
        <v>161938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0" t="n">
        <v>433300</v>
      </c>
      <c r="B42" s="12" t="s">
        <v>289</v>
      </c>
      <c r="C42" s="13" t="s">
        <v>285</v>
      </c>
      <c r="D42" s="24" t="n">
        <v>0</v>
      </c>
      <c r="E42" s="24" t="n">
        <v>182715</v>
      </c>
      <c r="F42" s="24" t="n">
        <v>182715</v>
      </c>
      <c r="G42" s="24" t="n">
        <v>0</v>
      </c>
      <c r="H42" s="24" t="n">
        <v>0</v>
      </c>
      <c r="I42" s="24" t="n"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0" t="n">
        <v>441000</v>
      </c>
      <c r="B43" s="12" t="s">
        <v>290</v>
      </c>
      <c r="C43" s="13" t="s">
        <v>285</v>
      </c>
      <c r="D43" s="24" t="n">
        <v>0</v>
      </c>
      <c r="E43" s="24" t="n">
        <v>39726162</v>
      </c>
      <c r="F43" s="24" t="n">
        <v>39726162</v>
      </c>
      <c r="G43" s="24" t="n">
        <v>24232959</v>
      </c>
      <c r="H43" s="24" t="n">
        <v>0</v>
      </c>
      <c r="I43" s="24" t="n">
        <v>24232959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0" t="n">
        <v>442800</v>
      </c>
      <c r="B44" s="12" t="s">
        <v>291</v>
      </c>
      <c r="C44" s="13" t="s">
        <v>285</v>
      </c>
      <c r="D44" s="24" t="n">
        <v>0</v>
      </c>
      <c r="E44" s="24" t="n">
        <v>198286</v>
      </c>
      <c r="F44" s="24" t="n">
        <v>198286</v>
      </c>
      <c r="G44" s="24" t="n">
        <v>725658</v>
      </c>
      <c r="H44" s="24" t="n">
        <v>0</v>
      </c>
      <c r="I44" s="24" t="n">
        <v>725658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30" t="n">
        <v>442801</v>
      </c>
      <c r="B45" s="12" t="s">
        <v>292</v>
      </c>
      <c r="C45" s="13" t="s">
        <v>285</v>
      </c>
      <c r="D45" s="24" t="n">
        <v>0</v>
      </c>
      <c r="E45" s="24" t="n">
        <v>0</v>
      </c>
      <c r="F45" s="24" t="n">
        <v>0</v>
      </c>
      <c r="G45" s="24" t="n">
        <v>104066</v>
      </c>
      <c r="H45" s="24" t="n">
        <v>0</v>
      </c>
      <c r="I45" s="24" t="n">
        <v>104066</v>
      </c>
      <c r="J45" s="20" t="n">
        <f aca="false">(D45-E45)+(F45-G45)-(H45-I45)</f>
        <v>0</v>
      </c>
    </row>
    <row r="46" customFormat="false" ht="15" hidden="false" customHeight="false" outlineLevel="0" collapsed="false">
      <c r="A46" s="30" t="n">
        <v>442802</v>
      </c>
      <c r="B46" s="12" t="s">
        <v>293</v>
      </c>
      <c r="C46" s="13" t="s">
        <v>285</v>
      </c>
      <c r="D46" s="24" t="n">
        <v>0</v>
      </c>
      <c r="E46" s="24" t="n">
        <v>0</v>
      </c>
      <c r="F46" s="24" t="n">
        <v>0</v>
      </c>
      <c r="G46" s="24" t="n">
        <v>156106</v>
      </c>
      <c r="H46" s="24" t="n">
        <v>0</v>
      </c>
      <c r="I46" s="24" t="n">
        <v>156106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0" t="n">
        <v>442803</v>
      </c>
      <c r="B47" s="12" t="s">
        <v>294</v>
      </c>
      <c r="C47" s="13" t="s">
        <v>285</v>
      </c>
      <c r="D47" s="24" t="n">
        <v>0</v>
      </c>
      <c r="E47" s="24" t="n">
        <v>0</v>
      </c>
      <c r="F47" s="24" t="n">
        <v>0</v>
      </c>
      <c r="G47" s="24" t="n">
        <v>156105</v>
      </c>
      <c r="H47" s="24" t="n">
        <v>0</v>
      </c>
      <c r="I47" s="24" t="n">
        <v>156105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30" t="n">
        <v>442820</v>
      </c>
      <c r="B48" s="12" t="s">
        <v>295</v>
      </c>
      <c r="C48" s="13" t="s">
        <v>285</v>
      </c>
      <c r="D48" s="24" t="n">
        <v>0</v>
      </c>
      <c r="E48" s="24" t="n">
        <v>0</v>
      </c>
      <c r="F48" s="24" t="n">
        <v>458965</v>
      </c>
      <c r="G48" s="24" t="n">
        <v>826575</v>
      </c>
      <c r="H48" s="24" t="n">
        <v>0</v>
      </c>
      <c r="I48" s="24" t="n">
        <v>367610</v>
      </c>
      <c r="J48" s="20" t="n">
        <f aca="false">(D48-E48)+(F48-G48)-(H48-I48)</f>
        <v>0</v>
      </c>
    </row>
    <row r="49" customFormat="false" ht="15" hidden="false" customHeight="false" outlineLevel="0" collapsed="false">
      <c r="A49" s="30" t="n">
        <v>442840</v>
      </c>
      <c r="B49" s="12" t="s">
        <v>296</v>
      </c>
      <c r="C49" s="13" t="s">
        <v>285</v>
      </c>
      <c r="D49" s="24" t="n">
        <v>0</v>
      </c>
      <c r="E49" s="24" t="n">
        <v>0</v>
      </c>
      <c r="F49" s="24" t="n">
        <v>4055133</v>
      </c>
      <c r="G49" s="24" t="n">
        <v>9055133</v>
      </c>
      <c r="H49" s="24" t="n">
        <v>0</v>
      </c>
      <c r="I49" s="24" t="n">
        <v>5000000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0" t="n">
        <v>443300</v>
      </c>
      <c r="B50" s="12" t="s">
        <v>297</v>
      </c>
      <c r="C50" s="13" t="s">
        <v>285</v>
      </c>
      <c r="D50" s="24" t="n">
        <v>0</v>
      </c>
      <c r="E50" s="24" t="n">
        <v>0</v>
      </c>
      <c r="F50" s="24" t="n">
        <v>0</v>
      </c>
      <c r="G50" s="24" t="n">
        <v>52145698</v>
      </c>
      <c r="H50" s="24" t="n">
        <v>0</v>
      </c>
      <c r="I50" s="24" t="n">
        <v>52145698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0" t="n">
        <v>446000</v>
      </c>
      <c r="B51" s="12" t="s">
        <v>298</v>
      </c>
      <c r="C51" s="13" t="s">
        <v>285</v>
      </c>
      <c r="D51" s="24" t="n">
        <v>0</v>
      </c>
      <c r="E51" s="24" t="n">
        <v>0</v>
      </c>
      <c r="F51" s="24" t="n">
        <v>11685</v>
      </c>
      <c r="G51" s="24" t="n">
        <v>211685</v>
      </c>
      <c r="H51" s="24" t="n">
        <v>0</v>
      </c>
      <c r="I51" s="24" t="n">
        <v>200000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0" t="n">
        <v>447201</v>
      </c>
      <c r="B52" s="12" t="s">
        <v>299</v>
      </c>
      <c r="C52" s="13" t="s">
        <v>285</v>
      </c>
      <c r="D52" s="24" t="n">
        <v>0</v>
      </c>
      <c r="E52" s="24" t="n">
        <v>320198</v>
      </c>
      <c r="F52" s="24" t="n">
        <v>4589654</v>
      </c>
      <c r="G52" s="24" t="n">
        <v>5901094</v>
      </c>
      <c r="H52" s="24" t="n">
        <v>0</v>
      </c>
      <c r="I52" s="24" t="n">
        <v>1631638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0" t="n">
        <v>462100</v>
      </c>
      <c r="B53" s="12" t="s">
        <v>300</v>
      </c>
      <c r="C53" s="13" t="s">
        <v>301</v>
      </c>
      <c r="D53" s="24" t="n">
        <v>0</v>
      </c>
      <c r="E53" s="24" t="n">
        <v>0</v>
      </c>
      <c r="F53" s="24" t="n">
        <v>20000000</v>
      </c>
      <c r="G53" s="24" t="n">
        <v>23700000</v>
      </c>
      <c r="H53" s="24" t="n">
        <v>0</v>
      </c>
      <c r="I53" s="24" t="n">
        <v>3700000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0" t="n">
        <v>471200</v>
      </c>
      <c r="B54" s="12" t="s">
        <v>302</v>
      </c>
      <c r="C54" s="13" t="s">
        <v>303</v>
      </c>
      <c r="D54" s="24" t="n">
        <v>0</v>
      </c>
      <c r="E54" s="24" t="n">
        <v>0</v>
      </c>
      <c r="F54" s="24" t="n">
        <v>0</v>
      </c>
      <c r="G54" s="24" t="n">
        <v>0</v>
      </c>
      <c r="H54" s="24" t="n">
        <v>0</v>
      </c>
      <c r="I54" s="24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0" t="n">
        <v>481200</v>
      </c>
      <c r="B55" s="12" t="s">
        <v>304</v>
      </c>
      <c r="C55" s="13" t="s">
        <v>305</v>
      </c>
      <c r="D55" s="24" t="n">
        <v>0</v>
      </c>
      <c r="E55" s="24" t="n">
        <v>0</v>
      </c>
      <c r="F55" s="24" t="n">
        <v>232042322</v>
      </c>
      <c r="G55" s="24" t="n">
        <v>364938869</v>
      </c>
      <c r="H55" s="24" t="n">
        <v>0</v>
      </c>
      <c r="I55" s="24" t="n">
        <v>132896547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8" t="n">
        <v>604300</v>
      </c>
      <c r="B56" s="39" t="s">
        <v>306</v>
      </c>
      <c r="C56" s="40" t="s">
        <v>307</v>
      </c>
      <c r="D56" s="41" t="n">
        <v>0</v>
      </c>
      <c r="E56" s="41" t="n">
        <v>0</v>
      </c>
      <c r="F56" s="41" t="n">
        <v>1250398</v>
      </c>
      <c r="G56" s="41" t="n">
        <v>0</v>
      </c>
      <c r="H56" s="41" t="n">
        <v>1250398</v>
      </c>
      <c r="I56" s="41" t="n">
        <v>0</v>
      </c>
      <c r="J56" s="42" t="n">
        <f aca="false">(D56-E56)+(F56-G56)-(H56-I56)</f>
        <v>0</v>
      </c>
    </row>
    <row r="57" customFormat="false" ht="15" hidden="false" customHeight="false" outlineLevel="0" collapsed="false">
      <c r="A57" s="30" t="n">
        <v>605100</v>
      </c>
      <c r="B57" s="12" t="s">
        <v>308</v>
      </c>
      <c r="C57" s="13" t="s">
        <v>307</v>
      </c>
      <c r="D57" s="24" t="n">
        <v>0</v>
      </c>
      <c r="E57" s="24" t="n">
        <v>0</v>
      </c>
      <c r="F57" s="24" t="n">
        <v>124576</v>
      </c>
      <c r="G57" s="24" t="n">
        <v>0</v>
      </c>
      <c r="H57" s="24" t="n">
        <v>124576</v>
      </c>
      <c r="I57" s="24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0" t="n">
        <v>605200</v>
      </c>
      <c r="B58" s="12" t="s">
        <v>309</v>
      </c>
      <c r="C58" s="13" t="s">
        <v>307</v>
      </c>
      <c r="D58" s="24" t="n">
        <v>0</v>
      </c>
      <c r="E58" s="24" t="n">
        <v>0</v>
      </c>
      <c r="F58" s="24" t="n">
        <v>39961389</v>
      </c>
      <c r="G58" s="24" t="n">
        <v>0</v>
      </c>
      <c r="H58" s="24" t="n">
        <v>39961389</v>
      </c>
      <c r="I58" s="24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0" t="n">
        <v>605300</v>
      </c>
      <c r="B59" s="12" t="s">
        <v>310</v>
      </c>
      <c r="C59" s="13" t="s">
        <v>307</v>
      </c>
      <c r="D59" s="24" t="n">
        <v>0</v>
      </c>
      <c r="E59" s="24" t="n">
        <v>0</v>
      </c>
      <c r="F59" s="24" t="n">
        <v>19839054</v>
      </c>
      <c r="G59" s="24" t="n">
        <v>0</v>
      </c>
      <c r="H59" s="24" t="n">
        <v>19839054</v>
      </c>
      <c r="I59" s="24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0" t="n">
        <v>605500</v>
      </c>
      <c r="B60" s="12" t="s">
        <v>311</v>
      </c>
      <c r="C60" s="13" t="s">
        <v>307</v>
      </c>
      <c r="D60" s="24" t="n">
        <v>0</v>
      </c>
      <c r="E60" s="24" t="n">
        <v>0</v>
      </c>
      <c r="F60" s="24" t="n">
        <v>12873612</v>
      </c>
      <c r="G60" s="24" t="n">
        <v>0</v>
      </c>
      <c r="H60" s="24" t="n">
        <v>12873612</v>
      </c>
      <c r="I60" s="24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0" t="n">
        <v>605600</v>
      </c>
      <c r="B61" s="12" t="s">
        <v>312</v>
      </c>
      <c r="C61" s="13" t="s">
        <v>307</v>
      </c>
      <c r="D61" s="24" t="n">
        <v>0</v>
      </c>
      <c r="E61" s="24" t="n">
        <v>0</v>
      </c>
      <c r="F61" s="24" t="n">
        <v>3691625</v>
      </c>
      <c r="G61" s="24" t="n">
        <v>0</v>
      </c>
      <c r="H61" s="24" t="n">
        <v>3691625</v>
      </c>
      <c r="I61" s="24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0" t="n">
        <v>605700</v>
      </c>
      <c r="B62" s="12" t="s">
        <v>313</v>
      </c>
      <c r="C62" s="13" t="s">
        <v>307</v>
      </c>
      <c r="D62" s="24" t="n">
        <v>0</v>
      </c>
      <c r="E62" s="24" t="n">
        <v>0</v>
      </c>
      <c r="F62" s="24" t="n">
        <v>80160324</v>
      </c>
      <c r="G62" s="24" t="n">
        <v>0</v>
      </c>
      <c r="H62" s="24" t="n">
        <v>80160324</v>
      </c>
      <c r="I62" s="24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0" t="n">
        <v>605800</v>
      </c>
      <c r="B63" s="12" t="s">
        <v>314</v>
      </c>
      <c r="C63" s="13" t="s">
        <v>307</v>
      </c>
      <c r="D63" s="24" t="n">
        <v>0</v>
      </c>
      <c r="E63" s="24" t="n">
        <v>0</v>
      </c>
      <c r="F63" s="24" t="n">
        <v>120240486</v>
      </c>
      <c r="G63" s="24" t="n">
        <v>0</v>
      </c>
      <c r="H63" s="24" t="n">
        <v>120240486</v>
      </c>
      <c r="I63" s="24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0" t="n">
        <v>616000</v>
      </c>
      <c r="B64" s="12" t="s">
        <v>315</v>
      </c>
      <c r="C64" s="13" t="s">
        <v>316</v>
      </c>
      <c r="D64" s="24" t="n">
        <v>0</v>
      </c>
      <c r="E64" s="24" t="n">
        <v>0</v>
      </c>
      <c r="F64" s="24" t="n">
        <v>93905</v>
      </c>
      <c r="G64" s="24" t="n">
        <v>0</v>
      </c>
      <c r="H64" s="24" t="n">
        <v>93905</v>
      </c>
      <c r="I64" s="24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0" t="n">
        <v>618200</v>
      </c>
      <c r="B65" s="12" t="s">
        <v>317</v>
      </c>
      <c r="C65" s="13" t="s">
        <v>316</v>
      </c>
      <c r="D65" s="24" t="n">
        <v>0</v>
      </c>
      <c r="E65" s="24" t="n">
        <v>0</v>
      </c>
      <c r="F65" s="24" t="n">
        <v>1566944</v>
      </c>
      <c r="G65" s="24" t="n">
        <v>0</v>
      </c>
      <c r="H65" s="24" t="n">
        <v>1566944</v>
      </c>
      <c r="I65" s="24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0" t="n">
        <v>618300</v>
      </c>
      <c r="B66" s="12" t="s">
        <v>318</v>
      </c>
      <c r="C66" s="13" t="s">
        <v>316</v>
      </c>
      <c r="D66" s="24" t="n">
        <v>0</v>
      </c>
      <c r="E66" s="24" t="n">
        <v>0</v>
      </c>
      <c r="F66" s="24" t="n">
        <v>2159249</v>
      </c>
      <c r="G66" s="24" t="n">
        <v>0</v>
      </c>
      <c r="H66" s="24" t="n">
        <v>2159249</v>
      </c>
      <c r="I66" s="24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0" t="n">
        <v>622200</v>
      </c>
      <c r="B67" s="12" t="s">
        <v>319</v>
      </c>
      <c r="C67" s="13" t="s">
        <v>320</v>
      </c>
      <c r="D67" s="24" t="n">
        <v>0</v>
      </c>
      <c r="E67" s="24" t="n">
        <v>0</v>
      </c>
      <c r="F67" s="24" t="n">
        <v>16635091</v>
      </c>
      <c r="G67" s="24" t="n">
        <v>0</v>
      </c>
      <c r="H67" s="24" t="n">
        <v>16635091</v>
      </c>
      <c r="I67" s="24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0" t="n">
        <v>624200</v>
      </c>
      <c r="B68" s="12" t="s">
        <v>321</v>
      </c>
      <c r="C68" s="13" t="s">
        <v>320</v>
      </c>
      <c r="D68" s="24" t="n">
        <v>0</v>
      </c>
      <c r="E68" s="24" t="n">
        <v>0</v>
      </c>
      <c r="F68" s="24" t="n">
        <v>34203480</v>
      </c>
      <c r="G68" s="24" t="n">
        <v>0</v>
      </c>
      <c r="H68" s="24" t="n">
        <v>34203480</v>
      </c>
      <c r="I68" s="24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0" t="n">
        <v>625800</v>
      </c>
      <c r="B69" s="12" t="s">
        <v>322</v>
      </c>
      <c r="C69" s="13" t="s">
        <v>320</v>
      </c>
      <c r="D69" s="24" t="n">
        <v>0</v>
      </c>
      <c r="E69" s="24" t="n">
        <v>0</v>
      </c>
      <c r="F69" s="24" t="n">
        <v>4589652</v>
      </c>
      <c r="G69" s="24" t="n">
        <v>0</v>
      </c>
      <c r="H69" s="24" t="n">
        <v>4589652</v>
      </c>
      <c r="I69" s="24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0" t="n">
        <v>626600</v>
      </c>
      <c r="B70" s="12" t="s">
        <v>323</v>
      </c>
      <c r="C70" s="13" t="s">
        <v>320</v>
      </c>
      <c r="D70" s="24" t="n">
        <v>0</v>
      </c>
      <c r="E70" s="24" t="n">
        <v>0</v>
      </c>
      <c r="F70" s="24" t="n">
        <v>32000</v>
      </c>
      <c r="G70" s="24" t="n">
        <v>0</v>
      </c>
      <c r="H70" s="24" t="n">
        <v>32000</v>
      </c>
      <c r="I70" s="24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0" t="n">
        <v>627700</v>
      </c>
      <c r="B71" s="12" t="s">
        <v>324</v>
      </c>
      <c r="C71" s="13" t="s">
        <v>320</v>
      </c>
      <c r="D71" s="24" t="n">
        <v>0</v>
      </c>
      <c r="E71" s="24" t="n">
        <v>0</v>
      </c>
      <c r="F71" s="24" t="n">
        <v>58500</v>
      </c>
      <c r="G71" s="24" t="n">
        <v>0</v>
      </c>
      <c r="H71" s="24" t="n">
        <v>58500</v>
      </c>
      <c r="I71" s="24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0" t="n">
        <v>628800</v>
      </c>
      <c r="B72" s="12" t="s">
        <v>325</v>
      </c>
      <c r="C72" s="13" t="s">
        <v>320</v>
      </c>
      <c r="D72" s="24" t="n">
        <v>0</v>
      </c>
      <c r="E72" s="24" t="n">
        <v>0</v>
      </c>
      <c r="F72" s="24" t="n">
        <v>794044</v>
      </c>
      <c r="G72" s="24" t="n">
        <v>0</v>
      </c>
      <c r="H72" s="24" t="n">
        <v>794044</v>
      </c>
      <c r="I72" s="24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0" t="n">
        <v>631800</v>
      </c>
      <c r="B73" s="12" t="s">
        <v>326</v>
      </c>
      <c r="C73" s="13" t="s">
        <v>320</v>
      </c>
      <c r="D73" s="24" t="n">
        <v>0</v>
      </c>
      <c r="E73" s="24" t="n">
        <v>0</v>
      </c>
      <c r="F73" s="24" t="n">
        <v>22590164</v>
      </c>
      <c r="G73" s="24" t="n">
        <v>0</v>
      </c>
      <c r="H73" s="24" t="n">
        <v>22590164</v>
      </c>
      <c r="I73" s="24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0" t="n">
        <v>632800</v>
      </c>
      <c r="B74" s="12" t="s">
        <v>327</v>
      </c>
      <c r="C74" s="13" t="s">
        <v>320</v>
      </c>
      <c r="D74" s="24" t="n">
        <v>0</v>
      </c>
      <c r="E74" s="24" t="n">
        <v>0</v>
      </c>
      <c r="F74" s="24" t="n">
        <v>4753040</v>
      </c>
      <c r="G74" s="24" t="n">
        <v>0</v>
      </c>
      <c r="H74" s="24" t="n">
        <v>4753040</v>
      </c>
      <c r="I74" s="24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0" t="n">
        <v>638800</v>
      </c>
      <c r="B75" s="12" t="s">
        <v>328</v>
      </c>
      <c r="C75" s="13" t="s">
        <v>320</v>
      </c>
      <c r="D75" s="24" t="n">
        <v>0</v>
      </c>
      <c r="E75" s="24" t="n">
        <v>0</v>
      </c>
      <c r="F75" s="24" t="n">
        <v>23113112</v>
      </c>
      <c r="G75" s="24" t="n">
        <v>0</v>
      </c>
      <c r="H75" s="24" t="n">
        <v>23113112</v>
      </c>
      <c r="I75" s="24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0" t="n">
        <v>641100</v>
      </c>
      <c r="B76" s="12" t="s">
        <v>329</v>
      </c>
      <c r="C76" s="13" t="s">
        <v>330</v>
      </c>
      <c r="D76" s="24" t="n">
        <v>0</v>
      </c>
      <c r="E76" s="24" t="n">
        <v>0</v>
      </c>
      <c r="F76" s="24" t="n">
        <v>360000</v>
      </c>
      <c r="G76" s="24" t="n">
        <v>0</v>
      </c>
      <c r="H76" s="24" t="n">
        <v>360000</v>
      </c>
      <c r="I76" s="24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0" t="n">
        <v>641201</v>
      </c>
      <c r="B77" s="12" t="s">
        <v>331</v>
      </c>
      <c r="C77" s="13" t="s">
        <v>330</v>
      </c>
      <c r="D77" s="24" t="n">
        <v>0</v>
      </c>
      <c r="E77" s="24" t="n">
        <v>0</v>
      </c>
      <c r="F77" s="24" t="n">
        <v>9055133</v>
      </c>
      <c r="G77" s="24" t="n">
        <v>0</v>
      </c>
      <c r="H77" s="24" t="n">
        <v>9055133</v>
      </c>
      <c r="I77" s="24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0" t="n">
        <v>641202</v>
      </c>
      <c r="B78" s="12" t="s">
        <v>332</v>
      </c>
      <c r="C78" s="13" t="s">
        <v>330</v>
      </c>
      <c r="D78" s="24" t="n">
        <v>0</v>
      </c>
      <c r="E78" s="24" t="n">
        <v>0</v>
      </c>
      <c r="F78" s="24" t="n">
        <v>1548695</v>
      </c>
      <c r="G78" s="24" t="n">
        <v>0</v>
      </c>
      <c r="H78" s="24" t="n">
        <v>1548695</v>
      </c>
      <c r="I78" s="24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0" t="n">
        <v>641300</v>
      </c>
      <c r="B79" s="12" t="s">
        <v>333</v>
      </c>
      <c r="C79" s="13" t="s">
        <v>330</v>
      </c>
      <c r="D79" s="24" t="n">
        <v>0</v>
      </c>
      <c r="E79" s="24" t="n">
        <v>0</v>
      </c>
      <c r="F79" s="24" t="n">
        <v>826575</v>
      </c>
      <c r="G79" s="24" t="n">
        <v>0</v>
      </c>
      <c r="H79" s="24" t="n">
        <v>826575</v>
      </c>
      <c r="I79" s="24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0" t="n">
        <v>641400</v>
      </c>
      <c r="B80" s="12" t="s">
        <v>334</v>
      </c>
      <c r="C80" s="13" t="s">
        <v>330</v>
      </c>
      <c r="D80" s="24" t="n">
        <v>0</v>
      </c>
      <c r="E80" s="24" t="n">
        <v>0</v>
      </c>
      <c r="F80" s="24" t="n">
        <v>104066</v>
      </c>
      <c r="G80" s="24" t="n">
        <v>0</v>
      </c>
      <c r="H80" s="24" t="n">
        <v>104066</v>
      </c>
      <c r="I80" s="24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0" t="n">
        <v>641500</v>
      </c>
      <c r="B81" s="12" t="s">
        <v>335</v>
      </c>
      <c r="C81" s="13" t="s">
        <v>330</v>
      </c>
      <c r="D81" s="24" t="n">
        <v>0</v>
      </c>
      <c r="E81" s="24" t="n">
        <v>0</v>
      </c>
      <c r="F81" s="24" t="n">
        <v>312211</v>
      </c>
      <c r="G81" s="24" t="n">
        <v>0</v>
      </c>
      <c r="H81" s="24" t="n">
        <v>312211</v>
      </c>
      <c r="I81" s="24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0" t="n">
        <v>641830</v>
      </c>
      <c r="B82" s="12" t="s">
        <v>336</v>
      </c>
      <c r="C82" s="13" t="s">
        <v>330</v>
      </c>
      <c r="D82" s="24" t="n">
        <v>0</v>
      </c>
      <c r="E82" s="24" t="n">
        <v>0</v>
      </c>
      <c r="F82" s="24" t="n">
        <v>211685</v>
      </c>
      <c r="G82" s="24" t="n">
        <v>0</v>
      </c>
      <c r="H82" s="24" t="n">
        <v>211685</v>
      </c>
      <c r="I82" s="24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0" t="n">
        <v>646200</v>
      </c>
      <c r="B83" s="12" t="s">
        <v>337</v>
      </c>
      <c r="C83" s="13" t="s">
        <v>330</v>
      </c>
      <c r="D83" s="24" t="n">
        <v>0</v>
      </c>
      <c r="E83" s="24" t="n">
        <v>0</v>
      </c>
      <c r="F83" s="24" t="n">
        <v>1725647</v>
      </c>
      <c r="G83" s="24" t="n">
        <v>0</v>
      </c>
      <c r="H83" s="24" t="n">
        <v>1725647</v>
      </c>
      <c r="I83" s="24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0" t="n">
        <v>648000</v>
      </c>
      <c r="B84" s="12" t="s">
        <v>338</v>
      </c>
      <c r="C84" s="13" t="s">
        <v>330</v>
      </c>
      <c r="D84" s="24" t="n">
        <v>0</v>
      </c>
      <c r="E84" s="24" t="n">
        <v>0</v>
      </c>
      <c r="F84" s="24" t="n">
        <v>725658</v>
      </c>
      <c r="G84" s="24" t="n">
        <v>0</v>
      </c>
      <c r="H84" s="24" t="n">
        <v>725658</v>
      </c>
      <c r="I84" s="24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0" t="n">
        <v>658800</v>
      </c>
      <c r="B85" s="12" t="s">
        <v>339</v>
      </c>
      <c r="C85" s="13" t="s">
        <v>340</v>
      </c>
      <c r="D85" s="24" t="n">
        <v>0</v>
      </c>
      <c r="E85" s="24" t="n">
        <v>0</v>
      </c>
      <c r="F85" s="24" t="n">
        <v>1316731</v>
      </c>
      <c r="G85" s="24" t="n">
        <v>0</v>
      </c>
      <c r="H85" s="24" t="n">
        <v>1316731</v>
      </c>
      <c r="I85" s="24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0" t="n">
        <v>661100</v>
      </c>
      <c r="B86" s="12" t="s">
        <v>341</v>
      </c>
      <c r="C86" s="13" t="s">
        <v>342</v>
      </c>
      <c r="D86" s="24" t="n">
        <v>0</v>
      </c>
      <c r="E86" s="24" t="n">
        <v>0</v>
      </c>
      <c r="F86" s="24" t="n">
        <v>58979354</v>
      </c>
      <c r="G86" s="24" t="n">
        <v>0</v>
      </c>
      <c r="H86" s="24" t="n">
        <v>58979354</v>
      </c>
      <c r="I86" s="24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0" t="n">
        <v>661200</v>
      </c>
      <c r="B87" s="12" t="s">
        <v>343</v>
      </c>
      <c r="C87" s="13" t="s">
        <v>342</v>
      </c>
      <c r="D87" s="24" t="n">
        <v>0</v>
      </c>
      <c r="E87" s="24" t="n">
        <v>0</v>
      </c>
      <c r="F87" s="24" t="n">
        <v>19937999</v>
      </c>
      <c r="G87" s="24" t="n">
        <v>0</v>
      </c>
      <c r="H87" s="24" t="n">
        <v>19937999</v>
      </c>
      <c r="I87" s="24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0" t="n">
        <v>661300</v>
      </c>
      <c r="B88" s="12" t="s">
        <v>344</v>
      </c>
      <c r="C88" s="13" t="s">
        <v>342</v>
      </c>
      <c r="D88" s="24" t="n">
        <v>0</v>
      </c>
      <c r="E88" s="24" t="n">
        <v>0</v>
      </c>
      <c r="F88" s="24" t="n">
        <v>6578578</v>
      </c>
      <c r="G88" s="24" t="n">
        <v>0</v>
      </c>
      <c r="H88" s="24" t="n">
        <v>6578578</v>
      </c>
      <c r="I88" s="24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0" t="n">
        <v>661400</v>
      </c>
      <c r="B89" s="12" t="s">
        <v>345</v>
      </c>
      <c r="C89" s="13" t="s">
        <v>342</v>
      </c>
      <c r="D89" s="24" t="n">
        <v>0</v>
      </c>
      <c r="E89" s="24" t="n">
        <v>0</v>
      </c>
      <c r="F89" s="24" t="n">
        <v>6643514</v>
      </c>
      <c r="G89" s="24" t="n">
        <v>0</v>
      </c>
      <c r="H89" s="24" t="n">
        <v>6643514</v>
      </c>
      <c r="I89" s="24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0" t="n">
        <v>663400</v>
      </c>
      <c r="B90" s="12" t="s">
        <v>346</v>
      </c>
      <c r="C90" s="13" t="s">
        <v>342</v>
      </c>
      <c r="D90" s="24" t="n">
        <v>0</v>
      </c>
      <c r="E90" s="24" t="n">
        <v>0</v>
      </c>
      <c r="F90" s="24" t="n">
        <v>6880797</v>
      </c>
      <c r="G90" s="24" t="n">
        <v>0</v>
      </c>
      <c r="H90" s="24" t="n">
        <v>6880797</v>
      </c>
      <c r="I90" s="24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30" t="n">
        <v>664104</v>
      </c>
      <c r="B91" s="12" t="s">
        <v>347</v>
      </c>
      <c r="C91" s="13" t="s">
        <v>342</v>
      </c>
      <c r="D91" s="24" t="n">
        <v>0</v>
      </c>
      <c r="E91" s="24" t="n">
        <v>0</v>
      </c>
      <c r="F91" s="24" t="n">
        <v>7005273</v>
      </c>
      <c r="G91" s="24" t="n">
        <v>0</v>
      </c>
      <c r="H91" s="24" t="n">
        <v>7005273</v>
      </c>
      <c r="I91" s="24" t="n">
        <v>0</v>
      </c>
      <c r="J91" s="20" t="n">
        <f aca="false">(D91-E91)+(F91-G91)-(H91-I91)</f>
        <v>0</v>
      </c>
    </row>
    <row r="92" customFormat="false" ht="15" hidden="false" customHeight="false" outlineLevel="0" collapsed="false">
      <c r="A92" s="30" t="n">
        <v>671201</v>
      </c>
      <c r="B92" s="12" t="s">
        <v>348</v>
      </c>
      <c r="C92" s="13" t="s">
        <v>349</v>
      </c>
      <c r="D92" s="24" t="n">
        <v>0</v>
      </c>
      <c r="E92" s="24" t="n">
        <v>0</v>
      </c>
      <c r="F92" s="24" t="n">
        <v>4142819</v>
      </c>
      <c r="G92" s="24" t="n">
        <v>0</v>
      </c>
      <c r="H92" s="24" t="n">
        <v>4142819</v>
      </c>
      <c r="I92" s="24" t="n">
        <v>0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30" t="n">
        <v>672301</v>
      </c>
      <c r="B93" s="12" t="s">
        <v>350</v>
      </c>
      <c r="C93" s="13" t="s">
        <v>349</v>
      </c>
      <c r="D93" s="24" t="n">
        <v>0</v>
      </c>
      <c r="E93" s="24" t="n">
        <v>0</v>
      </c>
      <c r="F93" s="24" t="n">
        <v>3965478</v>
      </c>
      <c r="G93" s="24" t="n">
        <v>0</v>
      </c>
      <c r="H93" s="24" t="n">
        <v>3965478</v>
      </c>
      <c r="I93" s="24" t="n">
        <v>0</v>
      </c>
      <c r="J93" s="20" t="n">
        <f aca="false">(D93-E93)+(F93-G93)-(H93-I93)</f>
        <v>0</v>
      </c>
    </row>
    <row r="94" customFormat="false" ht="15" hidden="false" customHeight="false" outlineLevel="0" collapsed="false">
      <c r="A94" s="30" t="n">
        <v>681301</v>
      </c>
      <c r="B94" s="12" t="s">
        <v>351</v>
      </c>
      <c r="C94" s="13" t="s">
        <v>352</v>
      </c>
      <c r="D94" s="24" t="n">
        <v>0</v>
      </c>
      <c r="E94" s="24" t="n">
        <v>0</v>
      </c>
      <c r="F94" s="24" t="n">
        <v>19282845</v>
      </c>
      <c r="G94" s="24" t="n">
        <v>0</v>
      </c>
      <c r="H94" s="24" t="n">
        <v>19282845</v>
      </c>
      <c r="I94" s="24" t="n">
        <v>0</v>
      </c>
      <c r="J94" s="20" t="n">
        <f aca="false">(D94-E94)+(F94-G94)-(H94-I94)</f>
        <v>0</v>
      </c>
    </row>
    <row r="95" customFormat="false" ht="15" hidden="false" customHeight="false" outlineLevel="0" collapsed="false">
      <c r="A95" s="30" t="n">
        <v>681302</v>
      </c>
      <c r="B95" s="12" t="s">
        <v>353</v>
      </c>
      <c r="C95" s="13" t="s">
        <v>352</v>
      </c>
      <c r="D95" s="24" t="n">
        <v>0</v>
      </c>
      <c r="E95" s="24" t="n">
        <v>0</v>
      </c>
      <c r="F95" s="24" t="n">
        <v>44854932</v>
      </c>
      <c r="G95" s="24" t="n">
        <v>0</v>
      </c>
      <c r="H95" s="24" t="n">
        <v>44854932</v>
      </c>
      <c r="I95" s="24" t="n">
        <v>0</v>
      </c>
      <c r="J95" s="20" t="n">
        <f aca="false">(D95-E95)+(F95-G95)-(H95-I95)</f>
        <v>0</v>
      </c>
    </row>
    <row r="96" customFormat="false" ht="15" hidden="false" customHeight="false" outlineLevel="0" collapsed="false">
      <c r="A96" s="30" t="n">
        <v>681303</v>
      </c>
      <c r="B96" s="12" t="s">
        <v>354</v>
      </c>
      <c r="C96" s="13" t="s">
        <v>352</v>
      </c>
      <c r="D96" s="24" t="n">
        <v>0</v>
      </c>
      <c r="E96" s="24" t="n">
        <v>0</v>
      </c>
      <c r="F96" s="24" t="n">
        <v>4934884</v>
      </c>
      <c r="G96" s="24" t="n">
        <v>0</v>
      </c>
      <c r="H96" s="24" t="n">
        <v>4934884</v>
      </c>
      <c r="I96" s="24" t="n">
        <v>0</v>
      </c>
      <c r="J96" s="20" t="n">
        <f aca="false">(D96-E96)+(F96-G96)-(H96-I96)</f>
        <v>0</v>
      </c>
    </row>
    <row r="97" customFormat="false" ht="15" hidden="false" customHeight="false" outlineLevel="0" collapsed="false">
      <c r="A97" s="30" t="n">
        <v>681304</v>
      </c>
      <c r="B97" s="12" t="s">
        <v>355</v>
      </c>
      <c r="C97" s="13" t="s">
        <v>352</v>
      </c>
      <c r="D97" s="24" t="n">
        <v>0</v>
      </c>
      <c r="E97" s="24" t="n">
        <v>0</v>
      </c>
      <c r="F97" s="24" t="n">
        <v>10760638</v>
      </c>
      <c r="G97" s="24" t="n">
        <v>0</v>
      </c>
      <c r="H97" s="24" t="n">
        <v>10760638</v>
      </c>
      <c r="I97" s="24" t="n">
        <v>0</v>
      </c>
      <c r="J97" s="20" t="n">
        <f aca="false">(D97-E97)+(F97-G97)-(H97-I97)</f>
        <v>0</v>
      </c>
    </row>
    <row r="98" customFormat="false" ht="15" hidden="false" customHeight="false" outlineLevel="0" collapsed="false">
      <c r="A98" s="30" t="n">
        <v>691100</v>
      </c>
      <c r="B98" s="12" t="s">
        <v>356</v>
      </c>
      <c r="C98" s="13" t="s">
        <v>352</v>
      </c>
      <c r="D98" s="24" t="n">
        <v>0</v>
      </c>
      <c r="E98" s="24" t="n">
        <v>0</v>
      </c>
      <c r="F98" s="24" t="n">
        <v>6059296</v>
      </c>
      <c r="G98" s="24" t="n">
        <v>0</v>
      </c>
      <c r="H98" s="24" t="n">
        <v>6059296</v>
      </c>
      <c r="I98" s="24" t="n">
        <v>0</v>
      </c>
      <c r="J98" s="20" t="n">
        <f aca="false">(D98-E98)+(F98-G98)-(H98-I98)</f>
        <v>0</v>
      </c>
    </row>
    <row r="99" customFormat="false" ht="15" hidden="false" customHeight="false" outlineLevel="0" collapsed="false">
      <c r="A99" s="38" t="n">
        <v>705100</v>
      </c>
      <c r="B99" s="39" t="s">
        <v>357</v>
      </c>
      <c r="C99" s="40" t="s">
        <v>358</v>
      </c>
      <c r="D99" s="41" t="n">
        <v>0</v>
      </c>
      <c r="E99" s="41" t="n">
        <v>0</v>
      </c>
      <c r="F99" s="41" t="n">
        <v>0</v>
      </c>
      <c r="G99" s="41" t="n">
        <v>701026695</v>
      </c>
      <c r="H99" s="41" t="n">
        <v>0</v>
      </c>
      <c r="I99" s="41" t="n">
        <v>701026695</v>
      </c>
      <c r="J99" s="42" t="n">
        <f aca="false">(D99-E99)+(F99-G99)-(H99-I99)</f>
        <v>0</v>
      </c>
    </row>
    <row r="100" customFormat="false" ht="15" hidden="false" customHeight="false" outlineLevel="0" collapsed="false">
      <c r="A100" s="30" t="n">
        <v>771200</v>
      </c>
      <c r="B100" s="12" t="s">
        <v>359</v>
      </c>
      <c r="C100" s="13" t="s">
        <v>360</v>
      </c>
      <c r="D100" s="24" t="n">
        <v>0</v>
      </c>
      <c r="E100" s="24" t="n">
        <v>0</v>
      </c>
      <c r="F100" s="24" t="n">
        <v>0</v>
      </c>
      <c r="G100" s="24" t="n">
        <v>848594</v>
      </c>
      <c r="H100" s="24" t="n">
        <v>0</v>
      </c>
      <c r="I100" s="24" t="n">
        <v>848594</v>
      </c>
      <c r="J100" s="20" t="n">
        <f aca="false">(D100-E100)+(F100-G100)-(H100-I100)</f>
        <v>0</v>
      </c>
    </row>
    <row r="101" customFormat="false" ht="15" hidden="false" customHeight="false" outlineLevel="0" collapsed="false">
      <c r="A101" s="38" t="n">
        <v>891100</v>
      </c>
      <c r="B101" s="39" t="s">
        <v>361</v>
      </c>
      <c r="C101" s="40" t="s">
        <v>362</v>
      </c>
      <c r="D101" s="41" t="n">
        <v>0</v>
      </c>
      <c r="E101" s="41" t="n">
        <v>0</v>
      </c>
      <c r="F101" s="41" t="n">
        <v>24232959</v>
      </c>
      <c r="G101" s="41" t="n">
        <v>0</v>
      </c>
      <c r="H101" s="41" t="n">
        <v>24232959</v>
      </c>
      <c r="I101" s="41" t="n">
        <v>0</v>
      </c>
      <c r="J101" s="42" t="n">
        <f aca="false">(D101-E101)+(F101-G101)-(H101-I101)</f>
        <v>0</v>
      </c>
    </row>
    <row r="102" customFormat="false" ht="15" hidden="false" customHeight="false" outlineLevel="0" collapsed="false">
      <c r="A102" s="30" t="n">
        <v>895000</v>
      </c>
      <c r="B102" s="12" t="s">
        <v>363</v>
      </c>
      <c r="C102" s="13" t="s">
        <v>362</v>
      </c>
      <c r="D102" s="24" t="n">
        <v>0</v>
      </c>
      <c r="E102" s="24" t="n">
        <v>0</v>
      </c>
      <c r="F102" s="24" t="n">
        <v>0</v>
      </c>
      <c r="G102" s="24" t="n">
        <v>0</v>
      </c>
      <c r="H102" s="24" t="n">
        <v>0</v>
      </c>
      <c r="I102" s="24" t="n">
        <v>0</v>
      </c>
      <c r="J102" s="20" t="n">
        <f aca="false">(D102-E102)+(F102-G102)-(H102-I102)</f>
        <v>0</v>
      </c>
    </row>
  </sheetData>
  <mergeCells count="8">
    <mergeCell ref="A1:J1"/>
    <mergeCell ref="D3:E3"/>
    <mergeCell ref="F3:G3"/>
    <mergeCell ref="H3:I3"/>
    <mergeCell ref="L3:M3"/>
    <mergeCell ref="D14:E14"/>
    <mergeCell ref="F14:G14"/>
    <mergeCell ref="H14:I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70"/>
  </cols>
  <sheetData>
    <row r="1" customFormat="false" ht="24" hidden="false" customHeight="true" outlineLevel="0" collapsed="false">
      <c r="A1" s="1" t="s">
        <v>364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365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L3" s="28" t="s">
        <v>200</v>
      </c>
      <c r="M3" s="28"/>
    </row>
    <row r="4" customFormat="false" ht="15" hidden="false" customHeight="fals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205</v>
      </c>
      <c r="F4" s="8" t="s">
        <v>204</v>
      </c>
      <c r="G4" s="8" t="s">
        <v>205</v>
      </c>
      <c r="H4" s="8" t="s">
        <v>204</v>
      </c>
      <c r="I4" s="8" t="s">
        <v>205</v>
      </c>
      <c r="J4" s="8" t="s">
        <v>206</v>
      </c>
      <c r="L4" s="29" t="s">
        <v>207</v>
      </c>
    </row>
    <row r="5" customFormat="false" ht="15" hidden="false" customHeight="false" outlineLevel="0" collapsed="false">
      <c r="A5" s="30" t="n">
        <v>521101</v>
      </c>
      <c r="B5" s="12" t="s">
        <v>208</v>
      </c>
      <c r="C5" s="13" t="s">
        <v>209</v>
      </c>
      <c r="D5" s="15" t="n">
        <f aca="false">IF(LEFT(A5,1)&gt;="6",0,SUMIFS('BALANCE 2024'!$H:$H,'BALANCE 2024'!$A:$A,A5))</f>
        <v>122588265</v>
      </c>
      <c r="E5" s="15" t="n">
        <f aca="false">IF(LEFT(A5,1)&gt;="6",0,SUMIFS('BALANCE 2024'!$I:$I,'BALANCE 2024'!$A:$A,A5))</f>
        <v>0</v>
      </c>
      <c r="F5" s="15" t="n">
        <f aca="false">ROUND(G37+HYPOTHESES!D$51+'INVEST ET FINANCEMENT'!D$47+'INVEST ET FINANCEMENT'!D$51,0)</f>
        <v>925487261</v>
      </c>
      <c r="G5" s="15" t="n">
        <f aca="false">ROUND(G37+HYPOTHESES!D$51+'INVEST ET FINANCEMENT'!D$47+'INVEST ET FINANCEMENT'!D$51,0)+(D5-E5)-(H5-I5)</f>
        <v>901097419</v>
      </c>
      <c r="H5" s="20" t="n">
        <f aca="false">ROUND(MAX(0,(H11-(H6-I6))),0)</f>
        <v>146978107</v>
      </c>
      <c r="I5" s="20" t="n">
        <f aca="false">ROUND(MAX(0,-(H11-(H6-I6))),0)</f>
        <v>0</v>
      </c>
      <c r="J5" s="20" t="n">
        <f aca="false">(D5-E5)+(F5-G5)-(H5-I5)</f>
        <v>0</v>
      </c>
      <c r="L5" s="29" t="s">
        <v>210</v>
      </c>
    </row>
    <row r="6" customFormat="false" ht="15" hidden="false" customHeight="false" outlineLevel="0" collapsed="false">
      <c r="A6" s="30" t="n">
        <v>571101</v>
      </c>
      <c r="B6" s="12" t="s">
        <v>211</v>
      </c>
      <c r="C6" s="13" t="s">
        <v>212</v>
      </c>
      <c r="D6" s="15" t="n">
        <f aca="false">IF(LEFT(A6,1)&gt;="6",0,SUMIFS('BALANCE 2024'!$H:$H,'BALANCE 2024'!$A:$A,A6))</f>
        <v>5545693</v>
      </c>
      <c r="E6" s="15" t="n">
        <f aca="false">IF(LEFT(A6,1)&gt;="6",0,SUMIFS('BALANCE 2024'!$I:$I,'BALANCE 2024'!$A:$A,A6))</f>
        <v>0</v>
      </c>
      <c r="F6" s="20" t="n">
        <f aca="false">ROUND(H13,0)</f>
        <v>180219484</v>
      </c>
      <c r="G6" s="20" t="n">
        <f aca="false">ROUND(H13,0)+(D6-E6)-(H6-I6)</f>
        <v>178417289</v>
      </c>
      <c r="H6" s="15" t="n">
        <f aca="false">ROUND(MAX(0,((D6-E6)+H13*(1-HYPOTHESES!D$30))),0)</f>
        <v>7347888</v>
      </c>
      <c r="I6" s="15" t="n">
        <f aca="false">ROUND(MAX(0,-((D6-E6)+H13*(1-HYPOTHESES!D$30))),0)</f>
        <v>0</v>
      </c>
      <c r="J6" s="20" t="n">
        <f aca="false">(D6-E6)+(F6-G6)-(H6-I6)</f>
        <v>0</v>
      </c>
      <c r="L6" s="29" t="s">
        <v>213</v>
      </c>
    </row>
    <row r="7" customFormat="false" ht="15" hidden="false" customHeight="false" outlineLevel="0" collapsed="false">
      <c r="A7" s="30" t="n">
        <v>585000</v>
      </c>
      <c r="B7" s="12" t="s">
        <v>214</v>
      </c>
      <c r="C7" s="13" t="s">
        <v>212</v>
      </c>
      <c r="D7" s="15" t="n">
        <f aca="false">IF(LEFT(A7,1)&gt;="6",0,SUMIFS('BALANCE 2024'!$H:$H,'BALANCE 2024'!$A:$A,A7))</f>
        <v>0</v>
      </c>
      <c r="E7" s="15" t="n">
        <f aca="false">IF(LEFT(A7,1)&gt;="6",0,SUMIFS('BALANCE 2024'!$I:$I,'BALANCE 2024'!$A:$A,A7))</f>
        <v>0</v>
      </c>
      <c r="F7" s="20" t="n">
        <f aca="false">ROUND(H13,0)</f>
        <v>180219484</v>
      </c>
      <c r="G7" s="20" t="n">
        <f aca="false">ROUND(H13,0)+(D7-E7)-(H7-I7)</f>
        <v>180219484</v>
      </c>
      <c r="H7" s="15" t="n">
        <f aca="false">ROUND(IF(LEFT(A7,1)&gt;="6",IF(C7="RE",IF(HYPOTHESES!$C$43=0,0,HYPOTHESES!D$43*SUMIFS('BALANCE 2024'!$H:$H,'BALANCE 2024'!$A:$A,A7)/HYPOTHESES!$C$43),IF(C7="RG",IF(HYPOTHESES!$C$44=0,0,HYPOTHESES!D$44*SUMIFS('BALANCE 2024'!$H:$H,'BALANCE 2024'!$A:$A,A7)/HYPOTHESES!$C$44),IF(C7="RH",IF(HYPOTHESES!$C$45=0,0,HYPOTHESES!D$45*SUMIFS('BALANCE 2024'!$H:$H,'BALANCE 2024'!$A:$A,A7)/HYPOTHESES!$C$45),IF(C7="RI",IF(HYPOTHESES!$C$46=0,0,HYPOTHESES!D$46*SUMIFS('BALANCE 2024'!$H:$H,'BALANCE 2024'!$A:$A,A7)/HYPOTHESES!$C$46),IF(C7="RJ",IF(HYPOTHESES!$C$47=0,0,HYPOTHESES!D$47*SUMIFS('BALANCE 2024'!$H:$H,'BALANCE 2024'!$A:$A,A7)/HYPOTHESES!$C$47),IF(C7="RK",IF(HYPOTHESES!$C$48=0,0,HYPOTHESES!D$48*SUMIFS('BALANCE 2024'!$H:$H,'BALANCE 2024'!$A:$A,A7)/HYPOTHESES!$C$48),0)))))),MAX(0,D7-E7)),0)</f>
        <v>0</v>
      </c>
      <c r="I7" s="20" t="n">
        <f aca="false">ROUND(IF(LEFT(A7,1)&gt;="6",0,MAX(0,E7-D7)),0)</f>
        <v>0</v>
      </c>
      <c r="J7" s="20" t="n">
        <f aca="false">(D7-E7)+(F7-G7)-(H7-I7)</f>
        <v>0</v>
      </c>
      <c r="L7" s="29" t="s">
        <v>215</v>
      </c>
    </row>
    <row r="8" customFormat="false" ht="15" hidden="false" customHeight="false" outlineLevel="0" collapsed="false">
      <c r="A8" s="31"/>
      <c r="B8" s="32" t="s">
        <v>216</v>
      </c>
      <c r="C8" s="31"/>
      <c r="D8" s="33" t="n">
        <f aca="false">SUBTOTAL(109,T_BAL_2025[Ouverture Débit])</f>
        <v>1585090388</v>
      </c>
      <c r="E8" s="33" t="n">
        <f aca="false">SUBTOTAL(109,T_BAL_2025[Ouverture Crédit])</f>
        <v>1713224346</v>
      </c>
      <c r="F8" s="33" t="n">
        <f aca="false">SUBTOTAL(109,T_BAL_2025[Mouvements Débit])</f>
        <v>2598604677</v>
      </c>
      <c r="G8" s="33" t="n">
        <f aca="false">SUBTOTAL(109,T_BAL_2025[Mouvements Crédit])</f>
        <v>2624796714</v>
      </c>
      <c r="H8" s="33" t="n">
        <f aca="false">SUBTOTAL(109,T_BAL_2025[Clôture Débit])</f>
        <v>2274919219</v>
      </c>
      <c r="I8" s="33" t="n">
        <f aca="false">SUBTOTAL(109,T_BAL_2025[Clôture Crédit])</f>
        <v>2429245214</v>
      </c>
      <c r="J8" s="33" t="n">
        <f aca="false">SUBTOTAL(109,T_BAL_2025[Contrôle])</f>
        <v>0</v>
      </c>
      <c r="L8" s="29" t="s">
        <v>217</v>
      </c>
    </row>
    <row r="9" customFormat="false" ht="15" hidden="false" customHeight="false" outlineLevel="0" collapsed="false">
      <c r="A9" s="34"/>
      <c r="B9" s="35" t="s">
        <v>218</v>
      </c>
      <c r="C9" s="34"/>
      <c r="D9" s="36" t="n">
        <f aca="false">SUM(D5:D8)</f>
        <v>1713224346</v>
      </c>
      <c r="E9" s="36" t="n">
        <f aca="false">SUM(E5:E8)</f>
        <v>1713224346</v>
      </c>
      <c r="F9" s="36" t="n">
        <f aca="false">SUM(F5:F8)</f>
        <v>3884530906</v>
      </c>
      <c r="G9" s="36" t="n">
        <f aca="false">SUM(G5:G8)</f>
        <v>3884530906</v>
      </c>
      <c r="H9" s="36" t="n">
        <f aca="false">SUM(H5:H8)</f>
        <v>2429245214</v>
      </c>
      <c r="I9" s="36" t="n">
        <f aca="false">SUM(I5:I8)</f>
        <v>2429245214</v>
      </c>
      <c r="J9" s="36" t="n">
        <f aca="false">SUM(J5:J8)</f>
        <v>0</v>
      </c>
      <c r="L9" s="29" t="s">
        <v>219</v>
      </c>
    </row>
    <row r="10" customFormat="false" ht="15" hidden="false" customHeight="false" outlineLevel="0" collapsed="false">
      <c r="B10" s="4" t="s">
        <v>220</v>
      </c>
      <c r="D10" s="21" t="n">
        <f aca="false">D9-E9</f>
        <v>0</v>
      </c>
      <c r="F10" s="21" t="n">
        <f aca="false">F9-G9</f>
        <v>0</v>
      </c>
      <c r="H10" s="21" t="n">
        <f aca="false">H9-I9</f>
        <v>0</v>
      </c>
      <c r="L10" s="29" t="s">
        <v>221</v>
      </c>
    </row>
    <row r="11" customFormat="false" ht="15" hidden="false" customHeight="false" outlineLevel="0" collapsed="false">
      <c r="B11" s="7" t="s">
        <v>366</v>
      </c>
      <c r="H11" s="20" t="n">
        <f aca="false">-((H8-I8)+(H7-I7))</f>
        <v>154325995</v>
      </c>
      <c r="L11" s="29" t="s">
        <v>222</v>
      </c>
    </row>
    <row r="12" customFormat="false" ht="15" hidden="false" customHeight="false" outlineLevel="0" collapsed="false">
      <c r="B12" s="7" t="s">
        <v>367</v>
      </c>
      <c r="H12" s="20" t="n">
        <f aca="false">ROUND((G37+HYPOTHESES!D$51+'INVEST ET FINANCEMENT'!D$47+'INVEST ET FINANCEMENT'!D$51+(D5-E5)+(D6-E6)-H11)/(1-HYPOTHESES!D$29*(1-HYPOTHESES!D$30)),0)</f>
        <v>901097419</v>
      </c>
    </row>
    <row r="13" customFormat="false" ht="15" hidden="false" customHeight="false" outlineLevel="0" collapsed="false">
      <c r="B13" s="7" t="s">
        <v>368</v>
      </c>
      <c r="H13" s="20" t="n">
        <f aca="false">ROUND(HYPOTHESES!D$29*H12,0)</f>
        <v>180219484</v>
      </c>
    </row>
    <row r="14" customFormat="false" ht="15" hidden="false" customHeight="false" outlineLevel="0" collapsed="false">
      <c r="A14" s="25"/>
      <c r="B14" s="27" t="s">
        <v>223</v>
      </c>
      <c r="C14" s="25"/>
      <c r="D14" s="26" t="s">
        <v>196</v>
      </c>
      <c r="E14" s="26"/>
      <c r="F14" s="26" t="s">
        <v>197</v>
      </c>
      <c r="G14" s="26"/>
      <c r="H14" s="26" t="s">
        <v>198</v>
      </c>
      <c r="I14" s="26"/>
      <c r="J14" s="27" t="s">
        <v>199</v>
      </c>
      <c r="L14" s="27" t="s">
        <v>224</v>
      </c>
      <c r="M14" s="27" t="s">
        <v>225</v>
      </c>
    </row>
    <row r="15" customFormat="false" ht="15" hidden="false" customHeight="false" outlineLevel="0" collapsed="false">
      <c r="A15" s="8" t="s">
        <v>201</v>
      </c>
      <c r="B15" s="8" t="s">
        <v>202</v>
      </c>
      <c r="C15" s="8" t="s">
        <v>203</v>
      </c>
      <c r="D15" s="8" t="s">
        <v>226</v>
      </c>
      <c r="E15" s="8" t="s">
        <v>227</v>
      </c>
      <c r="F15" s="8" t="s">
        <v>228</v>
      </c>
      <c r="G15" s="8" t="s">
        <v>229</v>
      </c>
      <c r="H15" s="8" t="s">
        <v>230</v>
      </c>
      <c r="I15" s="8" t="s">
        <v>231</v>
      </c>
      <c r="J15" s="8" t="s">
        <v>199</v>
      </c>
      <c r="L15" s="37" t="s">
        <v>232</v>
      </c>
      <c r="M15" s="29" t="s">
        <v>233</v>
      </c>
    </row>
    <row r="16" customFormat="false" ht="15" hidden="false" customHeight="false" outlineLevel="0" collapsed="false">
      <c r="A16" s="38" t="n">
        <v>101000</v>
      </c>
      <c r="B16" s="39" t="s">
        <v>234</v>
      </c>
      <c r="C16" s="40" t="s">
        <v>235</v>
      </c>
      <c r="D16" s="43" t="n">
        <f aca="false">IF(LEFT(A16,1)&gt;="6",0,SUMIFS('BALANCE 2024'!$H:$H,'BALANCE 2024'!$A:$A,A16))</f>
        <v>0</v>
      </c>
      <c r="E16" s="43" t="n">
        <f aca="false">IF(LEFT(A16,1)&gt;="6",0,SUMIFS('BALANCE 2024'!$I:$I,'BALANCE 2024'!$A:$A,A16))</f>
        <v>10000000</v>
      </c>
      <c r="F16" s="43" t="n">
        <f aca="false">ROUND('INVEST ET FINANCEMENT'!D$51,0)+(H16-I16)-(D16-E16)</f>
        <v>0</v>
      </c>
      <c r="G16" s="43" t="n">
        <f aca="false">ROUND('INVEST ET FINANCEMENT'!D$51,0)</f>
        <v>0</v>
      </c>
      <c r="H16" s="42" t="n">
        <v>0</v>
      </c>
      <c r="I16" s="43" t="n">
        <f aca="false">ROUND(E16+'INVEST ET FINANCEMENT'!D$51,0)</f>
        <v>10000000</v>
      </c>
      <c r="J16" s="42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L16" s="37" t="s">
        <v>236</v>
      </c>
      <c r="M16" s="29" t="s">
        <v>237</v>
      </c>
    </row>
    <row r="17" customFormat="false" ht="15" hidden="false" customHeight="false" outlineLevel="0" collapsed="false">
      <c r="A17" s="30" t="n">
        <v>111000</v>
      </c>
      <c r="B17" s="12" t="s">
        <v>238</v>
      </c>
      <c r="C17" s="13" t="s">
        <v>239</v>
      </c>
      <c r="D17" s="15" t="n">
        <f aca="false">IF(LEFT(A17,1)&gt;="6",0,SUMIFS('BALANCE 2024'!$H:$H,'BALANCE 2024'!$A:$A,A17))</f>
        <v>0</v>
      </c>
      <c r="E17" s="15" t="n">
        <f aca="false">IF(LEFT(A17,1)&gt;="6",0,SUMIFS('BALANCE 2024'!$I:$I,'BALANCE 2024'!$A:$A,A17))</f>
        <v>0</v>
      </c>
      <c r="F17" s="15" t="n">
        <f aca="false">ROUND(HYPOTHESES!D$58,0)+(H17-I17)-(D17-E17)</f>
        <v>0</v>
      </c>
      <c r="G17" s="15" t="n">
        <f aca="false">ROUND(HYPOTHESES!D$58,0)</f>
        <v>2000000</v>
      </c>
      <c r="H17" s="20" t="n">
        <v>0</v>
      </c>
      <c r="I17" s="15" t="n">
        <f aca="false">ROUND(E17+HYPOTHESES!D$58,0)</f>
        <v>2000000</v>
      </c>
      <c r="J1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L17" s="37" t="s">
        <v>240</v>
      </c>
      <c r="M17" s="29" t="s">
        <v>241</v>
      </c>
    </row>
    <row r="18" customFormat="false" ht="15" hidden="false" customHeight="false" outlineLevel="0" collapsed="false">
      <c r="A18" s="30" t="n">
        <v>121000</v>
      </c>
      <c r="B18" s="12" t="s">
        <v>242</v>
      </c>
      <c r="C18" s="13" t="s">
        <v>243</v>
      </c>
      <c r="D18" s="15" t="n">
        <f aca="false">IF(LEFT(A18,1)&gt;="6",0,SUMIFS('BALANCE 2024'!$H:$H,'BALANCE 2024'!$A:$A,A18))</f>
        <v>0</v>
      </c>
      <c r="E18" s="15" t="n">
        <f aca="false">IF(LEFT(A18,1)&gt;="6",0,SUMIFS('BALANCE 2024'!$I:$I,'BALANCE 2024'!$A:$A,A18))</f>
        <v>773799851</v>
      </c>
      <c r="F18" s="20" t="n">
        <f aca="false">MAX(0,(H18-I18)-(D18-E18))</f>
        <v>0</v>
      </c>
      <c r="G18" s="20" t="n">
        <f aca="false">MAX(0,(D18-E18)-(H18-I18))</f>
        <v>70698877</v>
      </c>
      <c r="H18" s="15" t="n">
        <f aca="false">ROUND(MAX(0,-(E18-D18+HYPOTHESES!D$60)),0)</f>
        <v>0</v>
      </c>
      <c r="I18" s="15" t="n">
        <f aca="false">ROUND(MAX(0,(E18-D18+HYPOTHESES!D$60)),0)</f>
        <v>844498728</v>
      </c>
      <c r="J1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L18" s="37" t="s">
        <v>244</v>
      </c>
      <c r="M18" s="29" t="s">
        <v>245</v>
      </c>
    </row>
    <row r="19" customFormat="false" ht="15" hidden="false" customHeight="false" outlineLevel="0" collapsed="false">
      <c r="A19" s="30" t="n">
        <v>130100</v>
      </c>
      <c r="B19" s="12" t="s">
        <v>246</v>
      </c>
      <c r="C19" s="13" t="s">
        <v>247</v>
      </c>
      <c r="D19" s="20" t="n">
        <f aca="false">MAX(0,-SUMPRODUCT((LEFT(T_BAL_2024[Compte],1)&gt;="6")*(T_BAL_2024[Clôture Crédit]-T_BAL_2024[Clôture Débit])))</f>
        <v>0</v>
      </c>
      <c r="E19" s="20" t="n">
        <f aca="false">MAX(0,SUMPRODUCT((LEFT(T_BAL_2024[Compte],1)&gt;="6")*(T_BAL_2024[Clôture Crédit]-T_BAL_2024[Clôture Débit])))</f>
        <v>72698877</v>
      </c>
      <c r="F19" s="20" t="n">
        <f aca="false">MAX(0,(H19-I19)-(D19-E19))</f>
        <v>72698877</v>
      </c>
      <c r="G19" s="20" t="n">
        <f aca="false">MAX(0,(D19-E19)-(H19-I19))</f>
        <v>0</v>
      </c>
      <c r="H19" s="20" t="n">
        <v>0</v>
      </c>
      <c r="I19" s="20" t="n">
        <v>0</v>
      </c>
      <c r="J1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L19" s="37" t="s">
        <v>248</v>
      </c>
      <c r="M19" s="29" t="s">
        <v>249</v>
      </c>
    </row>
    <row r="20" customFormat="false" ht="15" hidden="false" customHeight="false" outlineLevel="0" collapsed="false">
      <c r="A20" s="30" t="n">
        <v>162002</v>
      </c>
      <c r="B20" s="12" t="s">
        <v>250</v>
      </c>
      <c r="C20" s="13" t="s">
        <v>172</v>
      </c>
      <c r="D20" s="15" t="n">
        <f aca="false">IF(LEFT(A20,1)&gt;="6",0,SUMIFS('BALANCE 2024'!$H:$H,'BALANCE 2024'!$A:$A,A20))</f>
        <v>0</v>
      </c>
      <c r="E20" s="15" t="n">
        <f aca="false">IF(LEFT(A20,1)&gt;="6",0,SUMIFS('BALANCE 2024'!$I:$I,'BALANCE 2024'!$A:$A,A20))</f>
        <v>39658832</v>
      </c>
      <c r="F20" s="15" t="n">
        <f aca="false">ROUND('INVEST ET FINANCEMENT'!D$47,0)+(H20-I20)-(D20-E20)</f>
        <v>94054514</v>
      </c>
      <c r="G20" s="15" t="n">
        <f aca="false">ROUND('INVEST ET FINANCEMENT'!D$47,0)</f>
        <v>54395682</v>
      </c>
      <c r="H20" s="20" t="n">
        <v>0</v>
      </c>
      <c r="I20" s="15" t="n">
        <f aca="false">ROUND(E20+'INVEST ET FINANCEMENT'!D$47-'INVEST ET FINANCEMENT'!D$48,0)</f>
        <v>0</v>
      </c>
      <c r="J2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L20" s="37" t="s">
        <v>251</v>
      </c>
      <c r="M20" s="29" t="s">
        <v>252</v>
      </c>
    </row>
    <row r="21" customFormat="false" ht="15" hidden="false" customHeight="false" outlineLevel="0" collapsed="false">
      <c r="A21" s="30" t="n">
        <v>173060</v>
      </c>
      <c r="B21" s="12" t="s">
        <v>253</v>
      </c>
      <c r="C21" s="13" t="s">
        <v>175</v>
      </c>
      <c r="D21" s="15" t="n">
        <f aca="false">IF(LEFT(A21,1)&gt;="6",0,SUMIFS('BALANCE 2024'!$H:$H,'BALANCE 2024'!$A:$A,A21))</f>
        <v>0</v>
      </c>
      <c r="E21" s="15" t="n">
        <f aca="false">IF(LEFT(A21,1)&gt;="6",0,SUMIFS('BALANCE 2024'!$I:$I,'BALANCE 2024'!$A:$A,A21))</f>
        <v>10619694</v>
      </c>
      <c r="F21" s="15" t="n">
        <f aca="false">ROUND('INVEST ET FINANCEMENT'!D$49,0)</f>
        <v>10619694</v>
      </c>
      <c r="G21" s="15" t="n">
        <f aca="false">ROUND('INVEST ET FINANCEMENT'!D$49,0)+(D21-E21)-(H21-I21)</f>
        <v>0</v>
      </c>
      <c r="H21" s="20" t="n">
        <v>0</v>
      </c>
      <c r="I21" s="15" t="n">
        <f aca="false">ROUND(E21-'INVEST ET FINANCEMENT'!D$49,0)</f>
        <v>0</v>
      </c>
      <c r="J2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L21" s="37" t="s">
        <v>254</v>
      </c>
      <c r="M21" s="29" t="s">
        <v>255</v>
      </c>
    </row>
    <row r="22" customFormat="false" ht="15" hidden="false" customHeight="false" outlineLevel="0" collapsed="false">
      <c r="A22" s="30" t="n">
        <v>196100</v>
      </c>
      <c r="B22" s="12" t="s">
        <v>256</v>
      </c>
      <c r="C22" s="13" t="s">
        <v>257</v>
      </c>
      <c r="D22" s="15" t="n">
        <f aca="false">IF(LEFT(A22,1)&gt;="6",0,SUMIFS('BALANCE 2024'!$H:$H,'BALANCE 2024'!$A:$A,A22))</f>
        <v>0</v>
      </c>
      <c r="E22" s="15" t="n">
        <f aca="false">IF(LEFT(A22,1)&gt;="6",0,SUMIFS('BALANCE 2024'!$I:$I,'BALANCE 2024'!$A:$A,A22))</f>
        <v>21273896</v>
      </c>
      <c r="F22" s="15" t="n">
        <f aca="false">ROUND(HYPOTHESES!D$20,0)+(H22-I22)-(D22-E22)</f>
        <v>0</v>
      </c>
      <c r="G22" s="15" t="n">
        <f aca="false">ROUND(HYPOTHESES!D$20,0)</f>
        <v>6059296</v>
      </c>
      <c r="H22" s="20" t="n">
        <v>0</v>
      </c>
      <c r="I22" s="15" t="n">
        <f aca="false">ROUND(E22+HYPOTHESES!D$20,0)</f>
        <v>27333192</v>
      </c>
      <c r="J2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L22" s="37" t="s">
        <v>258</v>
      </c>
      <c r="M22" s="29" t="s">
        <v>259</v>
      </c>
    </row>
    <row r="23" customFormat="false" ht="15" hidden="false" customHeight="false" outlineLevel="0" collapsed="false">
      <c r="A23" s="38" t="n">
        <v>234100</v>
      </c>
      <c r="B23" s="39" t="s">
        <v>260</v>
      </c>
      <c r="C23" s="40" t="s">
        <v>261</v>
      </c>
      <c r="D23" s="43" t="n">
        <f aca="false">IF(LEFT(A23,1)&gt;="6",0,SUMIFS('BALANCE 2024'!$H:$H,'BALANCE 2024'!$A:$A,A23))</f>
        <v>103601492</v>
      </c>
      <c r="E23" s="43" t="n">
        <f aca="false">IF(LEFT(A23,1)&gt;="6",0,SUMIFS('BALANCE 2024'!$I:$I,'BALANCE 2024'!$A:$A,A23))</f>
        <v>0</v>
      </c>
      <c r="F23" s="43" t="n">
        <f aca="false">ROUND('INVEST ET FINANCEMENT'!D$9,0)</f>
        <v>0</v>
      </c>
      <c r="G23" s="43" t="n">
        <f aca="false">ROUND('INVEST ET FINANCEMENT'!D$9,0)+(D23-E23)-(H23-I23)</f>
        <v>0</v>
      </c>
      <c r="H23" s="43" t="n">
        <f aca="false">ROUND(D23+'INVEST ET FINANCEMENT'!D$9,0)</f>
        <v>103601492</v>
      </c>
      <c r="I23" s="42" t="n">
        <v>0</v>
      </c>
      <c r="J23" s="42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  <c r="L23" s="37" t="s">
        <v>262</v>
      </c>
      <c r="M23" s="29" t="s">
        <v>263</v>
      </c>
    </row>
    <row r="24" customFormat="false" ht="15" hidden="false" customHeight="false" outlineLevel="0" collapsed="false">
      <c r="A24" s="30" t="n">
        <v>241100</v>
      </c>
      <c r="B24" s="12" t="s">
        <v>264</v>
      </c>
      <c r="C24" s="13" t="s">
        <v>265</v>
      </c>
      <c r="D24" s="15" t="n">
        <f aca="false">IF(LEFT(A24,1)&gt;="6",0,SUMIFS('BALANCE 2024'!$H:$H,'BALANCE 2024'!$A:$A,A24))</f>
        <v>313845268</v>
      </c>
      <c r="E24" s="15" t="n">
        <f aca="false">IF(LEFT(A24,1)&gt;="6",0,SUMIFS('BALANCE 2024'!$I:$I,'BALANCE 2024'!$A:$A,A24))</f>
        <v>0</v>
      </c>
      <c r="F24" s="15" t="n">
        <f aca="false">ROUND('INVEST ET FINANCEMENT'!D$10,0)</f>
        <v>0</v>
      </c>
      <c r="G24" s="15" t="n">
        <f aca="false">ROUND('INVEST ET FINANCEMENT'!D$10,0)+(D24-E24)-(H24-I24)</f>
        <v>0</v>
      </c>
      <c r="H24" s="15" t="n">
        <f aca="false">ROUND(D24+'INVEST ET FINANCEMENT'!D$10,0)</f>
        <v>313845268</v>
      </c>
      <c r="I24" s="20" t="n">
        <v>0</v>
      </c>
      <c r="J2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25" customFormat="false" ht="15" hidden="false" customHeight="false" outlineLevel="0" collapsed="false">
      <c r="A25" s="30" t="n">
        <v>244100</v>
      </c>
      <c r="B25" s="12" t="s">
        <v>266</v>
      </c>
      <c r="C25" s="13" t="s">
        <v>265</v>
      </c>
      <c r="D25" s="15" t="n">
        <f aca="false">IF(LEFT(A25,1)&gt;="6",0,SUMIFS('BALANCE 2024'!$H:$H,'BALANCE 2024'!$A:$A,A25))</f>
        <v>9306956</v>
      </c>
      <c r="E25" s="15" t="n">
        <f aca="false">IF(LEFT(A25,1)&gt;="6",0,SUMIFS('BALANCE 2024'!$I:$I,'BALANCE 2024'!$A:$A,A25))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9306956</v>
      </c>
      <c r="I25" s="20" t="n">
        <v>0</v>
      </c>
      <c r="J2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26" customFormat="false" ht="15" hidden="false" customHeight="false" outlineLevel="0" collapsed="false">
      <c r="A26" s="30" t="n">
        <v>244200</v>
      </c>
      <c r="B26" s="12" t="s">
        <v>267</v>
      </c>
      <c r="C26" s="13" t="s">
        <v>265</v>
      </c>
      <c r="D26" s="15" t="n">
        <f aca="false">IF(LEFT(A26,1)&gt;="6",0,SUMIFS('BALANCE 2024'!$H:$H,'BALANCE 2024'!$A:$A,A26))</f>
        <v>12980459</v>
      </c>
      <c r="E26" s="15" t="n">
        <f aca="false">IF(LEFT(A26,1)&gt;="6",0,SUMIFS('BALANCE 2024'!$I:$I,'BALANCE 2024'!$A:$A,A26))</f>
        <v>0</v>
      </c>
      <c r="F26" s="15" t="n">
        <f aca="false">ROUND('INVEST ET FINANCEMENT'!D$11,0)</f>
        <v>930000</v>
      </c>
      <c r="G26" s="15" t="n">
        <f aca="false">ROUND('INVEST ET FINANCEMENT'!D$11,0)+(D26-E26)-(H26-I26)</f>
        <v>0</v>
      </c>
      <c r="H26" s="15" t="n">
        <f aca="false">ROUND(D26+'INVEST ET FINANCEMENT'!D$11,0)</f>
        <v>13910459</v>
      </c>
      <c r="I26" s="20" t="n">
        <v>0</v>
      </c>
      <c r="J2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27" customFormat="false" ht="15" hidden="false" customHeight="false" outlineLevel="0" collapsed="false">
      <c r="A27" s="30" t="n">
        <v>245100</v>
      </c>
      <c r="B27" s="12" t="s">
        <v>268</v>
      </c>
      <c r="C27" s="13" t="s">
        <v>269</v>
      </c>
      <c r="D27" s="15" t="n">
        <f aca="false">IF(LEFT(A27,1)&gt;="6",0,SUMIFS('BALANCE 2024'!$H:$H,'BALANCE 2024'!$A:$A,A27))</f>
        <v>408044985</v>
      </c>
      <c r="E27" s="15" t="n">
        <f aca="false">IF(LEFT(A27,1)&gt;="6",0,SUMIFS('BALANCE 2024'!$I:$I,'BALANCE 2024'!$A:$A,A27))</f>
        <v>0</v>
      </c>
      <c r="F27" s="15" t="n">
        <f aca="false">ROUND('INVEST ET FINANCEMENT'!D$12,0)</f>
        <v>15593220</v>
      </c>
      <c r="G27" s="15" t="n">
        <f aca="false">ROUND('INVEST ET FINANCEMENT'!D$12,0)+(D27-E27)-(H27-I27)</f>
        <v>0</v>
      </c>
      <c r="H27" s="15" t="n">
        <f aca="false">ROUND(D27+'INVEST ET FINANCEMENT'!D$12,0)</f>
        <v>423638205</v>
      </c>
      <c r="I27" s="20" t="n">
        <v>0</v>
      </c>
      <c r="J2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28" customFormat="false" ht="15" hidden="false" customHeight="false" outlineLevel="0" collapsed="false">
      <c r="A28" s="30" t="n">
        <v>245600</v>
      </c>
      <c r="B28" s="12" t="s">
        <v>270</v>
      </c>
      <c r="C28" s="13" t="s">
        <v>269</v>
      </c>
      <c r="D28" s="15" t="n">
        <f aca="false">IF(LEFT(A28,1)&gt;="6",0,SUMIFS('BALANCE 2024'!$H:$H,'BALANCE 2024'!$A:$A,A28))</f>
        <v>28619694</v>
      </c>
      <c r="E28" s="15" t="n">
        <f aca="false">IF(LEFT(A28,1)&gt;="6",0,SUMIFS('BALANCE 2024'!$I:$I,'BALANCE 2024'!$A:$A,A28))</f>
        <v>0</v>
      </c>
      <c r="F28" s="20" t="n">
        <f aca="false">MAX(0,(H28-I28)-(D28-E28))</f>
        <v>0</v>
      </c>
      <c r="G28" s="20" t="n">
        <f aca="false">MAX(0,(D28-E28)-(H28-I28))</f>
        <v>0</v>
      </c>
      <c r="H28" s="20" t="n">
        <f aca="false">ROUND(D28,0)</f>
        <v>28619694</v>
      </c>
      <c r="I28" s="20" t="n">
        <v>0</v>
      </c>
      <c r="J2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29" customFormat="false" ht="15" hidden="false" customHeight="false" outlineLevel="0" collapsed="false">
      <c r="A29" s="30" t="n">
        <v>271800</v>
      </c>
      <c r="B29" s="12" t="s">
        <v>271</v>
      </c>
      <c r="C29" s="13" t="s">
        <v>272</v>
      </c>
      <c r="D29" s="15" t="n">
        <f aca="false">IF(LEFT(A29,1)&gt;="6",0,SUMIFS('BALANCE 2024'!$H:$H,'BALANCE 2024'!$A:$A,A29))</f>
        <v>25000000</v>
      </c>
      <c r="E29" s="15" t="n">
        <f aca="false">IF(LEFT(A29,1)&gt;="6",0,SUMIFS('BALANCE 2024'!$I:$I,'BALANCE 2024'!$A:$A,A29))</f>
        <v>0</v>
      </c>
      <c r="F29" s="20" t="n">
        <f aca="false">MAX(0,(H29-I29)-(D29-E29))</f>
        <v>0</v>
      </c>
      <c r="G29" s="20" t="n">
        <f aca="false">MAX(0,(D29-E29)-(H29-I29))</f>
        <v>0</v>
      </c>
      <c r="H29" s="20" t="n">
        <f aca="false">ROUND(D29,0)</f>
        <v>25000000</v>
      </c>
      <c r="I29" s="20" t="n">
        <v>0</v>
      </c>
      <c r="J2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0" customFormat="false" ht="15" hidden="false" customHeight="false" outlineLevel="0" collapsed="false">
      <c r="A30" s="30" t="n">
        <v>275100</v>
      </c>
      <c r="B30" s="12" t="s">
        <v>273</v>
      </c>
      <c r="C30" s="13" t="s">
        <v>272</v>
      </c>
      <c r="D30" s="15" t="n">
        <f aca="false">IF(LEFT(A30,1)&gt;="6",0,SUMIFS('BALANCE 2024'!$H:$H,'BALANCE 2024'!$A:$A,A30))</f>
        <v>231420138</v>
      </c>
      <c r="E30" s="15" t="n">
        <f aca="false">IF(LEFT(A30,1)&gt;="6",0,SUMIFS('BALANCE 2024'!$I:$I,'BALANCE 2024'!$A:$A,A30))</f>
        <v>0</v>
      </c>
      <c r="F30" s="15" t="n">
        <f aca="false">ROUND('INVEST ET FINANCEMENT'!D$13,0)</f>
        <v>0</v>
      </c>
      <c r="G30" s="15" t="n">
        <f aca="false">ROUND('INVEST ET FINANCEMENT'!D$13,0)+(D30-E30)-(H30-I30)</f>
        <v>0</v>
      </c>
      <c r="H30" s="15" t="n">
        <f aca="false">ROUND(D30+'INVEST ET FINANCEMENT'!D$13,0)</f>
        <v>231420138</v>
      </c>
      <c r="I30" s="20" t="n">
        <v>0</v>
      </c>
      <c r="J3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1" customFormat="false" ht="15" hidden="false" customHeight="false" outlineLevel="0" collapsed="false">
      <c r="A31" s="30" t="n">
        <v>283400</v>
      </c>
      <c r="B31" s="12" t="s">
        <v>274</v>
      </c>
      <c r="C31" s="13" t="s">
        <v>261</v>
      </c>
      <c r="D31" s="15" t="n">
        <f aca="false">IF(LEFT(A31,1)&gt;="6",0,SUMIFS('BALANCE 2024'!$H:$H,'BALANCE 2024'!$A:$A,A31))</f>
        <v>0</v>
      </c>
      <c r="E31" s="15" t="n">
        <f aca="false">IF(LEFT(A31,1)&gt;="6",0,SUMIFS('BALANCE 2024'!$I:$I,'BALANCE 2024'!$A:$A,A31))</f>
        <v>41936476</v>
      </c>
      <c r="F31" s="15" t="n">
        <f aca="false">ROUND('INVEST ET FINANCEMENT'!D$31,0)+(H31-I31)-(D31-E31)</f>
        <v>0</v>
      </c>
      <c r="G31" s="15" t="n">
        <f aca="false">ROUND('INVEST ET FINANCEMENT'!D$31,0)</f>
        <v>19282845</v>
      </c>
      <c r="H31" s="20" t="n">
        <v>0</v>
      </c>
      <c r="I31" s="15" t="n">
        <f aca="false">ROUND(E31+'INVEST ET FINANCEMENT'!D$31,0)</f>
        <v>61219321</v>
      </c>
      <c r="J3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2" customFormat="false" ht="15" hidden="false" customHeight="false" outlineLevel="0" collapsed="false">
      <c r="A32" s="30" t="n">
        <v>284100</v>
      </c>
      <c r="B32" s="12" t="s">
        <v>275</v>
      </c>
      <c r="C32" s="13" t="s">
        <v>265</v>
      </c>
      <c r="D32" s="15" t="n">
        <f aca="false">IF(LEFT(A32,1)&gt;="6",0,SUMIFS('BALANCE 2024'!$H:$H,'BALANCE 2024'!$A:$A,A32))</f>
        <v>0</v>
      </c>
      <c r="E32" s="15" t="n">
        <f aca="false">IF(LEFT(A32,1)&gt;="6",0,SUMIFS('BALANCE 2024'!$I:$I,'BALANCE 2024'!$A:$A,A32))</f>
        <v>55983764</v>
      </c>
      <c r="F32" s="15" t="n">
        <f aca="false">ROUND('INVEST ET FINANCEMENT'!D$34,0)+(H32-I32)-(D32-E32)</f>
        <v>0</v>
      </c>
      <c r="G32" s="15" t="n">
        <f aca="false">ROUND('INVEST ET FINANCEMENT'!D$34,0)</f>
        <v>28205053</v>
      </c>
      <c r="H32" s="20" t="n">
        <v>0</v>
      </c>
      <c r="I32" s="15" t="n">
        <f aca="false">ROUND(E32+'INVEST ET FINANCEMENT'!D$34,0)</f>
        <v>84188817</v>
      </c>
      <c r="J3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3" customFormat="false" ht="15" hidden="false" customHeight="false" outlineLevel="0" collapsed="false">
      <c r="A33" s="30" t="n">
        <v>284400</v>
      </c>
      <c r="B33" s="12" t="s">
        <v>276</v>
      </c>
      <c r="C33" s="13" t="s">
        <v>265</v>
      </c>
      <c r="D33" s="15" t="n">
        <f aca="false">IF(LEFT(A33,1)&gt;="6",0,SUMIFS('BALANCE 2024'!$H:$H,'BALANCE 2024'!$A:$A,A33))</f>
        <v>0</v>
      </c>
      <c r="E33" s="15" t="n">
        <f aca="false">IF(LEFT(A33,1)&gt;="6",0,SUMIFS('BALANCE 2024'!$I:$I,'BALANCE 2024'!$A:$A,A33))</f>
        <v>12708358</v>
      </c>
      <c r="F33" s="15" t="n">
        <f aca="false">ROUND('INVEST ET FINANCEMENT'!D$37,0)+(H33-I33)-(D33-E33)</f>
        <v>0</v>
      </c>
      <c r="G33" s="15" t="n">
        <f aca="false">ROUND('INVEST ET FINANCEMENT'!D$37,0)</f>
        <v>5399884</v>
      </c>
      <c r="H33" s="20" t="n">
        <v>0</v>
      </c>
      <c r="I33" s="15" t="n">
        <f aca="false">ROUND(E33+'INVEST ET FINANCEMENT'!D$37,0)</f>
        <v>18108242</v>
      </c>
      <c r="J3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4" customFormat="false" ht="15" hidden="false" customHeight="false" outlineLevel="0" collapsed="false">
      <c r="A34" s="30" t="n">
        <v>284500</v>
      </c>
      <c r="B34" s="12" t="s">
        <v>277</v>
      </c>
      <c r="C34" s="13" t="s">
        <v>269</v>
      </c>
      <c r="D34" s="15" t="n">
        <f aca="false">IF(LEFT(A34,1)&gt;="6",0,SUMIFS('BALANCE 2024'!$H:$H,'BALANCE 2024'!$A:$A,A34))</f>
        <v>0</v>
      </c>
      <c r="E34" s="15" t="n">
        <f aca="false">IF(LEFT(A34,1)&gt;="6",0,SUMIFS('BALANCE 2024'!$I:$I,'BALANCE 2024'!$A:$A,A34))</f>
        <v>362909076</v>
      </c>
      <c r="F34" s="15" t="n">
        <f aca="false">ROUND('INVEST ET FINANCEMENT'!D$40,0)+(H34-I34)-(D34-E34)</f>
        <v>0</v>
      </c>
      <c r="G34" s="15" t="n">
        <f aca="false">ROUND('INVEST ET FINANCEMENT'!D$40,0)</f>
        <v>18958378</v>
      </c>
      <c r="H34" s="20" t="n">
        <v>0</v>
      </c>
      <c r="I34" s="15" t="n">
        <f aca="false">ROUND(E34+'INVEST ET FINANCEMENT'!D$40,0)</f>
        <v>381867454</v>
      </c>
      <c r="J3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5" customFormat="false" ht="15" hidden="false" customHeight="false" outlineLevel="0" collapsed="false">
      <c r="A35" s="38" t="n">
        <v>401100</v>
      </c>
      <c r="B35" s="39" t="s">
        <v>278</v>
      </c>
      <c r="C35" s="40" t="s">
        <v>279</v>
      </c>
      <c r="D35" s="43" t="n">
        <f aca="false">IF(LEFT(A35,1)&gt;="6",0,SUMIFS('BALANCE 2024'!$H:$H,'BALANCE 2024'!$A:$A,A35))</f>
        <v>0</v>
      </c>
      <c r="E35" s="43" t="n">
        <f aca="false">IF(LEFT(A35,1)&gt;="6",0,SUMIFS('BALANCE 2024'!$I:$I,'BALANCE 2024'!$A:$A,A35))</f>
        <v>72947866</v>
      </c>
      <c r="F35" s="43" t="n">
        <f aca="false">ROUND(HYPOTHESES!D$49*(1+HYPOTHESES!D$10),0)+(H35-I35)-(D35-E35)</f>
        <v>486035333</v>
      </c>
      <c r="G35" s="43" t="n">
        <f aca="false">ROUND(HYPOTHESES!D$49*(1+HYPOTHESES!D$10),0)</f>
        <v>490796991</v>
      </c>
      <c r="H35" s="42" t="n">
        <v>0</v>
      </c>
      <c r="I35" s="43" t="n">
        <f aca="false">ROUND(HYPOTHESES!D$49*(1+HYPOTHESES!D$10)*HYPOTHESES!D$23/360,0)</f>
        <v>77709524</v>
      </c>
      <c r="J35" s="42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6" customFormat="false" ht="15" hidden="false" customHeight="false" outlineLevel="0" collapsed="false">
      <c r="A36" s="30" t="n">
        <v>409100</v>
      </c>
      <c r="B36" s="12" t="s">
        <v>280</v>
      </c>
      <c r="C36" s="13" t="s">
        <v>281</v>
      </c>
      <c r="D36" s="15" t="n">
        <f aca="false">IF(LEFT(A36,1)&gt;="6",0,SUMIFS('BALANCE 2024'!$H:$H,'BALANCE 2024'!$A:$A,A36))</f>
        <v>0</v>
      </c>
      <c r="E36" s="15" t="n">
        <f aca="false">IF(LEFT(A36,1)&gt;="6",0,SUMIFS('BALANCE 2024'!$I:$I,'BALANCE 2024'!$A:$A,A36))</f>
        <v>0</v>
      </c>
      <c r="F36" s="20" t="n">
        <f aca="false">MAX(0,(H36-I36)-(D36-E36))</f>
        <v>0</v>
      </c>
      <c r="G36" s="20" t="n">
        <f aca="false">MAX(0,(D36-E36)-(H36-I36))</f>
        <v>0</v>
      </c>
      <c r="H36" s="15" t="n">
        <f aca="false">ROUND(IF(LEFT(A36,1)&gt;="6",IF(C36="RE",IF(HYPOTHESES!$C$43=0,0,HYPOTHESES!D$43*SUMIFS('BALANCE 2024'!$H:$H,'BALANCE 2024'!$A:$A,A36)/HYPOTHESES!$C$43),IF(C36="RG",IF(HYPOTHESES!$C$44=0,0,HYPOTHESES!D$44*SUMIFS('BALANCE 2024'!$H:$H,'BALANCE 2024'!$A:$A,A36)/HYPOTHESES!$C$44),IF(C36="RH",IF(HYPOTHESES!$C$45=0,0,HYPOTHESES!D$45*SUMIFS('BALANCE 2024'!$H:$H,'BALANCE 2024'!$A:$A,A36)/HYPOTHESES!$C$45),IF(C36="RI",IF(HYPOTHESES!$C$46=0,0,HYPOTHESES!D$46*SUMIFS('BALANCE 2024'!$H:$H,'BALANCE 2024'!$A:$A,A36)/HYPOTHESES!$C$46),IF(C36="RJ",IF(HYPOTHESES!$C$47=0,0,HYPOTHESES!D$47*SUMIFS('BALANCE 2024'!$H:$H,'BALANCE 2024'!$A:$A,A36)/HYPOTHESES!$C$47),IF(C36="RK",IF(HYPOTHESES!$C$48=0,0,HYPOTHESES!D$48*SUMIFS('BALANCE 2024'!$H:$H,'BALANCE 2024'!$A:$A,A36)/HYPOTHESES!$C$48),0)))))),MAX(0,D36-E36)),0)</f>
        <v>0</v>
      </c>
      <c r="I36" s="20" t="n">
        <f aca="false">ROUND(IF(LEFT(A36,1)&gt;="6",0,MAX(0,E36-D36)),0)</f>
        <v>0</v>
      </c>
      <c r="J3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7" customFormat="false" ht="15" hidden="false" customHeight="false" outlineLevel="0" collapsed="false">
      <c r="A37" s="30" t="n">
        <v>411100</v>
      </c>
      <c r="B37" s="12" t="s">
        <v>282</v>
      </c>
      <c r="C37" s="13" t="s">
        <v>283</v>
      </c>
      <c r="D37" s="15" t="n">
        <f aca="false">IF(LEFT(A37,1)&gt;="6",0,SUMIFS('BALANCE 2024'!$H:$H,'BALANCE 2024'!$A:$A,A37))</f>
        <v>452271396</v>
      </c>
      <c r="E37" s="15" t="n">
        <f aca="false">IF(LEFT(A37,1)&gt;="6",0,SUMIFS('BALANCE 2024'!$I:$I,'BALANCE 2024'!$A:$A,A37))</f>
        <v>0</v>
      </c>
      <c r="F37" s="15" t="n">
        <f aca="false">ROUND(HYPOTHESES!D$42*(1+HYPOTHESES!D$10),0)</f>
        <v>885116306</v>
      </c>
      <c r="G37" s="15" t="n">
        <f aca="false">ROUND(HYPOTHESES!D$42*(1+HYPOTHESES!D$10),0)+(D37-E37)-(H37-I37)</f>
        <v>870242985</v>
      </c>
      <c r="H37" s="15" t="n">
        <f aca="false">ROUND(HYPOTHESES!D$42*(1+HYPOTHESES!D$10)*HYPOTHESES!D$22/360,0)</f>
        <v>467144717</v>
      </c>
      <c r="I37" s="20" t="n">
        <v>0</v>
      </c>
      <c r="J3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8" customFormat="false" ht="15" hidden="false" customHeight="false" outlineLevel="0" collapsed="false">
      <c r="A38" s="30" t="n">
        <v>422000</v>
      </c>
      <c r="B38" s="12" t="s">
        <v>284</v>
      </c>
      <c r="C38" s="13" t="s">
        <v>285</v>
      </c>
      <c r="D38" s="15" t="n">
        <f aca="false">IF(LEFT(A38,1)&gt;="6",0,SUMIFS('BALANCE 2024'!$H:$H,'BALANCE 2024'!$A:$A,A38))</f>
        <v>0</v>
      </c>
      <c r="E38" s="15" t="n">
        <f aca="false">IF(LEFT(A38,1)&gt;="6",0,SUMIFS('BALANCE 2024'!$I:$I,'BALANCE 2024'!$A:$A,A38))</f>
        <v>11147549</v>
      </c>
      <c r="F38" s="15" t="n">
        <f aca="false">ROUND(IF(HYPOTHESES!$C$48=0,0,'BALANCE 2024'!$G$38*HYPOTHESES!D$48/HYPOTHESES!$C$48),0)+(H38-I38)-(D38-E38)</f>
        <v>86159431</v>
      </c>
      <c r="G38" s="15" t="n">
        <f aca="false">ROUND(IF(HYPOTHESES!$C$48=0,0,'BALANCE 2024'!$G$38*HYPOTHESES!D$48/HYPOTHESES!$C$48),0)</f>
        <v>86936353</v>
      </c>
      <c r="H38" s="20" t="n">
        <v>0</v>
      </c>
      <c r="I38" s="15" t="n">
        <f aca="false">ROUND(IF(HYPOTHESES!$C$48=0,0,'BALANCE 2024'!$I$38*HYPOTHESES!D$48/HYPOTHESES!$C$48),0)</f>
        <v>11924471</v>
      </c>
      <c r="J3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39" customFormat="false" ht="15" hidden="false" customHeight="false" outlineLevel="0" collapsed="false">
      <c r="A39" s="30" t="n">
        <v>431301</v>
      </c>
      <c r="B39" s="12" t="s">
        <v>286</v>
      </c>
      <c r="C39" s="13" t="s">
        <v>285</v>
      </c>
      <c r="D39" s="15" t="n">
        <f aca="false">IF(LEFT(A39,1)&gt;="6",0,SUMIFS('BALANCE 2024'!$H:$H,'BALANCE 2024'!$A:$A,A39))</f>
        <v>0</v>
      </c>
      <c r="E39" s="15" t="n">
        <f aca="false">IF(LEFT(A39,1)&gt;="6",0,SUMIFS('BALANCE 2024'!$I:$I,'BALANCE 2024'!$A:$A,A39))</f>
        <v>4859377</v>
      </c>
      <c r="F39" s="15" t="n">
        <f aca="false">ROUND(IF(HYPOTHESES!$C$48=0,0,'BALANCE 2024'!$G$39*HYPOTHESES!D$48/HYPOTHESES!$C$48),0)+(H39-I39)-(D39-E39)</f>
        <v>7154830</v>
      </c>
      <c r="G39" s="15" t="n">
        <f aca="false">ROUND(IF(HYPOTHESES!$C$48=0,0,'BALANCE 2024'!$G$39*HYPOTHESES!D$48/HYPOTHESES!$C$48),0)</f>
        <v>7493502</v>
      </c>
      <c r="H39" s="20" t="n">
        <v>0</v>
      </c>
      <c r="I39" s="15" t="n">
        <f aca="false">ROUND(IF(HYPOTHESES!$C$48=0,0,'BALANCE 2024'!$I$39*HYPOTHESES!D$48/HYPOTHESES!$C$48),0)</f>
        <v>5198049</v>
      </c>
      <c r="J3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0" customFormat="false" ht="15" hidden="false" customHeight="false" outlineLevel="0" collapsed="false">
      <c r="A40" s="30" t="n">
        <v>431302</v>
      </c>
      <c r="B40" s="12" t="s">
        <v>287</v>
      </c>
      <c r="C40" s="13" t="s">
        <v>285</v>
      </c>
      <c r="D40" s="15" t="n">
        <f aca="false">IF(LEFT(A40,1)&gt;="6",0,SUMIFS('BALANCE 2024'!$H:$H,'BALANCE 2024'!$A:$A,A40))</f>
        <v>0</v>
      </c>
      <c r="E40" s="15" t="n">
        <f aca="false">IF(LEFT(A40,1)&gt;="6",0,SUMIFS('BALANCE 2024'!$I:$I,'BALANCE 2024'!$A:$A,A40))</f>
        <v>1202405</v>
      </c>
      <c r="F40" s="15" t="n">
        <f aca="false">ROUND(IF(HYPOTHESES!$C$48=0,0,'BALANCE 2024'!$G$40*HYPOTHESES!D$48/HYPOTHESES!$C$48),0)+(H40-I40)-(D40-E40)</f>
        <v>12174245</v>
      </c>
      <c r="G40" s="15" t="n">
        <f aca="false">ROUND(IF(HYPOTHESES!$C$48=0,0,'BALANCE 2024'!$G$40*HYPOTHESES!D$48/HYPOTHESES!$C$48),0)</f>
        <v>12258046</v>
      </c>
      <c r="H40" s="20" t="n">
        <v>0</v>
      </c>
      <c r="I40" s="15" t="n">
        <f aca="false">ROUND(IF(HYPOTHESES!$C$48=0,0,'BALANCE 2024'!$I$40*HYPOTHESES!D$48/HYPOTHESES!$C$48),0)</f>
        <v>1286206</v>
      </c>
      <c r="J4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1" customFormat="false" ht="15" hidden="false" customHeight="false" outlineLevel="0" collapsed="false">
      <c r="A41" s="30" t="n">
        <v>431802</v>
      </c>
      <c r="B41" s="12" t="s">
        <v>288</v>
      </c>
      <c r="C41" s="13" t="s">
        <v>285</v>
      </c>
      <c r="D41" s="15" t="n">
        <f aca="false">IF(LEFT(A41,1)&gt;="6",0,SUMIFS('BALANCE 2024'!$H:$H,'BALANCE 2024'!$A:$A,A41))</f>
        <v>0</v>
      </c>
      <c r="E41" s="15" t="n">
        <f aca="false">IF(LEFT(A41,1)&gt;="6",0,SUMIFS('BALANCE 2024'!$I:$I,'BALANCE 2024'!$A:$A,A41))</f>
        <v>161938</v>
      </c>
      <c r="F41" s="15" t="n">
        <f aca="false">ROUND(IF(HYPOTHESES!$C$48=0,0,'BALANCE 2024'!$G$41*HYPOTHESES!D$48/HYPOTHESES!$C$48),0)+(H41-I41)-(D41-E41)</f>
        <v>403349</v>
      </c>
      <c r="G41" s="15" t="n">
        <f aca="false">ROUND(IF(HYPOTHESES!$C$48=0,0,'BALANCE 2024'!$G$41*HYPOTHESES!D$48/HYPOTHESES!$C$48),0)</f>
        <v>414635</v>
      </c>
      <c r="H41" s="20" t="n">
        <v>0</v>
      </c>
      <c r="I41" s="15" t="n">
        <f aca="false">ROUND(IF(HYPOTHESES!$C$48=0,0,'BALANCE 2024'!$I$41*HYPOTHESES!D$48/HYPOTHESES!$C$48),0)</f>
        <v>173224</v>
      </c>
      <c r="J4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2" customFormat="false" ht="15" hidden="false" customHeight="false" outlineLevel="0" collapsed="false">
      <c r="A42" s="30" t="n">
        <v>433300</v>
      </c>
      <c r="B42" s="12" t="s">
        <v>289</v>
      </c>
      <c r="C42" s="13" t="s">
        <v>285</v>
      </c>
      <c r="D42" s="15" t="n">
        <f aca="false">IF(LEFT(A42,1)&gt;="6",0,SUMIFS('BALANCE 2024'!$H:$H,'BALANCE 2024'!$A:$A,A42))</f>
        <v>0</v>
      </c>
      <c r="E42" s="15" t="n">
        <f aca="false">IF(LEFT(A42,1)&gt;="6",0,SUMIFS('BALANCE 2024'!$I:$I,'BALANCE 2024'!$A:$A,A42))</f>
        <v>0</v>
      </c>
      <c r="F42" s="15" t="n">
        <f aca="false">ROUND(IF(HYPOTHESES!$C$48=0,0,'BALANCE 2024'!$G$42*HYPOTHESES!D$48/HYPOTHESES!$C$48),0)+(H42-I42)-(D42-E42)</f>
        <v>0</v>
      </c>
      <c r="G42" s="15" t="n">
        <f aca="false">ROUND(IF(HYPOTHESES!$C$48=0,0,'BALANCE 2024'!$G$42*HYPOTHESES!D$48/HYPOTHESES!$C$48),0)</f>
        <v>0</v>
      </c>
      <c r="H42" s="20" t="n">
        <v>0</v>
      </c>
      <c r="I42" s="15" t="n">
        <f aca="false">ROUND(IF(HYPOTHESES!$C$48=0,0,'BALANCE 2024'!$I$42*HYPOTHESES!D$48/HYPOTHESES!$C$48),0)</f>
        <v>0</v>
      </c>
      <c r="J4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3" customFormat="false" ht="15" hidden="false" customHeight="false" outlineLevel="0" collapsed="false">
      <c r="A43" s="30" t="n">
        <v>441000</v>
      </c>
      <c r="B43" s="12" t="s">
        <v>290</v>
      </c>
      <c r="C43" s="13" t="s">
        <v>285</v>
      </c>
      <c r="D43" s="15" t="n">
        <f aca="false">IF(LEFT(A43,1)&gt;="6",0,SUMIFS('BALANCE 2024'!$H:$H,'BALANCE 2024'!$A:$A,A43))</f>
        <v>0</v>
      </c>
      <c r="E43" s="15" t="n">
        <f aca="false">IF(LEFT(A43,1)&gt;="6",0,SUMIFS('BALANCE 2024'!$I:$I,'BALANCE 2024'!$A:$A,A43))</f>
        <v>24232959</v>
      </c>
      <c r="F43" s="15" t="n">
        <f aca="false">ROUND(HYPOTHESES!D$56,0)+(H43-I43)-(D43-E43)</f>
        <v>24232959</v>
      </c>
      <c r="G43" s="15" t="n">
        <f aca="false">ROUND(HYPOTHESES!D$56,0)</f>
        <v>30838289</v>
      </c>
      <c r="H43" s="20" t="n">
        <v>0</v>
      </c>
      <c r="I43" s="15" t="n">
        <f aca="false">ROUND(HYPOTHESES!D$56,0)</f>
        <v>30838289</v>
      </c>
      <c r="J4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4" customFormat="false" ht="15" hidden="false" customHeight="false" outlineLevel="0" collapsed="false">
      <c r="A44" s="30" t="n">
        <v>442800</v>
      </c>
      <c r="B44" s="12" t="s">
        <v>291</v>
      </c>
      <c r="C44" s="13" t="s">
        <v>285</v>
      </c>
      <c r="D44" s="15" t="n">
        <f aca="false">IF(LEFT(A44,1)&gt;="6",0,SUMIFS('BALANCE 2024'!$H:$H,'BALANCE 2024'!$A:$A,A44))</f>
        <v>0</v>
      </c>
      <c r="E44" s="15" t="n">
        <f aca="false">IF(LEFT(A44,1)&gt;="6",0,SUMIFS('BALANCE 2024'!$I:$I,'BALANCE 2024'!$A:$A,A44))</f>
        <v>725658</v>
      </c>
      <c r="F44" s="15" t="n">
        <f aca="false">ROUND(IF(HYPOTHESES!$C$46=0,0,'BALANCE 2024'!$G$44*HYPOTHESES!D$46/HYPOTHESES!$C$46),0)+(H44-I44)-(D44-E44)</f>
        <v>725658</v>
      </c>
      <c r="G44" s="15" t="n">
        <f aca="false">ROUND(IF(HYPOTHESES!$C$46=0,0,'BALANCE 2024'!$G$44*HYPOTHESES!D$46/HYPOTHESES!$C$46),0)</f>
        <v>776041</v>
      </c>
      <c r="H44" s="20" t="n">
        <v>0</v>
      </c>
      <c r="I44" s="15" t="n">
        <f aca="false">ROUND(IF(HYPOTHESES!$C$46=0,0,'BALANCE 2024'!$I$44*HYPOTHESES!D$46/HYPOTHESES!$C$46),0)</f>
        <v>776041</v>
      </c>
      <c r="J4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5" customFormat="false" ht="15" hidden="false" customHeight="false" outlineLevel="0" collapsed="false">
      <c r="A45" s="30" t="n">
        <v>442801</v>
      </c>
      <c r="B45" s="12" t="s">
        <v>292</v>
      </c>
      <c r="C45" s="13" t="s">
        <v>285</v>
      </c>
      <c r="D45" s="15" t="n">
        <f aca="false">IF(LEFT(A45,1)&gt;="6",0,SUMIFS('BALANCE 2024'!$H:$H,'BALANCE 2024'!$A:$A,A45))</f>
        <v>0</v>
      </c>
      <c r="E45" s="15" t="n">
        <f aca="false">IF(LEFT(A45,1)&gt;="6",0,SUMIFS('BALANCE 2024'!$I:$I,'BALANCE 2024'!$A:$A,A45))</f>
        <v>104066</v>
      </c>
      <c r="F45" s="15" t="n">
        <f aca="false">ROUND(IF(HYPOTHESES!$C$46=0,0,'BALANCE 2024'!$G$45*HYPOTHESES!D$46/HYPOTHESES!$C$46),0)+(H45-I45)-(D45-E45)</f>
        <v>104066</v>
      </c>
      <c r="G45" s="15" t="n">
        <f aca="false">ROUND(IF(HYPOTHESES!$C$46=0,0,'BALANCE 2024'!$G$45*HYPOTHESES!D$46/HYPOTHESES!$C$46),0)</f>
        <v>111291</v>
      </c>
      <c r="H45" s="20" t="n">
        <v>0</v>
      </c>
      <c r="I45" s="15" t="n">
        <f aca="false">ROUND(IF(HYPOTHESES!$C$46=0,0,'BALANCE 2024'!$I$45*HYPOTHESES!D$46/HYPOTHESES!$C$46),0)</f>
        <v>111291</v>
      </c>
      <c r="J4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6" customFormat="false" ht="15" hidden="false" customHeight="false" outlineLevel="0" collapsed="false">
      <c r="A46" s="30" t="n">
        <v>442802</v>
      </c>
      <c r="B46" s="12" t="s">
        <v>293</v>
      </c>
      <c r="C46" s="13" t="s">
        <v>285</v>
      </c>
      <c r="D46" s="15" t="n">
        <f aca="false">IF(LEFT(A46,1)&gt;="6",0,SUMIFS('BALANCE 2024'!$H:$H,'BALANCE 2024'!$A:$A,A46))</f>
        <v>0</v>
      </c>
      <c r="E46" s="15" t="n">
        <f aca="false">IF(LEFT(A46,1)&gt;="6",0,SUMIFS('BALANCE 2024'!$I:$I,'BALANCE 2024'!$A:$A,A46))</f>
        <v>156106</v>
      </c>
      <c r="F46" s="15" t="n">
        <f aca="false">ROUND(IF(HYPOTHESES!$C$46=0,0,'BALANCE 2024'!$G$46*HYPOTHESES!D$46/HYPOTHESES!$C$46),0)+(H46-I46)-(D46-E46)</f>
        <v>156106</v>
      </c>
      <c r="G46" s="15" t="n">
        <f aca="false">ROUND(IF(HYPOTHESES!$C$46=0,0,'BALANCE 2024'!$G$46*HYPOTHESES!D$46/HYPOTHESES!$C$46),0)</f>
        <v>166945</v>
      </c>
      <c r="H46" s="20" t="n">
        <v>0</v>
      </c>
      <c r="I46" s="15" t="n">
        <f aca="false">ROUND(IF(HYPOTHESES!$C$46=0,0,'BALANCE 2024'!$I$46*HYPOTHESES!D$46/HYPOTHESES!$C$46),0)</f>
        <v>166945</v>
      </c>
      <c r="J4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7" customFormat="false" ht="15" hidden="false" customHeight="false" outlineLevel="0" collapsed="false">
      <c r="A47" s="30" t="n">
        <v>442803</v>
      </c>
      <c r="B47" s="12" t="s">
        <v>294</v>
      </c>
      <c r="C47" s="13" t="s">
        <v>285</v>
      </c>
      <c r="D47" s="15" t="n">
        <f aca="false">IF(LEFT(A47,1)&gt;="6",0,SUMIFS('BALANCE 2024'!$H:$H,'BALANCE 2024'!$A:$A,A47))</f>
        <v>0</v>
      </c>
      <c r="E47" s="15" t="n">
        <f aca="false">IF(LEFT(A47,1)&gt;="6",0,SUMIFS('BALANCE 2024'!$I:$I,'BALANCE 2024'!$A:$A,A47))</f>
        <v>156105</v>
      </c>
      <c r="F47" s="15" t="n">
        <f aca="false">ROUND(IF(HYPOTHESES!$C$46=0,0,'BALANCE 2024'!$G$47*HYPOTHESES!D$46/HYPOTHESES!$C$46),0)+(H47-I47)-(D47-E47)</f>
        <v>156105</v>
      </c>
      <c r="G47" s="15" t="n">
        <f aca="false">ROUND(IF(HYPOTHESES!$C$46=0,0,'BALANCE 2024'!$G$47*HYPOTHESES!D$46/HYPOTHESES!$C$46),0)</f>
        <v>166944</v>
      </c>
      <c r="H47" s="20" t="n">
        <v>0</v>
      </c>
      <c r="I47" s="15" t="n">
        <f aca="false">ROUND(IF(HYPOTHESES!$C$46=0,0,'BALANCE 2024'!$I$47*HYPOTHESES!D$46/HYPOTHESES!$C$46),0)</f>
        <v>166944</v>
      </c>
      <c r="J4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8" customFormat="false" ht="15" hidden="false" customHeight="false" outlineLevel="0" collapsed="false">
      <c r="A48" s="30" t="n">
        <v>442820</v>
      </c>
      <c r="B48" s="12" t="s">
        <v>295</v>
      </c>
      <c r="C48" s="13" t="s">
        <v>285</v>
      </c>
      <c r="D48" s="15" t="n">
        <f aca="false">IF(LEFT(A48,1)&gt;="6",0,SUMIFS('BALANCE 2024'!$H:$H,'BALANCE 2024'!$A:$A,A48))</f>
        <v>0</v>
      </c>
      <c r="E48" s="15" t="n">
        <f aca="false">IF(LEFT(A48,1)&gt;="6",0,SUMIFS('BALANCE 2024'!$I:$I,'BALANCE 2024'!$A:$A,A48))</f>
        <v>367610</v>
      </c>
      <c r="F48" s="15" t="n">
        <f aca="false">ROUND(IF(HYPOTHESES!$C$46=0,0,'BALANCE 2024'!$G$48*HYPOTHESES!D$46/HYPOTHESES!$C$46),0)+(H48-I48)-(D48-E48)</f>
        <v>858441</v>
      </c>
      <c r="G48" s="15" t="n">
        <f aca="false">ROUND(IF(HYPOTHESES!$C$46=0,0,'BALANCE 2024'!$G$48*HYPOTHESES!D$46/HYPOTHESES!$C$46),0)</f>
        <v>883965</v>
      </c>
      <c r="H48" s="20" t="n">
        <v>0</v>
      </c>
      <c r="I48" s="15" t="n">
        <f aca="false">ROUND(IF(HYPOTHESES!$C$46=0,0,'BALANCE 2024'!$I$48*HYPOTHESES!D$46/HYPOTHESES!$C$46),0)</f>
        <v>393134</v>
      </c>
      <c r="J4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49" customFormat="false" ht="15" hidden="false" customHeight="false" outlineLevel="0" collapsed="false">
      <c r="A49" s="30" t="n">
        <v>442840</v>
      </c>
      <c r="B49" s="12" t="s">
        <v>296</v>
      </c>
      <c r="C49" s="13" t="s">
        <v>285</v>
      </c>
      <c r="D49" s="15" t="n">
        <f aca="false">IF(LEFT(A49,1)&gt;="6",0,SUMIFS('BALANCE 2024'!$H:$H,'BALANCE 2024'!$A:$A,A49))</f>
        <v>0</v>
      </c>
      <c r="E49" s="15" t="n">
        <f aca="false">IF(LEFT(A49,1)&gt;="6",0,SUMIFS('BALANCE 2024'!$I:$I,'BALANCE 2024'!$A:$A,A49))</f>
        <v>5000000</v>
      </c>
      <c r="F49" s="15" t="n">
        <f aca="false">ROUND(IF(HYPOTHESES!$C$46=0,0,'BALANCE 2024'!$G$49*HYPOTHESES!D$46/HYPOTHESES!$C$46),0)+(H49-I49)-(D49-E49)</f>
        <v>9336686</v>
      </c>
      <c r="G49" s="15" t="n">
        <f aca="false">ROUND(IF(HYPOTHESES!$C$46=0,0,'BALANCE 2024'!$G$49*HYPOTHESES!D$46/HYPOTHESES!$C$46),0)</f>
        <v>9683842</v>
      </c>
      <c r="H49" s="20" t="n">
        <v>0</v>
      </c>
      <c r="I49" s="15" t="n">
        <f aca="false">ROUND(IF(HYPOTHESES!$C$46=0,0,'BALANCE 2024'!$I$49*HYPOTHESES!D$46/HYPOTHESES!$C$46),0)</f>
        <v>5347156</v>
      </c>
      <c r="J4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0" customFormat="false" ht="15" hidden="false" customHeight="false" outlineLevel="0" collapsed="false">
      <c r="A50" s="30" t="n">
        <v>443300</v>
      </c>
      <c r="B50" s="12" t="s">
        <v>297</v>
      </c>
      <c r="C50" s="13" t="s">
        <v>285</v>
      </c>
      <c r="D50" s="15" t="n">
        <f aca="false">IF(LEFT(A50,1)&gt;="6",0,SUMIFS('BALANCE 2024'!$H:$H,'BALANCE 2024'!$A:$A,A50))</f>
        <v>0</v>
      </c>
      <c r="E50" s="15" t="n">
        <f aca="false">IF(LEFT(A50,1)&gt;="6",0,SUMIFS('BALANCE 2024'!$I:$I,'BALANCE 2024'!$A:$A,A50))</f>
        <v>52145698</v>
      </c>
      <c r="F50" s="15" t="n">
        <f aca="false">ROUND(HYPOTHESES!D$42*HYPOTHESES!D$10,0)+(H50-I50)-(D50-E50)</f>
        <v>133302887</v>
      </c>
      <c r="G50" s="15" t="n">
        <f aca="false">ROUND(HYPOTHESES!D$42*HYPOTHESES!D$10,0)</f>
        <v>135017742</v>
      </c>
      <c r="H50" s="20" t="n">
        <v>0</v>
      </c>
      <c r="I50" s="15" t="n">
        <f aca="false">ROUND(IF('BALANCE 2024'!$H$37=0,0,'BALANCE 2024'!$I$50*H37/'BALANCE 2024'!$H$37),0)</f>
        <v>53860553</v>
      </c>
      <c r="J5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1" customFormat="false" ht="15" hidden="false" customHeight="false" outlineLevel="0" collapsed="false">
      <c r="A51" s="30" t="n">
        <v>446000</v>
      </c>
      <c r="B51" s="12" t="s">
        <v>298</v>
      </c>
      <c r="C51" s="13" t="s">
        <v>285</v>
      </c>
      <c r="D51" s="15" t="n">
        <f aca="false">IF(LEFT(A51,1)&gt;="6",0,SUMIFS('BALANCE 2024'!$H:$H,'BALANCE 2024'!$A:$A,A51))</f>
        <v>0</v>
      </c>
      <c r="E51" s="15" t="n">
        <f aca="false">IF(LEFT(A51,1)&gt;="6",0,SUMIFS('BALANCE 2024'!$I:$I,'BALANCE 2024'!$A:$A,A51))</f>
        <v>200000</v>
      </c>
      <c r="F51" s="15" t="n">
        <f aca="false">ROUND(IF(HYPOTHESES!$C$46=0,0,'BALANCE 2024'!$G$51*HYPOTHESES!D$46/HYPOTHESES!$C$46),0)+(H51-I51)-(D51-E51)</f>
        <v>212497</v>
      </c>
      <c r="G51" s="15" t="n">
        <f aca="false">ROUND(IF(HYPOTHESES!$C$46=0,0,'BALANCE 2024'!$G$51*HYPOTHESES!D$46/HYPOTHESES!$C$46),0)</f>
        <v>226383</v>
      </c>
      <c r="H51" s="20" t="n">
        <v>0</v>
      </c>
      <c r="I51" s="15" t="n">
        <f aca="false">ROUND(IF(HYPOTHESES!$C$46=0,0,'BALANCE 2024'!$I$51*HYPOTHESES!D$46/HYPOTHESES!$C$46),0)</f>
        <v>213886</v>
      </c>
      <c r="J5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2" customFormat="false" ht="15" hidden="false" customHeight="false" outlineLevel="0" collapsed="false">
      <c r="A52" s="30" t="n">
        <v>447201</v>
      </c>
      <c r="B52" s="12" t="s">
        <v>299</v>
      </c>
      <c r="C52" s="13" t="s">
        <v>285</v>
      </c>
      <c r="D52" s="15" t="n">
        <f aca="false">IF(LEFT(A52,1)&gt;="6",0,SUMIFS('BALANCE 2024'!$H:$H,'BALANCE 2024'!$A:$A,A52))</f>
        <v>0</v>
      </c>
      <c r="E52" s="15" t="n">
        <f aca="false">IF(LEFT(A52,1)&gt;="6",0,SUMIFS('BALANCE 2024'!$I:$I,'BALANCE 2024'!$A:$A,A52))</f>
        <v>1631638</v>
      </c>
      <c r="F52" s="15" t="n">
        <f aca="false">ROUND(IF(HYPOTHESES!$C$48=0,0,'BALANCE 2024'!$G$52*HYPOTHESES!D$48/HYPOTHESES!$C$48),0)+(H52-I52)-(D52-E52)</f>
        <v>6198651</v>
      </c>
      <c r="G52" s="15" t="n">
        <f aca="false">ROUND(IF(HYPOTHESES!$C$48=0,0,'BALANCE 2024'!$G$52*HYPOTHESES!D$48/HYPOTHESES!$C$48),0)</f>
        <v>6312367</v>
      </c>
      <c r="H52" s="20" t="n">
        <v>0</v>
      </c>
      <c r="I52" s="15" t="n">
        <f aca="false">ROUND(IF(HYPOTHESES!$C$48=0,0,'BALANCE 2024'!$I$52*HYPOTHESES!D$48/HYPOTHESES!$C$48),0)</f>
        <v>1745354</v>
      </c>
      <c r="J5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3" customFormat="false" ht="15" hidden="false" customHeight="false" outlineLevel="0" collapsed="false">
      <c r="A53" s="30" t="n">
        <v>462100</v>
      </c>
      <c r="B53" s="12" t="s">
        <v>300</v>
      </c>
      <c r="C53" s="13" t="s">
        <v>301</v>
      </c>
      <c r="D53" s="15" t="n">
        <f aca="false">IF(LEFT(A53,1)&gt;="6",0,SUMIFS('BALANCE 2024'!$H:$H,'BALANCE 2024'!$A:$A,A53))</f>
        <v>0</v>
      </c>
      <c r="E53" s="15" t="n">
        <f aca="false">IF(LEFT(A53,1)&gt;="6",0,SUMIFS('BALANCE 2024'!$I:$I,'BALANCE 2024'!$A:$A,A53))</f>
        <v>3700000</v>
      </c>
      <c r="F53" s="15" t="n">
        <f aca="false">ROUND('INVEST ET FINANCEMENT'!D$53,0)+(H53-I53)-(D53-E53)</f>
        <v>3700000</v>
      </c>
      <c r="G53" s="15" t="n">
        <f aca="false">ROUND('INVEST ET FINANCEMENT'!D$53,0)</f>
        <v>0</v>
      </c>
      <c r="H53" s="20" t="n">
        <v>0</v>
      </c>
      <c r="I53" s="15" t="n">
        <f aca="false">ROUND('INVEST ET FINANCEMENT'!D$54,0)</f>
        <v>0</v>
      </c>
      <c r="J5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4" customFormat="false" ht="15" hidden="false" customHeight="false" outlineLevel="0" collapsed="false">
      <c r="A54" s="30" t="n">
        <v>471200</v>
      </c>
      <c r="B54" s="12" t="s">
        <v>302</v>
      </c>
      <c r="C54" s="13" t="s">
        <v>303</v>
      </c>
      <c r="D54" s="15" t="n">
        <f aca="false">IF(LEFT(A54,1)&gt;="6",0,SUMIFS('BALANCE 2024'!$H:$H,'BALANCE 2024'!$A:$A,A54))</f>
        <v>0</v>
      </c>
      <c r="E54" s="15" t="n">
        <f aca="false">IF(LEFT(A54,1)&gt;="6",0,SUMIFS('BALANCE 2024'!$I:$I,'BALANCE 2024'!$A:$A,A54))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ROUND(MAX(0,-(E54-D54+HYPOTHESES!D$31)),0)</f>
        <v>-0</v>
      </c>
      <c r="I54" s="15" t="n">
        <f aca="false">ROUND(MAX(0,(E54-D54+HYPOTHESES!D$31)),0)</f>
        <v>0</v>
      </c>
      <c r="J5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5" customFormat="false" ht="15" hidden="false" customHeight="false" outlineLevel="0" collapsed="false">
      <c r="A55" s="30" t="n">
        <v>481200</v>
      </c>
      <c r="B55" s="12" t="s">
        <v>304</v>
      </c>
      <c r="C55" s="13" t="s">
        <v>305</v>
      </c>
      <c r="D55" s="15" t="n">
        <f aca="false">IF(LEFT(A55,1)&gt;="6",0,SUMIFS('BALANCE 2024'!$H:$H,'BALANCE 2024'!$A:$A,A55))</f>
        <v>0</v>
      </c>
      <c r="E55" s="15" t="n">
        <f aca="false">IF(LEFT(A55,1)&gt;="6",0,SUMIFS('BALANCE 2024'!$I:$I,'BALANCE 2024'!$A:$A,A55))</f>
        <v>132896547</v>
      </c>
      <c r="F55" s="15" t="n">
        <f aca="false">ROUND('INVEST ET FINANCEMENT'!D$41,0)+(H55-I55)-(D55-E55)</f>
        <v>90248532</v>
      </c>
      <c r="G55" s="15" t="n">
        <f aca="false">ROUND('INVEST ET FINANCEMENT'!D$41,0)</f>
        <v>16523220</v>
      </c>
      <c r="H55" s="20" t="n">
        <v>0</v>
      </c>
      <c r="I55" s="15" t="n">
        <f aca="false">ROUND(HYPOTHESES!D$28,0)</f>
        <v>59171235</v>
      </c>
      <c r="J5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6" customFormat="false" ht="15" hidden="false" customHeight="false" outlineLevel="0" collapsed="false">
      <c r="A56" s="38" t="n">
        <v>604300</v>
      </c>
      <c r="B56" s="39" t="s">
        <v>306</v>
      </c>
      <c r="C56" s="40" t="s">
        <v>307</v>
      </c>
      <c r="D56" s="43" t="n">
        <f aca="false">IF(LEFT(A56,1)&gt;="6",0,SUMIFS('BALANCE 2024'!$H:$H,'BALANCE 2024'!$A:$A,A56))</f>
        <v>0</v>
      </c>
      <c r="E56" s="43" t="n">
        <f aca="false">IF(LEFT(A56,1)&gt;="6",0,SUMIFS('BALANCE 2024'!$I:$I,'BALANCE 2024'!$A:$A,A56))</f>
        <v>0</v>
      </c>
      <c r="F56" s="42" t="n">
        <f aca="false">MAX(0,(H56-I56)-(D56-E56))</f>
        <v>1338051</v>
      </c>
      <c r="G56" s="42" t="n">
        <f aca="false">MAX(0,(D56-E56)-(H56-I56))</f>
        <v>0</v>
      </c>
      <c r="H56" s="43" t="n">
        <f aca="false">ROUND(IF(LEFT(A56,1)&gt;="6",IF(C56="RE",IF(HYPOTHESES!$C$43=0,0,HYPOTHESES!D$43*SUMIFS('BALANCE 2024'!$H:$H,'BALANCE 2024'!$A:$A,A56)/HYPOTHESES!$C$43),IF(C56="RG",IF(HYPOTHESES!$C$44=0,0,HYPOTHESES!D$44*SUMIFS('BALANCE 2024'!$H:$H,'BALANCE 2024'!$A:$A,A56)/HYPOTHESES!$C$44),IF(C56="RH",IF(HYPOTHESES!$C$45=0,0,HYPOTHESES!D$45*SUMIFS('BALANCE 2024'!$H:$H,'BALANCE 2024'!$A:$A,A56)/HYPOTHESES!$C$45),IF(C56="RI",IF(HYPOTHESES!$C$46=0,0,HYPOTHESES!D$46*SUMIFS('BALANCE 2024'!$H:$H,'BALANCE 2024'!$A:$A,A56)/HYPOTHESES!$C$46),IF(C56="RJ",IF(HYPOTHESES!$C$47=0,0,HYPOTHESES!D$47*SUMIFS('BALANCE 2024'!$H:$H,'BALANCE 2024'!$A:$A,A56)/HYPOTHESES!$C$47),IF(C56="RK",IF(HYPOTHESES!$C$48=0,0,HYPOTHESES!D$48*SUMIFS('BALANCE 2024'!$H:$H,'BALANCE 2024'!$A:$A,A56)/HYPOTHESES!$C$48),0)))))),MAX(0,D56-E56)),0)</f>
        <v>1338051</v>
      </c>
      <c r="I56" s="42" t="n">
        <v>0</v>
      </c>
      <c r="J56" s="42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7" customFormat="false" ht="15" hidden="false" customHeight="false" outlineLevel="0" collapsed="false">
      <c r="A57" s="30" t="n">
        <v>605100</v>
      </c>
      <c r="B57" s="12" t="s">
        <v>308</v>
      </c>
      <c r="C57" s="13" t="s">
        <v>307</v>
      </c>
      <c r="D57" s="15" t="n">
        <f aca="false">IF(LEFT(A57,1)&gt;="6",0,SUMIFS('BALANCE 2024'!$H:$H,'BALANCE 2024'!$A:$A,A57))</f>
        <v>0</v>
      </c>
      <c r="E57" s="15" t="n">
        <f aca="false">IF(LEFT(A57,1)&gt;="6",0,SUMIFS('BALANCE 2024'!$I:$I,'BALANCE 2024'!$A:$A,A57))</f>
        <v>0</v>
      </c>
      <c r="F57" s="20" t="n">
        <f aca="false">MAX(0,(H57-I57)-(D57-E57))</f>
        <v>133309</v>
      </c>
      <c r="G57" s="20" t="n">
        <f aca="false">MAX(0,(D57-E57)-(H57-I57))</f>
        <v>0</v>
      </c>
      <c r="H57" s="15" t="n">
        <f aca="false">ROUND(IF(LEFT(A57,1)&gt;="6",IF(C57="RE",IF(HYPOTHESES!$C$43=0,0,HYPOTHESES!D$43*SUMIFS('BALANCE 2024'!$H:$H,'BALANCE 2024'!$A:$A,A57)/HYPOTHESES!$C$43),IF(C57="RG",IF(HYPOTHESES!$C$44=0,0,HYPOTHESES!D$44*SUMIFS('BALANCE 2024'!$H:$H,'BALANCE 2024'!$A:$A,A57)/HYPOTHESES!$C$44),IF(C57="RH",IF(HYPOTHESES!$C$45=0,0,HYPOTHESES!D$45*SUMIFS('BALANCE 2024'!$H:$H,'BALANCE 2024'!$A:$A,A57)/HYPOTHESES!$C$45),IF(C57="RI",IF(HYPOTHESES!$C$46=0,0,HYPOTHESES!D$46*SUMIFS('BALANCE 2024'!$H:$H,'BALANCE 2024'!$A:$A,A57)/HYPOTHESES!$C$46),IF(C57="RJ",IF(HYPOTHESES!$C$47=0,0,HYPOTHESES!D$47*SUMIFS('BALANCE 2024'!$H:$H,'BALANCE 2024'!$A:$A,A57)/HYPOTHESES!$C$47),IF(C57="RK",IF(HYPOTHESES!$C$48=0,0,HYPOTHESES!D$48*SUMIFS('BALANCE 2024'!$H:$H,'BALANCE 2024'!$A:$A,A57)/HYPOTHESES!$C$48),0)))))),MAX(0,D57-E57)),0)</f>
        <v>133309</v>
      </c>
      <c r="I57" s="20" t="n">
        <v>0</v>
      </c>
      <c r="J5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8" customFormat="false" ht="15" hidden="false" customHeight="false" outlineLevel="0" collapsed="false">
      <c r="A58" s="30" t="n">
        <v>605200</v>
      </c>
      <c r="B58" s="12" t="s">
        <v>309</v>
      </c>
      <c r="C58" s="13" t="s">
        <v>307</v>
      </c>
      <c r="D58" s="15" t="n">
        <f aca="false">IF(LEFT(A58,1)&gt;="6",0,SUMIFS('BALANCE 2024'!$H:$H,'BALANCE 2024'!$A:$A,A58))</f>
        <v>0</v>
      </c>
      <c r="E58" s="15" t="n">
        <f aca="false">IF(LEFT(A58,1)&gt;="6",0,SUMIFS('BALANCE 2024'!$I:$I,'BALANCE 2024'!$A:$A,A58))</f>
        <v>0</v>
      </c>
      <c r="F58" s="20" t="n">
        <f aca="false">MAX(0,(H58-I58)-(D58-E58))</f>
        <v>42762672</v>
      </c>
      <c r="G58" s="20" t="n">
        <f aca="false">MAX(0,(D58-E58)-(H58-I58))</f>
        <v>0</v>
      </c>
      <c r="H58" s="15" t="n">
        <f aca="false">ROUND(IF(LEFT(A58,1)&gt;="6",IF(C58="RE",IF(HYPOTHESES!$C$43=0,0,HYPOTHESES!D$43*SUMIFS('BALANCE 2024'!$H:$H,'BALANCE 2024'!$A:$A,A58)/HYPOTHESES!$C$43),IF(C58="RG",IF(HYPOTHESES!$C$44=0,0,HYPOTHESES!D$44*SUMIFS('BALANCE 2024'!$H:$H,'BALANCE 2024'!$A:$A,A58)/HYPOTHESES!$C$44),IF(C58="RH",IF(HYPOTHESES!$C$45=0,0,HYPOTHESES!D$45*SUMIFS('BALANCE 2024'!$H:$H,'BALANCE 2024'!$A:$A,A58)/HYPOTHESES!$C$45),IF(C58="RI",IF(HYPOTHESES!$C$46=0,0,HYPOTHESES!D$46*SUMIFS('BALANCE 2024'!$H:$H,'BALANCE 2024'!$A:$A,A58)/HYPOTHESES!$C$46),IF(C58="RJ",IF(HYPOTHESES!$C$47=0,0,HYPOTHESES!D$47*SUMIFS('BALANCE 2024'!$H:$H,'BALANCE 2024'!$A:$A,A58)/HYPOTHESES!$C$47),IF(C58="RK",IF(HYPOTHESES!$C$48=0,0,HYPOTHESES!D$48*SUMIFS('BALANCE 2024'!$H:$H,'BALANCE 2024'!$A:$A,A58)/HYPOTHESES!$C$48),0)))))),MAX(0,D58-E58)),0)</f>
        <v>42762672</v>
      </c>
      <c r="I58" s="20" t="n">
        <v>0</v>
      </c>
      <c r="J5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59" customFormat="false" ht="15" hidden="false" customHeight="false" outlineLevel="0" collapsed="false">
      <c r="A59" s="30" t="n">
        <v>605300</v>
      </c>
      <c r="B59" s="12" t="s">
        <v>310</v>
      </c>
      <c r="C59" s="13" t="s">
        <v>307</v>
      </c>
      <c r="D59" s="15" t="n">
        <f aca="false">IF(LEFT(A59,1)&gt;="6",0,SUMIFS('BALANCE 2024'!$H:$H,'BALANCE 2024'!$A:$A,A59))</f>
        <v>0</v>
      </c>
      <c r="E59" s="15" t="n">
        <f aca="false">IF(LEFT(A59,1)&gt;="6",0,SUMIFS('BALANCE 2024'!$I:$I,'BALANCE 2024'!$A:$A,A59))</f>
        <v>0</v>
      </c>
      <c r="F59" s="20" t="n">
        <f aca="false">MAX(0,(H59-I59)-(D59-E59))</f>
        <v>21229767</v>
      </c>
      <c r="G59" s="20" t="n">
        <f aca="false">MAX(0,(D59-E59)-(H59-I59))</f>
        <v>0</v>
      </c>
      <c r="H59" s="15" t="n">
        <f aca="false">ROUND(IF(LEFT(A59,1)&gt;="6",IF(C59="RE",IF(HYPOTHESES!$C$43=0,0,HYPOTHESES!D$43*SUMIFS('BALANCE 2024'!$H:$H,'BALANCE 2024'!$A:$A,A59)/HYPOTHESES!$C$43),IF(C59="RG",IF(HYPOTHESES!$C$44=0,0,HYPOTHESES!D$44*SUMIFS('BALANCE 2024'!$H:$H,'BALANCE 2024'!$A:$A,A59)/HYPOTHESES!$C$44),IF(C59="RH",IF(HYPOTHESES!$C$45=0,0,HYPOTHESES!D$45*SUMIFS('BALANCE 2024'!$H:$H,'BALANCE 2024'!$A:$A,A59)/HYPOTHESES!$C$45),IF(C59="RI",IF(HYPOTHESES!$C$46=0,0,HYPOTHESES!D$46*SUMIFS('BALANCE 2024'!$H:$H,'BALANCE 2024'!$A:$A,A59)/HYPOTHESES!$C$46),IF(C59="RJ",IF(HYPOTHESES!$C$47=0,0,HYPOTHESES!D$47*SUMIFS('BALANCE 2024'!$H:$H,'BALANCE 2024'!$A:$A,A59)/HYPOTHESES!$C$47),IF(C59="RK",IF(HYPOTHESES!$C$48=0,0,HYPOTHESES!D$48*SUMIFS('BALANCE 2024'!$H:$H,'BALANCE 2024'!$A:$A,A59)/HYPOTHESES!$C$48),0)))))),MAX(0,D59-E59)),0)</f>
        <v>21229767</v>
      </c>
      <c r="I59" s="20" t="n">
        <v>0</v>
      </c>
      <c r="J5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0" customFormat="false" ht="15" hidden="false" customHeight="false" outlineLevel="0" collapsed="false">
      <c r="A60" s="30" t="n">
        <v>605500</v>
      </c>
      <c r="B60" s="12" t="s">
        <v>311</v>
      </c>
      <c r="C60" s="13" t="s">
        <v>307</v>
      </c>
      <c r="D60" s="15" t="n">
        <f aca="false">IF(LEFT(A60,1)&gt;="6",0,SUMIFS('BALANCE 2024'!$H:$H,'BALANCE 2024'!$A:$A,A60))</f>
        <v>0</v>
      </c>
      <c r="E60" s="15" t="n">
        <f aca="false">IF(LEFT(A60,1)&gt;="6",0,SUMIFS('BALANCE 2024'!$I:$I,'BALANCE 2024'!$A:$A,A60))</f>
        <v>0</v>
      </c>
      <c r="F60" s="20" t="n">
        <f aca="false">MAX(0,(H60-I60)-(D60-E60))</f>
        <v>13776049</v>
      </c>
      <c r="G60" s="20" t="n">
        <f aca="false">MAX(0,(D60-E60)-(H60-I60))</f>
        <v>0</v>
      </c>
      <c r="H60" s="15" t="n">
        <f aca="false">ROUND(IF(LEFT(A60,1)&gt;="6",IF(C60="RE",IF(HYPOTHESES!$C$43=0,0,HYPOTHESES!D$43*SUMIFS('BALANCE 2024'!$H:$H,'BALANCE 2024'!$A:$A,A60)/HYPOTHESES!$C$43),IF(C60="RG",IF(HYPOTHESES!$C$44=0,0,HYPOTHESES!D$44*SUMIFS('BALANCE 2024'!$H:$H,'BALANCE 2024'!$A:$A,A60)/HYPOTHESES!$C$44),IF(C60="RH",IF(HYPOTHESES!$C$45=0,0,HYPOTHESES!D$45*SUMIFS('BALANCE 2024'!$H:$H,'BALANCE 2024'!$A:$A,A60)/HYPOTHESES!$C$45),IF(C60="RI",IF(HYPOTHESES!$C$46=0,0,HYPOTHESES!D$46*SUMIFS('BALANCE 2024'!$H:$H,'BALANCE 2024'!$A:$A,A60)/HYPOTHESES!$C$46),IF(C60="RJ",IF(HYPOTHESES!$C$47=0,0,HYPOTHESES!D$47*SUMIFS('BALANCE 2024'!$H:$H,'BALANCE 2024'!$A:$A,A60)/HYPOTHESES!$C$47),IF(C60="RK",IF(HYPOTHESES!$C$48=0,0,HYPOTHESES!D$48*SUMIFS('BALANCE 2024'!$H:$H,'BALANCE 2024'!$A:$A,A60)/HYPOTHESES!$C$48),0)))))),MAX(0,D60-E60)),0)</f>
        <v>13776049</v>
      </c>
      <c r="I60" s="20" t="n">
        <v>0</v>
      </c>
      <c r="J6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1" customFormat="false" ht="15" hidden="false" customHeight="false" outlineLevel="0" collapsed="false">
      <c r="A61" s="30" t="n">
        <v>605600</v>
      </c>
      <c r="B61" s="12" t="s">
        <v>312</v>
      </c>
      <c r="C61" s="13" t="s">
        <v>307</v>
      </c>
      <c r="D61" s="15" t="n">
        <f aca="false">IF(LEFT(A61,1)&gt;="6",0,SUMIFS('BALANCE 2024'!$H:$H,'BALANCE 2024'!$A:$A,A61))</f>
        <v>0</v>
      </c>
      <c r="E61" s="15" t="n">
        <f aca="false">IF(LEFT(A61,1)&gt;="6",0,SUMIFS('BALANCE 2024'!$I:$I,'BALANCE 2024'!$A:$A,A61))</f>
        <v>0</v>
      </c>
      <c r="F61" s="20" t="n">
        <f aca="false">MAX(0,(H61-I61)-(D61-E61))</f>
        <v>3950407</v>
      </c>
      <c r="G61" s="20" t="n">
        <f aca="false">MAX(0,(D61-E61)-(H61-I61))</f>
        <v>0</v>
      </c>
      <c r="H61" s="15" t="n">
        <f aca="false">ROUND(IF(LEFT(A61,1)&gt;="6",IF(C61="RE",IF(HYPOTHESES!$C$43=0,0,HYPOTHESES!D$43*SUMIFS('BALANCE 2024'!$H:$H,'BALANCE 2024'!$A:$A,A61)/HYPOTHESES!$C$43),IF(C61="RG",IF(HYPOTHESES!$C$44=0,0,HYPOTHESES!D$44*SUMIFS('BALANCE 2024'!$H:$H,'BALANCE 2024'!$A:$A,A61)/HYPOTHESES!$C$44),IF(C61="RH",IF(HYPOTHESES!$C$45=0,0,HYPOTHESES!D$45*SUMIFS('BALANCE 2024'!$H:$H,'BALANCE 2024'!$A:$A,A61)/HYPOTHESES!$C$45),IF(C61="RI",IF(HYPOTHESES!$C$46=0,0,HYPOTHESES!D$46*SUMIFS('BALANCE 2024'!$H:$H,'BALANCE 2024'!$A:$A,A61)/HYPOTHESES!$C$46),IF(C61="RJ",IF(HYPOTHESES!$C$47=0,0,HYPOTHESES!D$47*SUMIFS('BALANCE 2024'!$H:$H,'BALANCE 2024'!$A:$A,A61)/HYPOTHESES!$C$47),IF(C61="RK",IF(HYPOTHESES!$C$48=0,0,HYPOTHESES!D$48*SUMIFS('BALANCE 2024'!$H:$H,'BALANCE 2024'!$A:$A,A61)/HYPOTHESES!$C$48),0)))))),MAX(0,D61-E61)),0)</f>
        <v>3950407</v>
      </c>
      <c r="I61" s="20" t="n">
        <v>0</v>
      </c>
      <c r="J6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2" customFormat="false" ht="15" hidden="false" customHeight="false" outlineLevel="0" collapsed="false">
      <c r="A62" s="30" t="n">
        <v>605700</v>
      </c>
      <c r="B62" s="12" t="s">
        <v>313</v>
      </c>
      <c r="C62" s="13" t="s">
        <v>307</v>
      </c>
      <c r="D62" s="15" t="n">
        <f aca="false">IF(LEFT(A62,1)&gt;="6",0,SUMIFS('BALANCE 2024'!$H:$H,'BALANCE 2024'!$A:$A,A62))</f>
        <v>0</v>
      </c>
      <c r="E62" s="15" t="n">
        <f aca="false">IF(LEFT(A62,1)&gt;="6",0,SUMIFS('BALANCE 2024'!$I:$I,'BALANCE 2024'!$A:$A,A62))</f>
        <v>0</v>
      </c>
      <c r="F62" s="20" t="n">
        <f aca="false">MAX(0,(H62-I62)-(D62-E62))</f>
        <v>85779542</v>
      </c>
      <c r="G62" s="20" t="n">
        <f aca="false">MAX(0,(D62-E62)-(H62-I62))</f>
        <v>0</v>
      </c>
      <c r="H62" s="15" t="n">
        <f aca="false">ROUND(IF(LEFT(A62,1)&gt;="6",IF(C62="RE",IF(HYPOTHESES!$C$43=0,0,HYPOTHESES!D$43*SUMIFS('BALANCE 2024'!$H:$H,'BALANCE 2024'!$A:$A,A62)/HYPOTHESES!$C$43),IF(C62="RG",IF(HYPOTHESES!$C$44=0,0,HYPOTHESES!D$44*SUMIFS('BALANCE 2024'!$H:$H,'BALANCE 2024'!$A:$A,A62)/HYPOTHESES!$C$44),IF(C62="RH",IF(HYPOTHESES!$C$45=0,0,HYPOTHESES!D$45*SUMIFS('BALANCE 2024'!$H:$H,'BALANCE 2024'!$A:$A,A62)/HYPOTHESES!$C$45),IF(C62="RI",IF(HYPOTHESES!$C$46=0,0,HYPOTHESES!D$46*SUMIFS('BALANCE 2024'!$H:$H,'BALANCE 2024'!$A:$A,A62)/HYPOTHESES!$C$46),IF(C62="RJ",IF(HYPOTHESES!$C$47=0,0,HYPOTHESES!D$47*SUMIFS('BALANCE 2024'!$H:$H,'BALANCE 2024'!$A:$A,A62)/HYPOTHESES!$C$47),IF(C62="RK",IF(HYPOTHESES!$C$48=0,0,HYPOTHESES!D$48*SUMIFS('BALANCE 2024'!$H:$H,'BALANCE 2024'!$A:$A,A62)/HYPOTHESES!$C$48),0)))))),MAX(0,D62-E62)),0)</f>
        <v>85779542</v>
      </c>
      <c r="I62" s="20" t="n">
        <v>0</v>
      </c>
      <c r="J6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3" customFormat="false" ht="15" hidden="false" customHeight="false" outlineLevel="0" collapsed="false">
      <c r="A63" s="30" t="n">
        <v>605800</v>
      </c>
      <c r="B63" s="12" t="s">
        <v>314</v>
      </c>
      <c r="C63" s="13" t="s">
        <v>307</v>
      </c>
      <c r="D63" s="15" t="n">
        <f aca="false">IF(LEFT(A63,1)&gt;="6",0,SUMIFS('BALANCE 2024'!$H:$H,'BALANCE 2024'!$A:$A,A63))</f>
        <v>0</v>
      </c>
      <c r="E63" s="15" t="n">
        <f aca="false">IF(LEFT(A63,1)&gt;="6",0,SUMIFS('BALANCE 2024'!$I:$I,'BALANCE 2024'!$A:$A,A63))</f>
        <v>0</v>
      </c>
      <c r="F63" s="20" t="n">
        <f aca="false">MAX(0,(H63-I63)-(D63-E63))</f>
        <v>128669313</v>
      </c>
      <c r="G63" s="20" t="n">
        <f aca="false">MAX(0,(D63-E63)-(H63-I63))</f>
        <v>0</v>
      </c>
      <c r="H63" s="15" t="n">
        <f aca="false">ROUND(IF(HYPOTHESES!$C$43=0,0,HYPOTHESES!D$43-SUMPRODUCT((T_BAL_2025[Poste]="RE")*(T_BAL_2025[Compte]&lt;&gt;605800)*ROUND(HYPOTHESES!D$43*SUMIFS('BALANCE 2024'!$H:$H,'BALANCE 2024'!$A:$A,T_BAL_2025[Compte])/HYPOTHESES!$C$43,0))),0)</f>
        <v>128669313</v>
      </c>
      <c r="I63" s="20" t="n">
        <v>0</v>
      </c>
      <c r="J6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4" customFormat="false" ht="15" hidden="false" customHeight="false" outlineLevel="0" collapsed="false">
      <c r="A64" s="30" t="n">
        <v>616000</v>
      </c>
      <c r="B64" s="12" t="s">
        <v>315</v>
      </c>
      <c r="C64" s="13" t="s">
        <v>316</v>
      </c>
      <c r="D64" s="15" t="n">
        <f aca="false">IF(LEFT(A64,1)&gt;="6",0,SUMIFS('BALANCE 2024'!$H:$H,'BALANCE 2024'!$A:$A,A64))</f>
        <v>0</v>
      </c>
      <c r="E64" s="15" t="n">
        <f aca="false">IF(LEFT(A64,1)&gt;="6",0,SUMIFS('BALANCE 2024'!$I:$I,'BALANCE 2024'!$A:$A,A64))</f>
        <v>0</v>
      </c>
      <c r="F64" s="20" t="n">
        <f aca="false">MAX(0,(H64-I64)-(D64-E64))</f>
        <v>99569</v>
      </c>
      <c r="G64" s="20" t="n">
        <f aca="false">MAX(0,(D64-E64)-(H64-I64))</f>
        <v>0</v>
      </c>
      <c r="H64" s="15" t="n">
        <f aca="false">ROUND(IF(LEFT(A64,1)&gt;="6",IF(C64="RE",IF(HYPOTHESES!$C$43=0,0,HYPOTHESES!D$43*SUMIFS('BALANCE 2024'!$H:$H,'BALANCE 2024'!$A:$A,A64)/HYPOTHESES!$C$43),IF(C64="RG",IF(HYPOTHESES!$C$44=0,0,HYPOTHESES!D$44*SUMIFS('BALANCE 2024'!$H:$H,'BALANCE 2024'!$A:$A,A64)/HYPOTHESES!$C$44),IF(C64="RH",IF(HYPOTHESES!$C$45=0,0,HYPOTHESES!D$45*SUMIFS('BALANCE 2024'!$H:$H,'BALANCE 2024'!$A:$A,A64)/HYPOTHESES!$C$45),IF(C64="RI",IF(HYPOTHESES!$C$46=0,0,HYPOTHESES!D$46*SUMIFS('BALANCE 2024'!$H:$H,'BALANCE 2024'!$A:$A,A64)/HYPOTHESES!$C$46),IF(C64="RJ",IF(HYPOTHESES!$C$47=0,0,HYPOTHESES!D$47*SUMIFS('BALANCE 2024'!$H:$H,'BALANCE 2024'!$A:$A,A64)/HYPOTHESES!$C$47),IF(C64="RK",IF(HYPOTHESES!$C$48=0,0,HYPOTHESES!D$48*SUMIFS('BALANCE 2024'!$H:$H,'BALANCE 2024'!$A:$A,A64)/HYPOTHESES!$C$48),0)))))),MAX(0,D64-E64)),0)</f>
        <v>99569</v>
      </c>
      <c r="I64" s="20" t="n">
        <v>0</v>
      </c>
      <c r="J6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5" customFormat="false" ht="15" hidden="false" customHeight="false" outlineLevel="0" collapsed="false">
      <c r="A65" s="30" t="n">
        <v>618200</v>
      </c>
      <c r="B65" s="12" t="s">
        <v>317</v>
      </c>
      <c r="C65" s="13" t="s">
        <v>316</v>
      </c>
      <c r="D65" s="15" t="n">
        <f aca="false">IF(LEFT(A65,1)&gt;="6",0,SUMIFS('BALANCE 2024'!$H:$H,'BALANCE 2024'!$A:$A,A65))</f>
        <v>0</v>
      </c>
      <c r="E65" s="15" t="n">
        <f aca="false">IF(LEFT(A65,1)&gt;="6",0,SUMIFS('BALANCE 2024'!$I:$I,'BALANCE 2024'!$A:$A,A65))</f>
        <v>0</v>
      </c>
      <c r="F65" s="20" t="n">
        <f aca="false">MAX(0,(H65-I65)-(D65-E65))</f>
        <v>1661464</v>
      </c>
      <c r="G65" s="20" t="n">
        <f aca="false">MAX(0,(D65-E65)-(H65-I65))</f>
        <v>0</v>
      </c>
      <c r="H65" s="15" t="n">
        <f aca="false">ROUND(IF(LEFT(A65,1)&gt;="6",IF(C65="RE",IF(HYPOTHESES!$C$43=0,0,HYPOTHESES!D$43*SUMIFS('BALANCE 2024'!$H:$H,'BALANCE 2024'!$A:$A,A65)/HYPOTHESES!$C$43),IF(C65="RG",IF(HYPOTHESES!$C$44=0,0,HYPOTHESES!D$44*SUMIFS('BALANCE 2024'!$H:$H,'BALANCE 2024'!$A:$A,A65)/HYPOTHESES!$C$44),IF(C65="RH",IF(HYPOTHESES!$C$45=0,0,HYPOTHESES!D$45*SUMIFS('BALANCE 2024'!$H:$H,'BALANCE 2024'!$A:$A,A65)/HYPOTHESES!$C$45),IF(C65="RI",IF(HYPOTHESES!$C$46=0,0,HYPOTHESES!D$46*SUMIFS('BALANCE 2024'!$H:$H,'BALANCE 2024'!$A:$A,A65)/HYPOTHESES!$C$46),IF(C65="RJ",IF(HYPOTHESES!$C$47=0,0,HYPOTHESES!D$47*SUMIFS('BALANCE 2024'!$H:$H,'BALANCE 2024'!$A:$A,A65)/HYPOTHESES!$C$47),IF(C65="RK",IF(HYPOTHESES!$C$48=0,0,HYPOTHESES!D$48*SUMIFS('BALANCE 2024'!$H:$H,'BALANCE 2024'!$A:$A,A65)/HYPOTHESES!$C$48),0)))))),MAX(0,D65-E65)),0)</f>
        <v>1661464</v>
      </c>
      <c r="I65" s="20" t="n">
        <v>0</v>
      </c>
      <c r="J6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6" customFormat="false" ht="15" hidden="false" customHeight="false" outlineLevel="0" collapsed="false">
      <c r="A66" s="30" t="n">
        <v>618300</v>
      </c>
      <c r="B66" s="12" t="s">
        <v>318</v>
      </c>
      <c r="C66" s="13" t="s">
        <v>316</v>
      </c>
      <c r="D66" s="15" t="n">
        <f aca="false">IF(LEFT(A66,1)&gt;="6",0,SUMIFS('BALANCE 2024'!$H:$H,'BALANCE 2024'!$A:$A,A66))</f>
        <v>0</v>
      </c>
      <c r="E66" s="15" t="n">
        <f aca="false">IF(LEFT(A66,1)&gt;="6",0,SUMIFS('BALANCE 2024'!$I:$I,'BALANCE 2024'!$A:$A,A66))</f>
        <v>0</v>
      </c>
      <c r="F66" s="20" t="n">
        <f aca="false">MAX(0,(H66-I66)-(D66-E66))</f>
        <v>2289499</v>
      </c>
      <c r="G66" s="20" t="n">
        <f aca="false">MAX(0,(D66-E66)-(H66-I66))</f>
        <v>0</v>
      </c>
      <c r="H66" s="15" t="n">
        <f aca="false">ROUND(IF(HYPOTHESES!$C$44=0,0,HYPOTHESES!D$44-SUMPRODUCT((T_BAL_2025[Poste]="RG")*(T_BAL_2025[Compte]&lt;&gt;618300)*ROUND(HYPOTHESES!D$44*SUMIFS('BALANCE 2024'!$H:$H,'BALANCE 2024'!$A:$A,T_BAL_2025[Compte])/HYPOTHESES!$C$44,0))),0)</f>
        <v>2289499</v>
      </c>
      <c r="I66" s="20" t="n">
        <v>0</v>
      </c>
      <c r="J6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7" customFormat="false" ht="15" hidden="false" customHeight="false" outlineLevel="0" collapsed="false">
      <c r="A67" s="30" t="n">
        <v>622200</v>
      </c>
      <c r="B67" s="12" t="s">
        <v>319</v>
      </c>
      <c r="C67" s="13" t="s">
        <v>320</v>
      </c>
      <c r="D67" s="15" t="n">
        <f aca="false">IF(LEFT(A67,1)&gt;="6",0,SUMIFS('BALANCE 2024'!$H:$H,'BALANCE 2024'!$A:$A,A67))</f>
        <v>0</v>
      </c>
      <c r="E67" s="15" t="n">
        <f aca="false">IF(LEFT(A67,1)&gt;="6",0,SUMIFS('BALANCE 2024'!$I:$I,'BALANCE 2024'!$A:$A,A67))</f>
        <v>0</v>
      </c>
      <c r="F67" s="20" t="n">
        <f aca="false">MAX(0,(H67-I67)-(D67-E67))</f>
        <v>17799094</v>
      </c>
      <c r="G67" s="20" t="n">
        <f aca="false">MAX(0,(D67-E67)-(H67-I67))</f>
        <v>0</v>
      </c>
      <c r="H67" s="15" t="n">
        <f aca="false">ROUND(IF(LEFT(A67,1)&gt;="6",IF(C67="RE",IF(HYPOTHESES!$C$43=0,0,HYPOTHESES!D$43*SUMIFS('BALANCE 2024'!$H:$H,'BALANCE 2024'!$A:$A,A67)/HYPOTHESES!$C$43),IF(C67="RG",IF(HYPOTHESES!$C$44=0,0,HYPOTHESES!D$44*SUMIFS('BALANCE 2024'!$H:$H,'BALANCE 2024'!$A:$A,A67)/HYPOTHESES!$C$44),IF(C67="RH",IF(HYPOTHESES!$C$45=0,0,HYPOTHESES!D$45*SUMIFS('BALANCE 2024'!$H:$H,'BALANCE 2024'!$A:$A,A67)/HYPOTHESES!$C$45),IF(C67="RI",IF(HYPOTHESES!$C$46=0,0,HYPOTHESES!D$46*SUMIFS('BALANCE 2024'!$H:$H,'BALANCE 2024'!$A:$A,A67)/HYPOTHESES!$C$46),IF(C67="RJ",IF(HYPOTHESES!$C$47=0,0,HYPOTHESES!D$47*SUMIFS('BALANCE 2024'!$H:$H,'BALANCE 2024'!$A:$A,A67)/HYPOTHESES!$C$47),IF(C67="RK",IF(HYPOTHESES!$C$48=0,0,HYPOTHESES!D$48*SUMIFS('BALANCE 2024'!$H:$H,'BALANCE 2024'!$A:$A,A67)/HYPOTHESES!$C$48),0)))))),MAX(0,D67-E67)),0)</f>
        <v>17799094</v>
      </c>
      <c r="I67" s="20" t="n">
        <v>0</v>
      </c>
      <c r="J6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8" customFormat="false" ht="15" hidden="false" customHeight="false" outlineLevel="0" collapsed="false">
      <c r="A68" s="30" t="n">
        <v>624200</v>
      </c>
      <c r="B68" s="12" t="s">
        <v>321</v>
      </c>
      <c r="C68" s="13" t="s">
        <v>320</v>
      </c>
      <c r="D68" s="15" t="n">
        <f aca="false">IF(LEFT(A68,1)&gt;="6",0,SUMIFS('BALANCE 2024'!$H:$H,'BALANCE 2024'!$A:$A,A68))</f>
        <v>0</v>
      </c>
      <c r="E68" s="15" t="n">
        <f aca="false">IF(LEFT(A68,1)&gt;="6",0,SUMIFS('BALANCE 2024'!$I:$I,'BALANCE 2024'!$A:$A,A68))</f>
        <v>0</v>
      </c>
      <c r="F68" s="20" t="n">
        <f aca="false">MAX(0,(H68-I68)-(D68-E68))</f>
        <v>36596794</v>
      </c>
      <c r="G68" s="20" t="n">
        <f aca="false">MAX(0,(D68-E68)-(H68-I68))</f>
        <v>0</v>
      </c>
      <c r="H68" s="15" t="n">
        <f aca="false">ROUND(IF(HYPOTHESES!$C$45=0,0,HYPOTHESES!D$45-SUMPRODUCT((T_BAL_2025[Poste]="RH")*(T_BAL_2025[Compte]&lt;&gt;624200)*ROUND(HYPOTHESES!D$45*SUMIFS('BALANCE 2024'!$H:$H,'BALANCE 2024'!$A:$A,T_BAL_2025[Compte])/HYPOTHESES!$C$45,0))),0)</f>
        <v>36596794</v>
      </c>
      <c r="I68" s="20" t="n">
        <v>0</v>
      </c>
      <c r="J6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69" customFormat="false" ht="15" hidden="false" customHeight="false" outlineLevel="0" collapsed="false">
      <c r="A69" s="30" t="n">
        <v>625800</v>
      </c>
      <c r="B69" s="12" t="s">
        <v>322</v>
      </c>
      <c r="C69" s="13" t="s">
        <v>320</v>
      </c>
      <c r="D69" s="15" t="n">
        <f aca="false">IF(LEFT(A69,1)&gt;="6",0,SUMIFS('BALANCE 2024'!$H:$H,'BALANCE 2024'!$A:$A,A69))</f>
        <v>0</v>
      </c>
      <c r="E69" s="15" t="n">
        <f aca="false">IF(LEFT(A69,1)&gt;="6",0,SUMIFS('BALANCE 2024'!$I:$I,'BALANCE 2024'!$A:$A,A69))</f>
        <v>0</v>
      </c>
      <c r="F69" s="20" t="n">
        <f aca="false">MAX(0,(H69-I69)-(D69-E69))</f>
        <v>4910803</v>
      </c>
      <c r="G69" s="20" t="n">
        <f aca="false">MAX(0,(D69-E69)-(H69-I69))</f>
        <v>0</v>
      </c>
      <c r="H69" s="15" t="n">
        <f aca="false">ROUND(IF(LEFT(A69,1)&gt;="6",IF(C69="RE",IF(HYPOTHESES!$C$43=0,0,HYPOTHESES!D$43*SUMIFS('BALANCE 2024'!$H:$H,'BALANCE 2024'!$A:$A,A69)/HYPOTHESES!$C$43),IF(C69="RG",IF(HYPOTHESES!$C$44=0,0,HYPOTHESES!D$44*SUMIFS('BALANCE 2024'!$H:$H,'BALANCE 2024'!$A:$A,A69)/HYPOTHESES!$C$44),IF(C69="RH",IF(HYPOTHESES!$C$45=0,0,HYPOTHESES!D$45*SUMIFS('BALANCE 2024'!$H:$H,'BALANCE 2024'!$A:$A,A69)/HYPOTHESES!$C$45),IF(C69="RI",IF(HYPOTHESES!$C$46=0,0,HYPOTHESES!D$46*SUMIFS('BALANCE 2024'!$H:$H,'BALANCE 2024'!$A:$A,A69)/HYPOTHESES!$C$46),IF(C69="RJ",IF(HYPOTHESES!$C$47=0,0,HYPOTHESES!D$47*SUMIFS('BALANCE 2024'!$H:$H,'BALANCE 2024'!$A:$A,A69)/HYPOTHESES!$C$47),IF(C69="RK",IF(HYPOTHESES!$C$48=0,0,HYPOTHESES!D$48*SUMIFS('BALANCE 2024'!$H:$H,'BALANCE 2024'!$A:$A,A69)/HYPOTHESES!$C$48),0)))))),MAX(0,D69-E69)),0)</f>
        <v>4910803</v>
      </c>
      <c r="I69" s="20" t="n">
        <v>0</v>
      </c>
      <c r="J6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0" customFormat="false" ht="15" hidden="false" customHeight="false" outlineLevel="0" collapsed="false">
      <c r="A70" s="30" t="n">
        <v>626600</v>
      </c>
      <c r="B70" s="12" t="s">
        <v>323</v>
      </c>
      <c r="C70" s="13" t="s">
        <v>320</v>
      </c>
      <c r="D70" s="15" t="n">
        <f aca="false">IF(LEFT(A70,1)&gt;="6",0,SUMIFS('BALANCE 2024'!$H:$H,'BALANCE 2024'!$A:$A,A70))</f>
        <v>0</v>
      </c>
      <c r="E70" s="15" t="n">
        <f aca="false">IF(LEFT(A70,1)&gt;="6",0,SUMIFS('BALANCE 2024'!$I:$I,'BALANCE 2024'!$A:$A,A70))</f>
        <v>0</v>
      </c>
      <c r="F70" s="20" t="n">
        <f aca="false">MAX(0,(H70-I70)-(D70-E70))</f>
        <v>34239</v>
      </c>
      <c r="G70" s="20" t="n">
        <f aca="false">MAX(0,(D70-E70)-(H70-I70))</f>
        <v>0</v>
      </c>
      <c r="H70" s="15" t="n">
        <f aca="false">ROUND(IF(LEFT(A70,1)&gt;="6",IF(C70="RE",IF(HYPOTHESES!$C$43=0,0,HYPOTHESES!D$43*SUMIFS('BALANCE 2024'!$H:$H,'BALANCE 2024'!$A:$A,A70)/HYPOTHESES!$C$43),IF(C70="RG",IF(HYPOTHESES!$C$44=0,0,HYPOTHESES!D$44*SUMIFS('BALANCE 2024'!$H:$H,'BALANCE 2024'!$A:$A,A70)/HYPOTHESES!$C$44),IF(C70="RH",IF(HYPOTHESES!$C$45=0,0,HYPOTHESES!D$45*SUMIFS('BALANCE 2024'!$H:$H,'BALANCE 2024'!$A:$A,A70)/HYPOTHESES!$C$45),IF(C70="RI",IF(HYPOTHESES!$C$46=0,0,HYPOTHESES!D$46*SUMIFS('BALANCE 2024'!$H:$H,'BALANCE 2024'!$A:$A,A70)/HYPOTHESES!$C$46),IF(C70="RJ",IF(HYPOTHESES!$C$47=0,0,HYPOTHESES!D$47*SUMIFS('BALANCE 2024'!$H:$H,'BALANCE 2024'!$A:$A,A70)/HYPOTHESES!$C$47),IF(C70="RK",IF(HYPOTHESES!$C$48=0,0,HYPOTHESES!D$48*SUMIFS('BALANCE 2024'!$H:$H,'BALANCE 2024'!$A:$A,A70)/HYPOTHESES!$C$48),0)))))),MAX(0,D70-E70)),0)</f>
        <v>34239</v>
      </c>
      <c r="I70" s="20" t="n">
        <v>0</v>
      </c>
      <c r="J7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1" customFormat="false" ht="15" hidden="false" customHeight="false" outlineLevel="0" collapsed="false">
      <c r="A71" s="30" t="n">
        <v>627700</v>
      </c>
      <c r="B71" s="12" t="s">
        <v>324</v>
      </c>
      <c r="C71" s="13" t="s">
        <v>320</v>
      </c>
      <c r="D71" s="15" t="n">
        <f aca="false">IF(LEFT(A71,1)&gt;="6",0,SUMIFS('BALANCE 2024'!$H:$H,'BALANCE 2024'!$A:$A,A71))</f>
        <v>0</v>
      </c>
      <c r="E71" s="15" t="n">
        <f aca="false">IF(LEFT(A71,1)&gt;="6",0,SUMIFS('BALANCE 2024'!$I:$I,'BALANCE 2024'!$A:$A,A71))</f>
        <v>0</v>
      </c>
      <c r="F71" s="20" t="n">
        <f aca="false">MAX(0,(H71-I71)-(D71-E71))</f>
        <v>62593</v>
      </c>
      <c r="G71" s="20" t="n">
        <f aca="false">MAX(0,(D71-E71)-(H71-I71))</f>
        <v>0</v>
      </c>
      <c r="H71" s="15" t="n">
        <f aca="false">ROUND(IF(LEFT(A71,1)&gt;="6",IF(C71="RE",IF(HYPOTHESES!$C$43=0,0,HYPOTHESES!D$43*SUMIFS('BALANCE 2024'!$H:$H,'BALANCE 2024'!$A:$A,A71)/HYPOTHESES!$C$43),IF(C71="RG",IF(HYPOTHESES!$C$44=0,0,HYPOTHESES!D$44*SUMIFS('BALANCE 2024'!$H:$H,'BALANCE 2024'!$A:$A,A71)/HYPOTHESES!$C$44),IF(C71="RH",IF(HYPOTHESES!$C$45=0,0,HYPOTHESES!D$45*SUMIFS('BALANCE 2024'!$H:$H,'BALANCE 2024'!$A:$A,A71)/HYPOTHESES!$C$45),IF(C71="RI",IF(HYPOTHESES!$C$46=0,0,HYPOTHESES!D$46*SUMIFS('BALANCE 2024'!$H:$H,'BALANCE 2024'!$A:$A,A71)/HYPOTHESES!$C$46),IF(C71="RJ",IF(HYPOTHESES!$C$47=0,0,HYPOTHESES!D$47*SUMIFS('BALANCE 2024'!$H:$H,'BALANCE 2024'!$A:$A,A71)/HYPOTHESES!$C$47),IF(C71="RK",IF(HYPOTHESES!$C$48=0,0,HYPOTHESES!D$48*SUMIFS('BALANCE 2024'!$H:$H,'BALANCE 2024'!$A:$A,A71)/HYPOTHESES!$C$48),0)))))),MAX(0,D71-E71)),0)</f>
        <v>62593</v>
      </c>
      <c r="I71" s="20" t="n">
        <v>0</v>
      </c>
      <c r="J7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2" customFormat="false" ht="15" hidden="false" customHeight="false" outlineLevel="0" collapsed="false">
      <c r="A72" s="30" t="n">
        <v>628800</v>
      </c>
      <c r="B72" s="12" t="s">
        <v>325</v>
      </c>
      <c r="C72" s="13" t="s">
        <v>320</v>
      </c>
      <c r="D72" s="15" t="n">
        <f aca="false">IF(LEFT(A72,1)&gt;="6",0,SUMIFS('BALANCE 2024'!$H:$H,'BALANCE 2024'!$A:$A,A72))</f>
        <v>0</v>
      </c>
      <c r="E72" s="15" t="n">
        <f aca="false">IF(LEFT(A72,1)&gt;="6",0,SUMIFS('BALANCE 2024'!$I:$I,'BALANCE 2024'!$A:$A,A72))</f>
        <v>0</v>
      </c>
      <c r="F72" s="20" t="n">
        <f aca="false">MAX(0,(H72-I72)-(D72-E72))</f>
        <v>849605</v>
      </c>
      <c r="G72" s="20" t="n">
        <f aca="false">MAX(0,(D72-E72)-(H72-I72))</f>
        <v>0</v>
      </c>
      <c r="H72" s="15" t="n">
        <f aca="false">ROUND(IF(LEFT(A72,1)&gt;="6",IF(C72="RE",IF(HYPOTHESES!$C$43=0,0,HYPOTHESES!D$43*SUMIFS('BALANCE 2024'!$H:$H,'BALANCE 2024'!$A:$A,A72)/HYPOTHESES!$C$43),IF(C72="RG",IF(HYPOTHESES!$C$44=0,0,HYPOTHESES!D$44*SUMIFS('BALANCE 2024'!$H:$H,'BALANCE 2024'!$A:$A,A72)/HYPOTHESES!$C$44),IF(C72="RH",IF(HYPOTHESES!$C$45=0,0,HYPOTHESES!D$45*SUMIFS('BALANCE 2024'!$H:$H,'BALANCE 2024'!$A:$A,A72)/HYPOTHESES!$C$45),IF(C72="RI",IF(HYPOTHESES!$C$46=0,0,HYPOTHESES!D$46*SUMIFS('BALANCE 2024'!$H:$H,'BALANCE 2024'!$A:$A,A72)/HYPOTHESES!$C$46),IF(C72="RJ",IF(HYPOTHESES!$C$47=0,0,HYPOTHESES!D$47*SUMIFS('BALANCE 2024'!$H:$H,'BALANCE 2024'!$A:$A,A72)/HYPOTHESES!$C$47),IF(C72="RK",IF(HYPOTHESES!$C$48=0,0,HYPOTHESES!D$48*SUMIFS('BALANCE 2024'!$H:$H,'BALANCE 2024'!$A:$A,A72)/HYPOTHESES!$C$48),0)))))),MAX(0,D72-E72)),0)</f>
        <v>849605</v>
      </c>
      <c r="I72" s="20" t="n">
        <v>0</v>
      </c>
      <c r="J7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3" customFormat="false" ht="15" hidden="false" customHeight="false" outlineLevel="0" collapsed="false">
      <c r="A73" s="30" t="n">
        <v>631800</v>
      </c>
      <c r="B73" s="12" t="s">
        <v>326</v>
      </c>
      <c r="C73" s="13" t="s">
        <v>320</v>
      </c>
      <c r="D73" s="15" t="n">
        <f aca="false">IF(LEFT(A73,1)&gt;="6",0,SUMIFS('BALANCE 2024'!$H:$H,'BALANCE 2024'!$A:$A,A73))</f>
        <v>0</v>
      </c>
      <c r="E73" s="15" t="n">
        <f aca="false">IF(LEFT(A73,1)&gt;="6",0,SUMIFS('BALANCE 2024'!$I:$I,'BALANCE 2024'!$A:$A,A73))</f>
        <v>0</v>
      </c>
      <c r="F73" s="20" t="n">
        <f aca="false">MAX(0,(H73-I73)-(D73-E73))</f>
        <v>24170860</v>
      </c>
      <c r="G73" s="20" t="n">
        <f aca="false">MAX(0,(D73-E73)-(H73-I73))</f>
        <v>0</v>
      </c>
      <c r="H73" s="15" t="n">
        <f aca="false">ROUND(IF(LEFT(A73,1)&gt;="6",IF(C73="RE",IF(HYPOTHESES!$C$43=0,0,HYPOTHESES!D$43*SUMIFS('BALANCE 2024'!$H:$H,'BALANCE 2024'!$A:$A,A73)/HYPOTHESES!$C$43),IF(C73="RG",IF(HYPOTHESES!$C$44=0,0,HYPOTHESES!D$44*SUMIFS('BALANCE 2024'!$H:$H,'BALANCE 2024'!$A:$A,A73)/HYPOTHESES!$C$44),IF(C73="RH",IF(HYPOTHESES!$C$45=0,0,HYPOTHESES!D$45*SUMIFS('BALANCE 2024'!$H:$H,'BALANCE 2024'!$A:$A,A73)/HYPOTHESES!$C$45),IF(C73="RI",IF(HYPOTHESES!$C$46=0,0,HYPOTHESES!D$46*SUMIFS('BALANCE 2024'!$H:$H,'BALANCE 2024'!$A:$A,A73)/HYPOTHESES!$C$46),IF(C73="RJ",IF(HYPOTHESES!$C$47=0,0,HYPOTHESES!D$47*SUMIFS('BALANCE 2024'!$H:$H,'BALANCE 2024'!$A:$A,A73)/HYPOTHESES!$C$47),IF(C73="RK",IF(HYPOTHESES!$C$48=0,0,HYPOTHESES!D$48*SUMIFS('BALANCE 2024'!$H:$H,'BALANCE 2024'!$A:$A,A73)/HYPOTHESES!$C$48),0)))))),MAX(0,D73-E73)),0)</f>
        <v>24170860</v>
      </c>
      <c r="I73" s="20" t="n">
        <v>0</v>
      </c>
      <c r="J7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4" customFormat="false" ht="15" hidden="false" customHeight="false" outlineLevel="0" collapsed="false">
      <c r="A74" s="30" t="n">
        <v>632800</v>
      </c>
      <c r="B74" s="12" t="s">
        <v>327</v>
      </c>
      <c r="C74" s="13" t="s">
        <v>320</v>
      </c>
      <c r="D74" s="15" t="n">
        <f aca="false">IF(LEFT(A74,1)&gt;="6",0,SUMIFS('BALANCE 2024'!$H:$H,'BALANCE 2024'!$A:$A,A74))</f>
        <v>0</v>
      </c>
      <c r="E74" s="15" t="n">
        <f aca="false">IF(LEFT(A74,1)&gt;="6",0,SUMIFS('BALANCE 2024'!$I:$I,'BALANCE 2024'!$A:$A,A74))</f>
        <v>0</v>
      </c>
      <c r="F74" s="20" t="n">
        <f aca="false">MAX(0,(H74-I74)-(D74-E74))</f>
        <v>5085623</v>
      </c>
      <c r="G74" s="20" t="n">
        <f aca="false">MAX(0,(D74-E74)-(H74-I74))</f>
        <v>0</v>
      </c>
      <c r="H74" s="15" t="n">
        <f aca="false">ROUND(IF(LEFT(A74,1)&gt;="6",IF(C74="RE",IF(HYPOTHESES!$C$43=0,0,HYPOTHESES!D$43*SUMIFS('BALANCE 2024'!$H:$H,'BALANCE 2024'!$A:$A,A74)/HYPOTHESES!$C$43),IF(C74="RG",IF(HYPOTHESES!$C$44=0,0,HYPOTHESES!D$44*SUMIFS('BALANCE 2024'!$H:$H,'BALANCE 2024'!$A:$A,A74)/HYPOTHESES!$C$44),IF(C74="RH",IF(HYPOTHESES!$C$45=0,0,HYPOTHESES!D$45*SUMIFS('BALANCE 2024'!$H:$H,'BALANCE 2024'!$A:$A,A74)/HYPOTHESES!$C$45),IF(C74="RI",IF(HYPOTHESES!$C$46=0,0,HYPOTHESES!D$46*SUMIFS('BALANCE 2024'!$H:$H,'BALANCE 2024'!$A:$A,A74)/HYPOTHESES!$C$46),IF(C74="RJ",IF(HYPOTHESES!$C$47=0,0,HYPOTHESES!D$47*SUMIFS('BALANCE 2024'!$H:$H,'BALANCE 2024'!$A:$A,A74)/HYPOTHESES!$C$47),IF(C74="RK",IF(HYPOTHESES!$C$48=0,0,HYPOTHESES!D$48*SUMIFS('BALANCE 2024'!$H:$H,'BALANCE 2024'!$A:$A,A74)/HYPOTHESES!$C$48),0)))))),MAX(0,D74-E74)),0)</f>
        <v>5085623</v>
      </c>
      <c r="I74" s="20" t="n">
        <v>0</v>
      </c>
      <c r="J7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5" customFormat="false" ht="15" hidden="false" customHeight="false" outlineLevel="0" collapsed="false">
      <c r="A75" s="30" t="n">
        <v>638800</v>
      </c>
      <c r="B75" s="12" t="s">
        <v>328</v>
      </c>
      <c r="C75" s="13" t="s">
        <v>320</v>
      </c>
      <c r="D75" s="15" t="n">
        <f aca="false">IF(LEFT(A75,1)&gt;="6",0,SUMIFS('BALANCE 2024'!$H:$H,'BALANCE 2024'!$A:$A,A75))</f>
        <v>0</v>
      </c>
      <c r="E75" s="15" t="n">
        <f aca="false">IF(LEFT(A75,1)&gt;="6",0,SUMIFS('BALANCE 2024'!$I:$I,'BALANCE 2024'!$A:$A,A75))</f>
        <v>0</v>
      </c>
      <c r="F75" s="20" t="n">
        <f aca="false">MAX(0,(H75-I75)-(D75-E75))</f>
        <v>24730400</v>
      </c>
      <c r="G75" s="20" t="n">
        <f aca="false">MAX(0,(D75-E75)-(H75-I75))</f>
        <v>0</v>
      </c>
      <c r="H75" s="15" t="n">
        <f aca="false">ROUND(IF(LEFT(A75,1)&gt;="6",IF(C75="RE",IF(HYPOTHESES!$C$43=0,0,HYPOTHESES!D$43*SUMIFS('BALANCE 2024'!$H:$H,'BALANCE 2024'!$A:$A,A75)/HYPOTHESES!$C$43),IF(C75="RG",IF(HYPOTHESES!$C$44=0,0,HYPOTHESES!D$44*SUMIFS('BALANCE 2024'!$H:$H,'BALANCE 2024'!$A:$A,A75)/HYPOTHESES!$C$44),IF(C75="RH",IF(HYPOTHESES!$C$45=0,0,HYPOTHESES!D$45*SUMIFS('BALANCE 2024'!$H:$H,'BALANCE 2024'!$A:$A,A75)/HYPOTHESES!$C$45),IF(C75="RI",IF(HYPOTHESES!$C$46=0,0,HYPOTHESES!D$46*SUMIFS('BALANCE 2024'!$H:$H,'BALANCE 2024'!$A:$A,A75)/HYPOTHESES!$C$46),IF(C75="RJ",IF(HYPOTHESES!$C$47=0,0,HYPOTHESES!D$47*SUMIFS('BALANCE 2024'!$H:$H,'BALANCE 2024'!$A:$A,A75)/HYPOTHESES!$C$47),IF(C75="RK",IF(HYPOTHESES!$C$48=0,0,HYPOTHESES!D$48*SUMIFS('BALANCE 2024'!$H:$H,'BALANCE 2024'!$A:$A,A75)/HYPOTHESES!$C$48),0)))))),MAX(0,D75-E75)),0)</f>
        <v>24730400</v>
      </c>
      <c r="I75" s="20" t="n">
        <v>0</v>
      </c>
      <c r="J7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6" customFormat="false" ht="15" hidden="false" customHeight="false" outlineLevel="0" collapsed="false">
      <c r="A76" s="30" t="n">
        <v>641100</v>
      </c>
      <c r="B76" s="12" t="s">
        <v>329</v>
      </c>
      <c r="C76" s="13" t="s">
        <v>330</v>
      </c>
      <c r="D76" s="15" t="n">
        <f aca="false">IF(LEFT(A76,1)&gt;="6",0,SUMIFS('BALANCE 2024'!$H:$H,'BALANCE 2024'!$A:$A,A76))</f>
        <v>0</v>
      </c>
      <c r="E76" s="15" t="n">
        <f aca="false">IF(LEFT(A76,1)&gt;="6",0,SUMIFS('BALANCE 2024'!$I:$I,'BALANCE 2024'!$A:$A,A76))</f>
        <v>0</v>
      </c>
      <c r="F76" s="20" t="n">
        <f aca="false">MAX(0,(H76-I76)-(D76-E76))</f>
        <v>384995</v>
      </c>
      <c r="G76" s="20" t="n">
        <f aca="false">MAX(0,(D76-E76)-(H76-I76))</f>
        <v>0</v>
      </c>
      <c r="H76" s="15" t="n">
        <f aca="false">ROUND(IF(LEFT(A76,1)&gt;="6",IF(C76="RE",IF(HYPOTHESES!$C$43=0,0,HYPOTHESES!D$43*SUMIFS('BALANCE 2024'!$H:$H,'BALANCE 2024'!$A:$A,A76)/HYPOTHESES!$C$43),IF(C76="RG",IF(HYPOTHESES!$C$44=0,0,HYPOTHESES!D$44*SUMIFS('BALANCE 2024'!$H:$H,'BALANCE 2024'!$A:$A,A76)/HYPOTHESES!$C$44),IF(C76="RH",IF(HYPOTHESES!$C$45=0,0,HYPOTHESES!D$45*SUMIFS('BALANCE 2024'!$H:$H,'BALANCE 2024'!$A:$A,A76)/HYPOTHESES!$C$45),IF(C76="RI",IF(HYPOTHESES!$C$46=0,0,HYPOTHESES!D$46*SUMIFS('BALANCE 2024'!$H:$H,'BALANCE 2024'!$A:$A,A76)/HYPOTHESES!$C$46),IF(C76="RJ",IF(HYPOTHESES!$C$47=0,0,HYPOTHESES!D$47*SUMIFS('BALANCE 2024'!$H:$H,'BALANCE 2024'!$A:$A,A76)/HYPOTHESES!$C$47),IF(C76="RK",IF(HYPOTHESES!$C$48=0,0,HYPOTHESES!D$48*SUMIFS('BALANCE 2024'!$H:$H,'BALANCE 2024'!$A:$A,A76)/HYPOTHESES!$C$48),0)))))),MAX(0,D76-E76)),0)</f>
        <v>384995</v>
      </c>
      <c r="I76" s="20" t="n">
        <v>0</v>
      </c>
      <c r="J7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7" customFormat="false" ht="15" hidden="false" customHeight="false" outlineLevel="0" collapsed="false">
      <c r="A77" s="30" t="n">
        <v>641201</v>
      </c>
      <c r="B77" s="12" t="s">
        <v>331</v>
      </c>
      <c r="C77" s="13" t="s">
        <v>330</v>
      </c>
      <c r="D77" s="15" t="n">
        <f aca="false">IF(LEFT(A77,1)&gt;="6",0,SUMIFS('BALANCE 2024'!$H:$H,'BALANCE 2024'!$A:$A,A77))</f>
        <v>0</v>
      </c>
      <c r="E77" s="15" t="n">
        <f aca="false">IF(LEFT(A77,1)&gt;="6",0,SUMIFS('BALANCE 2024'!$I:$I,'BALANCE 2024'!$A:$A,A77))</f>
        <v>0</v>
      </c>
      <c r="F77" s="20" t="n">
        <f aca="false">MAX(0,(H77-I77)-(D77-E77))</f>
        <v>9683843</v>
      </c>
      <c r="G77" s="20" t="n">
        <f aca="false">MAX(0,(D77-E77)-(H77-I77))</f>
        <v>0</v>
      </c>
      <c r="H77" s="15" t="n">
        <f aca="false">ROUND(IF(HYPOTHESES!$C$46=0,0,HYPOTHESES!D$46-SUMPRODUCT((T_BAL_2025[Poste]="RI")*(T_BAL_2025[Compte]&lt;&gt;641201)*ROUND(HYPOTHESES!D$46*SUMIFS('BALANCE 2024'!$H:$H,'BALANCE 2024'!$A:$A,T_BAL_2025[Compte])/HYPOTHESES!$C$46,0))),0)</f>
        <v>9683843</v>
      </c>
      <c r="I77" s="20" t="n">
        <v>0</v>
      </c>
      <c r="J7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8" customFormat="false" ht="15" hidden="false" customHeight="false" outlineLevel="0" collapsed="false">
      <c r="A78" s="30" t="n">
        <v>641202</v>
      </c>
      <c r="B78" s="12" t="s">
        <v>332</v>
      </c>
      <c r="C78" s="13" t="s">
        <v>330</v>
      </c>
      <c r="D78" s="15" t="n">
        <f aca="false">IF(LEFT(A78,1)&gt;="6",0,SUMIFS('BALANCE 2024'!$H:$H,'BALANCE 2024'!$A:$A,A78))</f>
        <v>0</v>
      </c>
      <c r="E78" s="15" t="n">
        <f aca="false">IF(LEFT(A78,1)&gt;="6",0,SUMIFS('BALANCE 2024'!$I:$I,'BALANCE 2024'!$A:$A,A78))</f>
        <v>0</v>
      </c>
      <c r="F78" s="20" t="n">
        <f aca="false">MAX(0,(H78-I78)-(D78-E78))</f>
        <v>1656223</v>
      </c>
      <c r="G78" s="20" t="n">
        <f aca="false">MAX(0,(D78-E78)-(H78-I78))</f>
        <v>0</v>
      </c>
      <c r="H78" s="15" t="n">
        <f aca="false">ROUND(IF(LEFT(A78,1)&gt;="6",IF(C78="RE",IF(HYPOTHESES!$C$43=0,0,HYPOTHESES!D$43*SUMIFS('BALANCE 2024'!$H:$H,'BALANCE 2024'!$A:$A,A78)/HYPOTHESES!$C$43),IF(C78="RG",IF(HYPOTHESES!$C$44=0,0,HYPOTHESES!D$44*SUMIFS('BALANCE 2024'!$H:$H,'BALANCE 2024'!$A:$A,A78)/HYPOTHESES!$C$44),IF(C78="RH",IF(HYPOTHESES!$C$45=0,0,HYPOTHESES!D$45*SUMIFS('BALANCE 2024'!$H:$H,'BALANCE 2024'!$A:$A,A78)/HYPOTHESES!$C$45),IF(C78="RI",IF(HYPOTHESES!$C$46=0,0,HYPOTHESES!D$46*SUMIFS('BALANCE 2024'!$H:$H,'BALANCE 2024'!$A:$A,A78)/HYPOTHESES!$C$46),IF(C78="RJ",IF(HYPOTHESES!$C$47=0,0,HYPOTHESES!D$47*SUMIFS('BALANCE 2024'!$H:$H,'BALANCE 2024'!$A:$A,A78)/HYPOTHESES!$C$47),IF(C78="RK",IF(HYPOTHESES!$C$48=0,0,HYPOTHESES!D$48*SUMIFS('BALANCE 2024'!$H:$H,'BALANCE 2024'!$A:$A,A78)/HYPOTHESES!$C$48),0)))))),MAX(0,D78-E78)),0)</f>
        <v>1656223</v>
      </c>
      <c r="I78" s="20" t="n">
        <v>0</v>
      </c>
      <c r="J7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79" customFormat="false" ht="15" hidden="false" customHeight="false" outlineLevel="0" collapsed="false">
      <c r="A79" s="30" t="n">
        <v>641300</v>
      </c>
      <c r="B79" s="12" t="s">
        <v>333</v>
      </c>
      <c r="C79" s="13" t="s">
        <v>330</v>
      </c>
      <c r="D79" s="15" t="n">
        <f aca="false">IF(LEFT(A79,1)&gt;="6",0,SUMIFS('BALANCE 2024'!$H:$H,'BALANCE 2024'!$A:$A,A79))</f>
        <v>0</v>
      </c>
      <c r="E79" s="15" t="n">
        <f aca="false">IF(LEFT(A79,1)&gt;="6",0,SUMIFS('BALANCE 2024'!$I:$I,'BALANCE 2024'!$A:$A,A79))</f>
        <v>0</v>
      </c>
      <c r="F79" s="20" t="n">
        <f aca="false">MAX(0,(H79-I79)-(D79-E79))</f>
        <v>883965</v>
      </c>
      <c r="G79" s="20" t="n">
        <f aca="false">MAX(0,(D79-E79)-(H79-I79))</f>
        <v>0</v>
      </c>
      <c r="H79" s="15" t="n">
        <f aca="false">ROUND(IF(LEFT(A79,1)&gt;="6",IF(C79="RE",IF(HYPOTHESES!$C$43=0,0,HYPOTHESES!D$43*SUMIFS('BALANCE 2024'!$H:$H,'BALANCE 2024'!$A:$A,A79)/HYPOTHESES!$C$43),IF(C79="RG",IF(HYPOTHESES!$C$44=0,0,HYPOTHESES!D$44*SUMIFS('BALANCE 2024'!$H:$H,'BALANCE 2024'!$A:$A,A79)/HYPOTHESES!$C$44),IF(C79="RH",IF(HYPOTHESES!$C$45=0,0,HYPOTHESES!D$45*SUMIFS('BALANCE 2024'!$H:$H,'BALANCE 2024'!$A:$A,A79)/HYPOTHESES!$C$45),IF(C79="RI",IF(HYPOTHESES!$C$46=0,0,HYPOTHESES!D$46*SUMIFS('BALANCE 2024'!$H:$H,'BALANCE 2024'!$A:$A,A79)/HYPOTHESES!$C$46),IF(C79="RJ",IF(HYPOTHESES!$C$47=0,0,HYPOTHESES!D$47*SUMIFS('BALANCE 2024'!$H:$H,'BALANCE 2024'!$A:$A,A79)/HYPOTHESES!$C$47),IF(C79="RK",IF(HYPOTHESES!$C$48=0,0,HYPOTHESES!D$48*SUMIFS('BALANCE 2024'!$H:$H,'BALANCE 2024'!$A:$A,A79)/HYPOTHESES!$C$48),0)))))),MAX(0,D79-E79)),0)</f>
        <v>883965</v>
      </c>
      <c r="I79" s="20" t="n">
        <v>0</v>
      </c>
      <c r="J7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0" customFormat="false" ht="15" hidden="false" customHeight="false" outlineLevel="0" collapsed="false">
      <c r="A80" s="30" t="n">
        <v>641400</v>
      </c>
      <c r="B80" s="12" t="s">
        <v>334</v>
      </c>
      <c r="C80" s="13" t="s">
        <v>330</v>
      </c>
      <c r="D80" s="15" t="n">
        <f aca="false">IF(LEFT(A80,1)&gt;="6",0,SUMIFS('BALANCE 2024'!$H:$H,'BALANCE 2024'!$A:$A,A80))</f>
        <v>0</v>
      </c>
      <c r="E80" s="15" t="n">
        <f aca="false">IF(LEFT(A80,1)&gt;="6",0,SUMIFS('BALANCE 2024'!$I:$I,'BALANCE 2024'!$A:$A,A80))</f>
        <v>0</v>
      </c>
      <c r="F80" s="20" t="n">
        <f aca="false">MAX(0,(H80-I80)-(D80-E80))</f>
        <v>111291</v>
      </c>
      <c r="G80" s="20" t="n">
        <f aca="false">MAX(0,(D80-E80)-(H80-I80))</f>
        <v>0</v>
      </c>
      <c r="H80" s="15" t="n">
        <f aca="false">ROUND(IF(LEFT(A80,1)&gt;="6",IF(C80="RE",IF(HYPOTHESES!$C$43=0,0,HYPOTHESES!D$43*SUMIFS('BALANCE 2024'!$H:$H,'BALANCE 2024'!$A:$A,A80)/HYPOTHESES!$C$43),IF(C80="RG",IF(HYPOTHESES!$C$44=0,0,HYPOTHESES!D$44*SUMIFS('BALANCE 2024'!$H:$H,'BALANCE 2024'!$A:$A,A80)/HYPOTHESES!$C$44),IF(C80="RH",IF(HYPOTHESES!$C$45=0,0,HYPOTHESES!D$45*SUMIFS('BALANCE 2024'!$H:$H,'BALANCE 2024'!$A:$A,A80)/HYPOTHESES!$C$45),IF(C80="RI",IF(HYPOTHESES!$C$46=0,0,HYPOTHESES!D$46*SUMIFS('BALANCE 2024'!$H:$H,'BALANCE 2024'!$A:$A,A80)/HYPOTHESES!$C$46),IF(C80="RJ",IF(HYPOTHESES!$C$47=0,0,HYPOTHESES!D$47*SUMIFS('BALANCE 2024'!$H:$H,'BALANCE 2024'!$A:$A,A80)/HYPOTHESES!$C$47),IF(C80="RK",IF(HYPOTHESES!$C$48=0,0,HYPOTHESES!D$48*SUMIFS('BALANCE 2024'!$H:$H,'BALANCE 2024'!$A:$A,A80)/HYPOTHESES!$C$48),0)))))),MAX(0,D80-E80)),0)</f>
        <v>111291</v>
      </c>
      <c r="I80" s="20" t="n">
        <v>0</v>
      </c>
      <c r="J8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1" customFormat="false" ht="15" hidden="false" customHeight="false" outlineLevel="0" collapsed="false">
      <c r="A81" s="30" t="n">
        <v>641500</v>
      </c>
      <c r="B81" s="12" t="s">
        <v>335</v>
      </c>
      <c r="C81" s="13" t="s">
        <v>330</v>
      </c>
      <c r="D81" s="15" t="n">
        <f aca="false">IF(LEFT(A81,1)&gt;="6",0,SUMIFS('BALANCE 2024'!$H:$H,'BALANCE 2024'!$A:$A,A81))</f>
        <v>0</v>
      </c>
      <c r="E81" s="15" t="n">
        <f aca="false">IF(LEFT(A81,1)&gt;="6",0,SUMIFS('BALANCE 2024'!$I:$I,'BALANCE 2024'!$A:$A,A81))</f>
        <v>0</v>
      </c>
      <c r="F81" s="20" t="n">
        <f aca="false">MAX(0,(H81-I81)-(D81-E81))</f>
        <v>333888</v>
      </c>
      <c r="G81" s="20" t="n">
        <f aca="false">MAX(0,(D81-E81)-(H81-I81))</f>
        <v>0</v>
      </c>
      <c r="H81" s="15" t="n">
        <f aca="false">ROUND(IF(LEFT(A81,1)&gt;="6",IF(C81="RE",IF(HYPOTHESES!$C$43=0,0,HYPOTHESES!D$43*SUMIFS('BALANCE 2024'!$H:$H,'BALANCE 2024'!$A:$A,A81)/HYPOTHESES!$C$43),IF(C81="RG",IF(HYPOTHESES!$C$44=0,0,HYPOTHESES!D$44*SUMIFS('BALANCE 2024'!$H:$H,'BALANCE 2024'!$A:$A,A81)/HYPOTHESES!$C$44),IF(C81="RH",IF(HYPOTHESES!$C$45=0,0,HYPOTHESES!D$45*SUMIFS('BALANCE 2024'!$H:$H,'BALANCE 2024'!$A:$A,A81)/HYPOTHESES!$C$45),IF(C81="RI",IF(HYPOTHESES!$C$46=0,0,HYPOTHESES!D$46*SUMIFS('BALANCE 2024'!$H:$H,'BALANCE 2024'!$A:$A,A81)/HYPOTHESES!$C$46),IF(C81="RJ",IF(HYPOTHESES!$C$47=0,0,HYPOTHESES!D$47*SUMIFS('BALANCE 2024'!$H:$H,'BALANCE 2024'!$A:$A,A81)/HYPOTHESES!$C$47),IF(C81="RK",IF(HYPOTHESES!$C$48=0,0,HYPOTHESES!D$48*SUMIFS('BALANCE 2024'!$H:$H,'BALANCE 2024'!$A:$A,A81)/HYPOTHESES!$C$48),0)))))),MAX(0,D81-E81)),0)</f>
        <v>333888</v>
      </c>
      <c r="I81" s="20" t="n">
        <v>0</v>
      </c>
      <c r="J8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2" customFormat="false" ht="15" hidden="false" customHeight="false" outlineLevel="0" collapsed="false">
      <c r="A82" s="30" t="n">
        <v>641830</v>
      </c>
      <c r="B82" s="12" t="s">
        <v>336</v>
      </c>
      <c r="C82" s="13" t="s">
        <v>330</v>
      </c>
      <c r="D82" s="15" t="n">
        <f aca="false">IF(LEFT(A82,1)&gt;="6",0,SUMIFS('BALANCE 2024'!$H:$H,'BALANCE 2024'!$A:$A,A82))</f>
        <v>0</v>
      </c>
      <c r="E82" s="15" t="n">
        <f aca="false">IF(LEFT(A82,1)&gt;="6",0,SUMIFS('BALANCE 2024'!$I:$I,'BALANCE 2024'!$A:$A,A82))</f>
        <v>0</v>
      </c>
      <c r="F82" s="20" t="n">
        <f aca="false">MAX(0,(H82-I82)-(D82-E82))</f>
        <v>226383</v>
      </c>
      <c r="G82" s="20" t="n">
        <f aca="false">MAX(0,(D82-E82)-(H82-I82))</f>
        <v>0</v>
      </c>
      <c r="H82" s="15" t="n">
        <f aca="false">ROUND(IF(LEFT(A82,1)&gt;="6",IF(C82="RE",IF(HYPOTHESES!$C$43=0,0,HYPOTHESES!D$43*SUMIFS('BALANCE 2024'!$H:$H,'BALANCE 2024'!$A:$A,A82)/HYPOTHESES!$C$43),IF(C82="RG",IF(HYPOTHESES!$C$44=0,0,HYPOTHESES!D$44*SUMIFS('BALANCE 2024'!$H:$H,'BALANCE 2024'!$A:$A,A82)/HYPOTHESES!$C$44),IF(C82="RH",IF(HYPOTHESES!$C$45=0,0,HYPOTHESES!D$45*SUMIFS('BALANCE 2024'!$H:$H,'BALANCE 2024'!$A:$A,A82)/HYPOTHESES!$C$45),IF(C82="RI",IF(HYPOTHESES!$C$46=0,0,HYPOTHESES!D$46*SUMIFS('BALANCE 2024'!$H:$H,'BALANCE 2024'!$A:$A,A82)/HYPOTHESES!$C$46),IF(C82="RJ",IF(HYPOTHESES!$C$47=0,0,HYPOTHESES!D$47*SUMIFS('BALANCE 2024'!$H:$H,'BALANCE 2024'!$A:$A,A82)/HYPOTHESES!$C$47),IF(C82="RK",IF(HYPOTHESES!$C$48=0,0,HYPOTHESES!D$48*SUMIFS('BALANCE 2024'!$H:$H,'BALANCE 2024'!$A:$A,A82)/HYPOTHESES!$C$48),0)))))),MAX(0,D82-E82)),0)</f>
        <v>226383</v>
      </c>
      <c r="I82" s="20" t="n">
        <v>0</v>
      </c>
      <c r="J8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3" customFormat="false" ht="15" hidden="false" customHeight="false" outlineLevel="0" collapsed="false">
      <c r="A83" s="30" t="n">
        <v>646200</v>
      </c>
      <c r="B83" s="12" t="s">
        <v>337</v>
      </c>
      <c r="C83" s="13" t="s">
        <v>330</v>
      </c>
      <c r="D83" s="15" t="n">
        <f aca="false">IF(LEFT(A83,1)&gt;="6",0,SUMIFS('BALANCE 2024'!$H:$H,'BALANCE 2024'!$A:$A,A83))</f>
        <v>0</v>
      </c>
      <c r="E83" s="15" t="n">
        <f aca="false">IF(LEFT(A83,1)&gt;="6",0,SUMIFS('BALANCE 2024'!$I:$I,'BALANCE 2024'!$A:$A,A83))</f>
        <v>0</v>
      </c>
      <c r="F83" s="20" t="n">
        <f aca="false">MAX(0,(H83-I83)-(D83-E83))</f>
        <v>1845461</v>
      </c>
      <c r="G83" s="20" t="n">
        <f aca="false">MAX(0,(D83-E83)-(H83-I83))</f>
        <v>0</v>
      </c>
      <c r="H83" s="15" t="n">
        <f aca="false">ROUND(IF(LEFT(A83,1)&gt;="6",IF(C83="RE",IF(HYPOTHESES!$C$43=0,0,HYPOTHESES!D$43*SUMIFS('BALANCE 2024'!$H:$H,'BALANCE 2024'!$A:$A,A83)/HYPOTHESES!$C$43),IF(C83="RG",IF(HYPOTHESES!$C$44=0,0,HYPOTHESES!D$44*SUMIFS('BALANCE 2024'!$H:$H,'BALANCE 2024'!$A:$A,A83)/HYPOTHESES!$C$44),IF(C83="RH",IF(HYPOTHESES!$C$45=0,0,HYPOTHESES!D$45*SUMIFS('BALANCE 2024'!$H:$H,'BALANCE 2024'!$A:$A,A83)/HYPOTHESES!$C$45),IF(C83="RI",IF(HYPOTHESES!$C$46=0,0,HYPOTHESES!D$46*SUMIFS('BALANCE 2024'!$H:$H,'BALANCE 2024'!$A:$A,A83)/HYPOTHESES!$C$46),IF(C83="RJ",IF(HYPOTHESES!$C$47=0,0,HYPOTHESES!D$47*SUMIFS('BALANCE 2024'!$H:$H,'BALANCE 2024'!$A:$A,A83)/HYPOTHESES!$C$47),IF(C83="RK",IF(HYPOTHESES!$C$48=0,0,HYPOTHESES!D$48*SUMIFS('BALANCE 2024'!$H:$H,'BALANCE 2024'!$A:$A,A83)/HYPOTHESES!$C$48),0)))))),MAX(0,D83-E83)),0)</f>
        <v>1845461</v>
      </c>
      <c r="I83" s="20" t="n">
        <v>0</v>
      </c>
      <c r="J8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4" customFormat="false" ht="15" hidden="false" customHeight="false" outlineLevel="0" collapsed="false">
      <c r="A84" s="30" t="n">
        <v>648000</v>
      </c>
      <c r="B84" s="12" t="s">
        <v>338</v>
      </c>
      <c r="C84" s="13" t="s">
        <v>330</v>
      </c>
      <c r="D84" s="15" t="n">
        <f aca="false">IF(LEFT(A84,1)&gt;="6",0,SUMIFS('BALANCE 2024'!$H:$H,'BALANCE 2024'!$A:$A,A84))</f>
        <v>0</v>
      </c>
      <c r="E84" s="15" t="n">
        <f aca="false">IF(LEFT(A84,1)&gt;="6",0,SUMIFS('BALANCE 2024'!$I:$I,'BALANCE 2024'!$A:$A,A84))</f>
        <v>0</v>
      </c>
      <c r="F84" s="20" t="n">
        <f aca="false">MAX(0,(H84-I84)-(D84-E84))</f>
        <v>776041</v>
      </c>
      <c r="G84" s="20" t="n">
        <f aca="false">MAX(0,(D84-E84)-(H84-I84))</f>
        <v>0</v>
      </c>
      <c r="H84" s="15" t="n">
        <f aca="false">ROUND(IF(LEFT(A84,1)&gt;="6",IF(C84="RE",IF(HYPOTHESES!$C$43=0,0,HYPOTHESES!D$43*SUMIFS('BALANCE 2024'!$H:$H,'BALANCE 2024'!$A:$A,A84)/HYPOTHESES!$C$43),IF(C84="RG",IF(HYPOTHESES!$C$44=0,0,HYPOTHESES!D$44*SUMIFS('BALANCE 2024'!$H:$H,'BALANCE 2024'!$A:$A,A84)/HYPOTHESES!$C$44),IF(C84="RH",IF(HYPOTHESES!$C$45=0,0,HYPOTHESES!D$45*SUMIFS('BALANCE 2024'!$H:$H,'BALANCE 2024'!$A:$A,A84)/HYPOTHESES!$C$45),IF(C84="RI",IF(HYPOTHESES!$C$46=0,0,HYPOTHESES!D$46*SUMIFS('BALANCE 2024'!$H:$H,'BALANCE 2024'!$A:$A,A84)/HYPOTHESES!$C$46),IF(C84="RJ",IF(HYPOTHESES!$C$47=0,0,HYPOTHESES!D$47*SUMIFS('BALANCE 2024'!$H:$H,'BALANCE 2024'!$A:$A,A84)/HYPOTHESES!$C$47),IF(C84="RK",IF(HYPOTHESES!$C$48=0,0,HYPOTHESES!D$48*SUMIFS('BALANCE 2024'!$H:$H,'BALANCE 2024'!$A:$A,A84)/HYPOTHESES!$C$48),0)))))),MAX(0,D84-E84)),0)</f>
        <v>776041</v>
      </c>
      <c r="I84" s="20" t="n">
        <v>0</v>
      </c>
      <c r="J8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5" customFormat="false" ht="15" hidden="false" customHeight="false" outlineLevel="0" collapsed="false">
      <c r="A85" s="30" t="n">
        <v>658800</v>
      </c>
      <c r="B85" s="12" t="s">
        <v>339</v>
      </c>
      <c r="C85" s="13" t="s">
        <v>340</v>
      </c>
      <c r="D85" s="15" t="n">
        <f aca="false">IF(LEFT(A85,1)&gt;="6",0,SUMIFS('BALANCE 2024'!$H:$H,'BALANCE 2024'!$A:$A,A85))</f>
        <v>0</v>
      </c>
      <c r="E85" s="15" t="n">
        <f aca="false">IF(LEFT(A85,1)&gt;="6",0,SUMIFS('BALANCE 2024'!$I:$I,'BALANCE 2024'!$A:$A,A85))</f>
        <v>0</v>
      </c>
      <c r="F85" s="20" t="n">
        <f aca="false">MAX(0,(H85-I85)-(D85-E85))</f>
        <v>1425187</v>
      </c>
      <c r="G85" s="20" t="n">
        <f aca="false">MAX(0,(D85-E85)-(H85-I85))</f>
        <v>0</v>
      </c>
      <c r="H85" s="15" t="n">
        <f aca="false">ROUND(IF(HYPOTHESES!$C$47=0,0,HYPOTHESES!D$47-SUMPRODUCT((T_BAL_2025[Poste]="RJ")*(T_BAL_2025[Compte]&lt;&gt;658800)*ROUND(HYPOTHESES!D$47*SUMIFS('BALANCE 2024'!$H:$H,'BALANCE 2024'!$A:$A,T_BAL_2025[Compte])/HYPOTHESES!$C$47,0))),0)</f>
        <v>1425187</v>
      </c>
      <c r="I85" s="20" t="n">
        <v>0</v>
      </c>
      <c r="J8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6" customFormat="false" ht="15" hidden="false" customHeight="false" outlineLevel="0" collapsed="false">
      <c r="A86" s="30" t="n">
        <v>661100</v>
      </c>
      <c r="B86" s="12" t="s">
        <v>341</v>
      </c>
      <c r="C86" s="13" t="s">
        <v>342</v>
      </c>
      <c r="D86" s="15" t="n">
        <f aca="false">IF(LEFT(A86,1)&gt;="6",0,SUMIFS('BALANCE 2024'!$H:$H,'BALANCE 2024'!$A:$A,A86))</f>
        <v>0</v>
      </c>
      <c r="E86" s="15" t="n">
        <f aca="false">IF(LEFT(A86,1)&gt;="6",0,SUMIFS('BALANCE 2024'!$I:$I,'BALANCE 2024'!$A:$A,A86))</f>
        <v>0</v>
      </c>
      <c r="F86" s="20" t="n">
        <f aca="false">MAX(0,(H86-I86)-(D86-E86))</f>
        <v>63089886</v>
      </c>
      <c r="G86" s="20" t="n">
        <f aca="false">MAX(0,(D86-E86)-(H86-I86))</f>
        <v>0</v>
      </c>
      <c r="H86" s="15" t="n">
        <f aca="false">ROUND(IF(HYPOTHESES!$C$48=0,0,HYPOTHESES!D$48-SUMPRODUCT((T_BAL_2025[Poste]="RK")*(T_BAL_2025[Compte]&lt;&gt;661100)*ROUND(HYPOTHESES!D$48*SUMIFS('BALANCE 2024'!$H:$H,'BALANCE 2024'!$A:$A,T_BAL_2025[Compte])/HYPOTHESES!$C$48,0))),0)</f>
        <v>63089886</v>
      </c>
      <c r="I86" s="20" t="n">
        <v>0</v>
      </c>
      <c r="J8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7" customFormat="false" ht="15" hidden="false" customHeight="false" outlineLevel="0" collapsed="false">
      <c r="A87" s="30" t="n">
        <v>661200</v>
      </c>
      <c r="B87" s="12" t="s">
        <v>343</v>
      </c>
      <c r="C87" s="13" t="s">
        <v>342</v>
      </c>
      <c r="D87" s="15" t="n">
        <f aca="false">IF(LEFT(A87,1)&gt;="6",0,SUMIFS('BALANCE 2024'!$H:$H,'BALANCE 2024'!$A:$A,A87))</f>
        <v>0</v>
      </c>
      <c r="E87" s="15" t="n">
        <f aca="false">IF(LEFT(A87,1)&gt;="6",0,SUMIFS('BALANCE 2024'!$I:$I,'BALANCE 2024'!$A:$A,A87))</f>
        <v>0</v>
      </c>
      <c r="F87" s="20" t="n">
        <f aca="false">MAX(0,(H87-I87)-(D87-E87))</f>
        <v>21327567</v>
      </c>
      <c r="G87" s="20" t="n">
        <f aca="false">MAX(0,(D87-E87)-(H87-I87))</f>
        <v>0</v>
      </c>
      <c r="H87" s="15" t="n">
        <f aca="false">ROUND(IF(LEFT(A87,1)&gt;="6",IF(C87="RE",IF(HYPOTHESES!$C$43=0,0,HYPOTHESES!D$43*SUMIFS('BALANCE 2024'!$H:$H,'BALANCE 2024'!$A:$A,A87)/HYPOTHESES!$C$43),IF(C87="RG",IF(HYPOTHESES!$C$44=0,0,HYPOTHESES!D$44*SUMIFS('BALANCE 2024'!$H:$H,'BALANCE 2024'!$A:$A,A87)/HYPOTHESES!$C$44),IF(C87="RH",IF(HYPOTHESES!$C$45=0,0,HYPOTHESES!D$45*SUMIFS('BALANCE 2024'!$H:$H,'BALANCE 2024'!$A:$A,A87)/HYPOTHESES!$C$45),IF(C87="RI",IF(HYPOTHESES!$C$46=0,0,HYPOTHESES!D$46*SUMIFS('BALANCE 2024'!$H:$H,'BALANCE 2024'!$A:$A,A87)/HYPOTHESES!$C$46),IF(C87="RJ",IF(HYPOTHESES!$C$47=0,0,HYPOTHESES!D$47*SUMIFS('BALANCE 2024'!$H:$H,'BALANCE 2024'!$A:$A,A87)/HYPOTHESES!$C$47),IF(C87="RK",IF(HYPOTHESES!$C$48=0,0,HYPOTHESES!D$48*SUMIFS('BALANCE 2024'!$H:$H,'BALANCE 2024'!$A:$A,A87)/HYPOTHESES!$C$48),0)))))),MAX(0,D87-E87)),0)</f>
        <v>21327567</v>
      </c>
      <c r="I87" s="20" t="n">
        <v>0</v>
      </c>
      <c r="J8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8" customFormat="false" ht="15" hidden="false" customHeight="false" outlineLevel="0" collapsed="false">
      <c r="A88" s="30" t="n">
        <v>661300</v>
      </c>
      <c r="B88" s="12" t="s">
        <v>344</v>
      </c>
      <c r="C88" s="13" t="s">
        <v>342</v>
      </c>
      <c r="D88" s="15" t="n">
        <f aca="false">IF(LEFT(A88,1)&gt;="6",0,SUMIFS('BALANCE 2024'!$H:$H,'BALANCE 2024'!$A:$A,A88))</f>
        <v>0</v>
      </c>
      <c r="E88" s="15" t="n">
        <f aca="false">IF(LEFT(A88,1)&gt;="6",0,SUMIFS('BALANCE 2024'!$I:$I,'BALANCE 2024'!$A:$A,A88))</f>
        <v>0</v>
      </c>
      <c r="F88" s="20" t="n">
        <f aca="false">MAX(0,(H88-I88)-(D88-E88))</f>
        <v>7037068</v>
      </c>
      <c r="G88" s="20" t="n">
        <f aca="false">MAX(0,(D88-E88)-(H88-I88))</f>
        <v>0</v>
      </c>
      <c r="H88" s="15" t="n">
        <f aca="false">ROUND(IF(LEFT(A88,1)&gt;="6",IF(C88="RE",IF(HYPOTHESES!$C$43=0,0,HYPOTHESES!D$43*SUMIFS('BALANCE 2024'!$H:$H,'BALANCE 2024'!$A:$A,A88)/HYPOTHESES!$C$43),IF(C88="RG",IF(HYPOTHESES!$C$44=0,0,HYPOTHESES!D$44*SUMIFS('BALANCE 2024'!$H:$H,'BALANCE 2024'!$A:$A,A88)/HYPOTHESES!$C$44),IF(C88="RH",IF(HYPOTHESES!$C$45=0,0,HYPOTHESES!D$45*SUMIFS('BALANCE 2024'!$H:$H,'BALANCE 2024'!$A:$A,A88)/HYPOTHESES!$C$45),IF(C88="RI",IF(HYPOTHESES!$C$46=0,0,HYPOTHESES!D$46*SUMIFS('BALANCE 2024'!$H:$H,'BALANCE 2024'!$A:$A,A88)/HYPOTHESES!$C$46),IF(C88="RJ",IF(HYPOTHESES!$C$47=0,0,HYPOTHESES!D$47*SUMIFS('BALANCE 2024'!$H:$H,'BALANCE 2024'!$A:$A,A88)/HYPOTHESES!$C$47),IF(C88="RK",IF(HYPOTHESES!$C$48=0,0,HYPOTHESES!D$48*SUMIFS('BALANCE 2024'!$H:$H,'BALANCE 2024'!$A:$A,A88)/HYPOTHESES!$C$48),0)))))),MAX(0,D88-E88)),0)</f>
        <v>7037068</v>
      </c>
      <c r="I88" s="20" t="n">
        <v>0</v>
      </c>
      <c r="J8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89" customFormat="false" ht="15" hidden="false" customHeight="false" outlineLevel="0" collapsed="false">
      <c r="A89" s="30" t="n">
        <v>661400</v>
      </c>
      <c r="B89" s="12" t="s">
        <v>345</v>
      </c>
      <c r="C89" s="13" t="s">
        <v>342</v>
      </c>
      <c r="D89" s="15" t="n">
        <f aca="false">IF(LEFT(A89,1)&gt;="6",0,SUMIFS('BALANCE 2024'!$H:$H,'BALANCE 2024'!$A:$A,A89))</f>
        <v>0</v>
      </c>
      <c r="E89" s="15" t="n">
        <f aca="false">IF(LEFT(A89,1)&gt;="6",0,SUMIFS('BALANCE 2024'!$I:$I,'BALANCE 2024'!$A:$A,A89))</f>
        <v>0</v>
      </c>
      <c r="F89" s="20" t="n">
        <f aca="false">MAX(0,(H89-I89)-(D89-E89))</f>
        <v>7106530</v>
      </c>
      <c r="G89" s="20" t="n">
        <f aca="false">MAX(0,(D89-E89)-(H89-I89))</f>
        <v>0</v>
      </c>
      <c r="H89" s="15" t="n">
        <f aca="false">ROUND(IF(LEFT(A89,1)&gt;="6",IF(C89="RE",IF(HYPOTHESES!$C$43=0,0,HYPOTHESES!D$43*SUMIFS('BALANCE 2024'!$H:$H,'BALANCE 2024'!$A:$A,A89)/HYPOTHESES!$C$43),IF(C89="RG",IF(HYPOTHESES!$C$44=0,0,HYPOTHESES!D$44*SUMIFS('BALANCE 2024'!$H:$H,'BALANCE 2024'!$A:$A,A89)/HYPOTHESES!$C$44),IF(C89="RH",IF(HYPOTHESES!$C$45=0,0,HYPOTHESES!D$45*SUMIFS('BALANCE 2024'!$H:$H,'BALANCE 2024'!$A:$A,A89)/HYPOTHESES!$C$45),IF(C89="RI",IF(HYPOTHESES!$C$46=0,0,HYPOTHESES!D$46*SUMIFS('BALANCE 2024'!$H:$H,'BALANCE 2024'!$A:$A,A89)/HYPOTHESES!$C$46),IF(C89="RJ",IF(HYPOTHESES!$C$47=0,0,HYPOTHESES!D$47*SUMIFS('BALANCE 2024'!$H:$H,'BALANCE 2024'!$A:$A,A89)/HYPOTHESES!$C$47),IF(C89="RK",IF(HYPOTHESES!$C$48=0,0,HYPOTHESES!D$48*SUMIFS('BALANCE 2024'!$H:$H,'BALANCE 2024'!$A:$A,A89)/HYPOTHESES!$C$48),0)))))),MAX(0,D89-E89)),0)</f>
        <v>7106530</v>
      </c>
      <c r="I89" s="20" t="n">
        <v>0</v>
      </c>
      <c r="J89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0" customFormat="false" ht="15" hidden="false" customHeight="false" outlineLevel="0" collapsed="false">
      <c r="A90" s="30" t="n">
        <v>663400</v>
      </c>
      <c r="B90" s="12" t="s">
        <v>346</v>
      </c>
      <c r="C90" s="13" t="s">
        <v>342</v>
      </c>
      <c r="D90" s="15" t="n">
        <f aca="false">IF(LEFT(A90,1)&gt;="6",0,SUMIFS('BALANCE 2024'!$H:$H,'BALANCE 2024'!$A:$A,A90))</f>
        <v>0</v>
      </c>
      <c r="E90" s="15" t="n">
        <f aca="false">IF(LEFT(A90,1)&gt;="6",0,SUMIFS('BALANCE 2024'!$I:$I,'BALANCE 2024'!$A:$A,A90))</f>
        <v>0</v>
      </c>
      <c r="F90" s="20" t="n">
        <f aca="false">MAX(0,(H90-I90)-(D90-E90))</f>
        <v>7360350</v>
      </c>
      <c r="G90" s="20" t="n">
        <f aca="false">MAX(0,(D90-E90)-(H90-I90))</f>
        <v>0</v>
      </c>
      <c r="H90" s="15" t="n">
        <f aca="false">ROUND(IF(LEFT(A90,1)&gt;="6",IF(C90="RE",IF(HYPOTHESES!$C$43=0,0,HYPOTHESES!D$43*SUMIFS('BALANCE 2024'!$H:$H,'BALANCE 2024'!$A:$A,A90)/HYPOTHESES!$C$43),IF(C90="RG",IF(HYPOTHESES!$C$44=0,0,HYPOTHESES!D$44*SUMIFS('BALANCE 2024'!$H:$H,'BALANCE 2024'!$A:$A,A90)/HYPOTHESES!$C$44),IF(C90="RH",IF(HYPOTHESES!$C$45=0,0,HYPOTHESES!D$45*SUMIFS('BALANCE 2024'!$H:$H,'BALANCE 2024'!$A:$A,A90)/HYPOTHESES!$C$45),IF(C90="RI",IF(HYPOTHESES!$C$46=0,0,HYPOTHESES!D$46*SUMIFS('BALANCE 2024'!$H:$H,'BALANCE 2024'!$A:$A,A90)/HYPOTHESES!$C$46),IF(C90="RJ",IF(HYPOTHESES!$C$47=0,0,HYPOTHESES!D$47*SUMIFS('BALANCE 2024'!$H:$H,'BALANCE 2024'!$A:$A,A90)/HYPOTHESES!$C$47),IF(C90="RK",IF(HYPOTHESES!$C$48=0,0,HYPOTHESES!D$48*SUMIFS('BALANCE 2024'!$H:$H,'BALANCE 2024'!$A:$A,A90)/HYPOTHESES!$C$48),0)))))),MAX(0,D90-E90)),0)</f>
        <v>7360350</v>
      </c>
      <c r="I90" s="20" t="n">
        <v>0</v>
      </c>
      <c r="J9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1" customFormat="false" ht="15" hidden="false" customHeight="false" outlineLevel="0" collapsed="false">
      <c r="A91" s="30" t="n">
        <v>664104</v>
      </c>
      <c r="B91" s="12" t="s">
        <v>347</v>
      </c>
      <c r="C91" s="13" t="s">
        <v>342</v>
      </c>
      <c r="D91" s="15" t="n">
        <f aca="false">IF(LEFT(A91,1)&gt;="6",0,SUMIFS('BALANCE 2024'!$H:$H,'BALANCE 2024'!$A:$A,A91))</f>
        <v>0</v>
      </c>
      <c r="E91" s="15" t="n">
        <f aca="false">IF(LEFT(A91,1)&gt;="6",0,SUMIFS('BALANCE 2024'!$I:$I,'BALANCE 2024'!$A:$A,A91))</f>
        <v>0</v>
      </c>
      <c r="F91" s="20" t="n">
        <f aca="false">MAX(0,(H91-I91)-(D91-E91))</f>
        <v>7493502</v>
      </c>
      <c r="G91" s="20" t="n">
        <f aca="false">MAX(0,(D91-E91)-(H91-I91))</f>
        <v>0</v>
      </c>
      <c r="H91" s="15" t="n">
        <f aca="false">ROUND(IF(LEFT(A91,1)&gt;="6",IF(C91="RE",IF(HYPOTHESES!$C$43=0,0,HYPOTHESES!D$43*SUMIFS('BALANCE 2024'!$H:$H,'BALANCE 2024'!$A:$A,A91)/HYPOTHESES!$C$43),IF(C91="RG",IF(HYPOTHESES!$C$44=0,0,HYPOTHESES!D$44*SUMIFS('BALANCE 2024'!$H:$H,'BALANCE 2024'!$A:$A,A91)/HYPOTHESES!$C$44),IF(C91="RH",IF(HYPOTHESES!$C$45=0,0,HYPOTHESES!D$45*SUMIFS('BALANCE 2024'!$H:$H,'BALANCE 2024'!$A:$A,A91)/HYPOTHESES!$C$45),IF(C91="RI",IF(HYPOTHESES!$C$46=0,0,HYPOTHESES!D$46*SUMIFS('BALANCE 2024'!$H:$H,'BALANCE 2024'!$A:$A,A91)/HYPOTHESES!$C$46),IF(C91="RJ",IF(HYPOTHESES!$C$47=0,0,HYPOTHESES!D$47*SUMIFS('BALANCE 2024'!$H:$H,'BALANCE 2024'!$A:$A,A91)/HYPOTHESES!$C$47),IF(C91="RK",IF(HYPOTHESES!$C$48=0,0,HYPOTHESES!D$48*SUMIFS('BALANCE 2024'!$H:$H,'BALANCE 2024'!$A:$A,A91)/HYPOTHESES!$C$48),0)))))),MAX(0,D91-E91)),0)</f>
        <v>7493502</v>
      </c>
      <c r="I91" s="20" t="n">
        <v>0</v>
      </c>
      <c r="J91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2" customFormat="false" ht="15" hidden="false" customHeight="false" outlineLevel="0" collapsed="false">
      <c r="A92" s="30" t="n">
        <v>671201</v>
      </c>
      <c r="B92" s="12" t="s">
        <v>348</v>
      </c>
      <c r="C92" s="13" t="s">
        <v>349</v>
      </c>
      <c r="D92" s="15" t="n">
        <f aca="false">IF(LEFT(A92,1)&gt;="6",0,SUMIFS('BALANCE 2024'!$H:$H,'BALANCE 2024'!$A:$A,A92))</f>
        <v>0</v>
      </c>
      <c r="E92" s="15" t="n">
        <f aca="false">IF(LEFT(A92,1)&gt;="6",0,SUMIFS('BALANCE 2024'!$I:$I,'BALANCE 2024'!$A:$A,A92))</f>
        <v>0</v>
      </c>
      <c r="F92" s="20" t="n">
        <f aca="false">MAX(0,(H92-I92)-(D92-E92))</f>
        <v>2379530</v>
      </c>
      <c r="G92" s="20" t="n">
        <f aca="false">MAX(0,(D92-E92)-(H92-I92))</f>
        <v>0</v>
      </c>
      <c r="H92" s="15" t="n">
        <f aca="false">ROUND('INVEST ET FINANCEMENT'!D$64,0)</f>
        <v>2379530</v>
      </c>
      <c r="I92" s="20" t="n">
        <v>0</v>
      </c>
      <c r="J9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3" customFormat="false" ht="15" hidden="false" customHeight="false" outlineLevel="0" collapsed="false">
      <c r="A93" s="30" t="n">
        <v>672301</v>
      </c>
      <c r="B93" s="12" t="s">
        <v>350</v>
      </c>
      <c r="C93" s="13" t="s">
        <v>349</v>
      </c>
      <c r="D93" s="15" t="n">
        <f aca="false">IF(LEFT(A93,1)&gt;="6",0,SUMIFS('BALANCE 2024'!$H:$H,'BALANCE 2024'!$A:$A,A93))</f>
        <v>0</v>
      </c>
      <c r="E93" s="15" t="n">
        <f aca="false">IF(LEFT(A93,1)&gt;="6",0,SUMIFS('BALANCE 2024'!$I:$I,'BALANCE 2024'!$A:$A,A93))</f>
        <v>0</v>
      </c>
      <c r="F93" s="20" t="n">
        <f aca="false">MAX(0,(H93-I93)-(D93-E93))</f>
        <v>637182</v>
      </c>
      <c r="G93" s="20" t="n">
        <f aca="false">MAX(0,(D93-E93)-(H93-I93))</f>
        <v>0</v>
      </c>
      <c r="H93" s="15" t="n">
        <f aca="false">ROUND('INVEST ET FINANCEMENT'!D$65,0)</f>
        <v>637182</v>
      </c>
      <c r="I93" s="20" t="n">
        <v>0</v>
      </c>
      <c r="J93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4" customFormat="false" ht="15" hidden="false" customHeight="false" outlineLevel="0" collapsed="false">
      <c r="A94" s="30" t="n">
        <v>681301</v>
      </c>
      <c r="B94" s="12" t="s">
        <v>351</v>
      </c>
      <c r="C94" s="13" t="s">
        <v>352</v>
      </c>
      <c r="D94" s="15" t="n">
        <f aca="false">IF(LEFT(A94,1)&gt;="6",0,SUMIFS('BALANCE 2024'!$H:$H,'BALANCE 2024'!$A:$A,A94))</f>
        <v>0</v>
      </c>
      <c r="E94" s="15" t="n">
        <f aca="false">IF(LEFT(A94,1)&gt;="6",0,SUMIFS('BALANCE 2024'!$I:$I,'BALANCE 2024'!$A:$A,A94))</f>
        <v>0</v>
      </c>
      <c r="F94" s="20" t="n">
        <f aca="false">MAX(0,(H94-I94)-(D94-E94))</f>
        <v>19282845</v>
      </c>
      <c r="G94" s="20" t="n">
        <f aca="false">MAX(0,(D94-E94)-(H94-I94))</f>
        <v>0</v>
      </c>
      <c r="H94" s="15" t="n">
        <f aca="false">ROUND('INVEST ET FINANCEMENT'!D$31,0)</f>
        <v>19282845</v>
      </c>
      <c r="I94" s="20" t="n">
        <v>0</v>
      </c>
      <c r="J94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5" customFormat="false" ht="15" hidden="false" customHeight="false" outlineLevel="0" collapsed="false">
      <c r="A95" s="30" t="n">
        <v>681302</v>
      </c>
      <c r="B95" s="12" t="s">
        <v>353</v>
      </c>
      <c r="C95" s="13" t="s">
        <v>352</v>
      </c>
      <c r="D95" s="15" t="n">
        <f aca="false">IF(LEFT(A95,1)&gt;="6",0,SUMIFS('BALANCE 2024'!$H:$H,'BALANCE 2024'!$A:$A,A95))</f>
        <v>0</v>
      </c>
      <c r="E95" s="15" t="n">
        <f aca="false">IF(LEFT(A95,1)&gt;="6",0,SUMIFS('BALANCE 2024'!$I:$I,'BALANCE 2024'!$A:$A,A95))</f>
        <v>0</v>
      </c>
      <c r="F95" s="20" t="n">
        <f aca="false">MAX(0,(H95-I95)-(D95-E95))</f>
        <v>28205053</v>
      </c>
      <c r="G95" s="20" t="n">
        <f aca="false">MAX(0,(D95-E95)-(H95-I95))</f>
        <v>0</v>
      </c>
      <c r="H95" s="15" t="n">
        <f aca="false">ROUND('INVEST ET FINANCEMENT'!D$34,0)</f>
        <v>28205053</v>
      </c>
      <c r="I95" s="20" t="n">
        <v>0</v>
      </c>
      <c r="J95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6" customFormat="false" ht="15" hidden="false" customHeight="false" outlineLevel="0" collapsed="false">
      <c r="A96" s="30" t="n">
        <v>681303</v>
      </c>
      <c r="B96" s="12" t="s">
        <v>354</v>
      </c>
      <c r="C96" s="13" t="s">
        <v>352</v>
      </c>
      <c r="D96" s="15" t="n">
        <f aca="false">IF(LEFT(A96,1)&gt;="6",0,SUMIFS('BALANCE 2024'!$H:$H,'BALANCE 2024'!$A:$A,A96))</f>
        <v>0</v>
      </c>
      <c r="E96" s="15" t="n">
        <f aca="false">IF(LEFT(A96,1)&gt;="6",0,SUMIFS('BALANCE 2024'!$I:$I,'BALANCE 2024'!$A:$A,A96))</f>
        <v>0</v>
      </c>
      <c r="F96" s="20" t="n">
        <f aca="false">MAX(0,(H96-I96)-(D96-E96))</f>
        <v>5399884</v>
      </c>
      <c r="G96" s="20" t="n">
        <f aca="false">MAX(0,(D96-E96)-(H96-I96))</f>
        <v>0</v>
      </c>
      <c r="H96" s="15" t="n">
        <f aca="false">ROUND('INVEST ET FINANCEMENT'!D$37,0)</f>
        <v>5399884</v>
      </c>
      <c r="I96" s="20" t="n">
        <v>0</v>
      </c>
      <c r="J96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7" customFormat="false" ht="15" hidden="false" customHeight="false" outlineLevel="0" collapsed="false">
      <c r="A97" s="30" t="n">
        <v>681304</v>
      </c>
      <c r="B97" s="12" t="s">
        <v>355</v>
      </c>
      <c r="C97" s="13" t="s">
        <v>352</v>
      </c>
      <c r="D97" s="15" t="n">
        <f aca="false">IF(LEFT(A97,1)&gt;="6",0,SUMIFS('BALANCE 2024'!$H:$H,'BALANCE 2024'!$A:$A,A97))</f>
        <v>0</v>
      </c>
      <c r="E97" s="15" t="n">
        <f aca="false">IF(LEFT(A97,1)&gt;="6",0,SUMIFS('BALANCE 2024'!$I:$I,'BALANCE 2024'!$A:$A,A97))</f>
        <v>0</v>
      </c>
      <c r="F97" s="20" t="n">
        <f aca="false">MAX(0,(H97-I97)-(D97-E97))</f>
        <v>18958378</v>
      </c>
      <c r="G97" s="20" t="n">
        <f aca="false">MAX(0,(D97-E97)-(H97-I97))</f>
        <v>0</v>
      </c>
      <c r="H97" s="15" t="n">
        <f aca="false">ROUND('INVEST ET FINANCEMENT'!D$40,0)</f>
        <v>18958378</v>
      </c>
      <c r="I97" s="20" t="n">
        <v>0</v>
      </c>
      <c r="J97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8" customFormat="false" ht="15" hidden="false" customHeight="false" outlineLevel="0" collapsed="false">
      <c r="A98" s="30" t="n">
        <v>691100</v>
      </c>
      <c r="B98" s="12" t="s">
        <v>356</v>
      </c>
      <c r="C98" s="13" t="s">
        <v>352</v>
      </c>
      <c r="D98" s="15" t="n">
        <f aca="false">IF(LEFT(A98,1)&gt;="6",0,SUMIFS('BALANCE 2024'!$H:$H,'BALANCE 2024'!$A:$A,A98))</f>
        <v>0</v>
      </c>
      <c r="E98" s="15" t="n">
        <f aca="false">IF(LEFT(A98,1)&gt;="6",0,SUMIFS('BALANCE 2024'!$I:$I,'BALANCE 2024'!$A:$A,A98))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ROUND(HYPOTHESES!D$50,0)</f>
        <v>6059296</v>
      </c>
      <c r="I98" s="20" t="n">
        <v>0</v>
      </c>
      <c r="J98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99" customFormat="false" ht="15" hidden="false" customHeight="false" outlineLevel="0" collapsed="false">
      <c r="A99" s="38" t="n">
        <v>705100</v>
      </c>
      <c r="B99" s="39" t="s">
        <v>357</v>
      </c>
      <c r="C99" s="40" t="s">
        <v>358</v>
      </c>
      <c r="D99" s="43" t="n">
        <f aca="false">IF(LEFT(A99,1)&gt;="6",0,SUMIFS('BALANCE 2024'!$H:$H,'BALANCE 2024'!$A:$A,A99))</f>
        <v>0</v>
      </c>
      <c r="E99" s="43" t="n">
        <f aca="false">IF(LEFT(A99,1)&gt;="6",0,SUMIFS('BALANCE 2024'!$I:$I,'BALANCE 2024'!$A:$A,A99))</f>
        <v>0</v>
      </c>
      <c r="F99" s="42" t="n">
        <f aca="false">MAX(0,(H99-I99)-(D99-E99))</f>
        <v>0</v>
      </c>
      <c r="G99" s="42" t="n">
        <f aca="false">MAX(0,(D99-E99)-(H99-I99))</f>
        <v>750098564</v>
      </c>
      <c r="H99" s="42" t="n">
        <v>0</v>
      </c>
      <c r="I99" s="43" t="n">
        <f aca="false">ROUND(HYPOTHESES!D$42,0)</f>
        <v>750098564</v>
      </c>
      <c r="J99" s="42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100" customFormat="false" ht="15" hidden="false" customHeight="false" outlineLevel="0" collapsed="false">
      <c r="A100" s="30" t="n">
        <v>771200</v>
      </c>
      <c r="B100" s="12" t="s">
        <v>359</v>
      </c>
      <c r="C100" s="13" t="s">
        <v>360</v>
      </c>
      <c r="D100" s="15" t="n">
        <f aca="false">IF(LEFT(A100,1)&gt;="6",0,SUMIFS('BALANCE 2024'!$H:$H,'BALANCE 2024'!$A:$A,A100))</f>
        <v>0</v>
      </c>
      <c r="E100" s="15" t="n">
        <f aca="false">IF(LEFT(A100,1)&gt;="6",0,SUMIFS('BALANCE 2024'!$I:$I,'BALANCE 2024'!$A:$A,A100))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ROUND(HYPOTHESES!D$51,0)</f>
        <v>848594</v>
      </c>
      <c r="J100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101" customFormat="false" ht="15" hidden="false" customHeight="false" outlineLevel="0" collapsed="false">
      <c r="A101" s="38" t="n">
        <v>891100</v>
      </c>
      <c r="B101" s="39" t="s">
        <v>361</v>
      </c>
      <c r="C101" s="40" t="s">
        <v>362</v>
      </c>
      <c r="D101" s="43" t="n">
        <f aca="false">IF(LEFT(A101,1)&gt;="6",0,SUMIFS('BALANCE 2024'!$H:$H,'BALANCE 2024'!$A:$A,A101))</f>
        <v>0</v>
      </c>
      <c r="E101" s="43" t="n">
        <f aca="false">IF(LEFT(A101,1)&gt;="6",0,SUMIFS('BALANCE 2024'!$I:$I,'BALANCE 2024'!$A:$A,A101))</f>
        <v>0</v>
      </c>
      <c r="F101" s="42" t="n">
        <f aca="false">MAX(0,(H101-I101)-(D101-E101))</f>
        <v>30838289</v>
      </c>
      <c r="G101" s="42" t="n">
        <f aca="false">MAX(0,(D101-E101)-(H101-I101))</f>
        <v>0</v>
      </c>
      <c r="H101" s="43" t="n">
        <f aca="false">ROUND(IF(HYPOTHESES!D$54&gt;=HYPOTHESES!D$55,HYPOTHESES!D$56,0),0)</f>
        <v>30838289</v>
      </c>
      <c r="I101" s="42" t="n">
        <v>0</v>
      </c>
      <c r="J101" s="42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  <row r="102" customFormat="false" ht="15" hidden="false" customHeight="false" outlineLevel="0" collapsed="false">
      <c r="A102" s="30" t="n">
        <v>895000</v>
      </c>
      <c r="B102" s="12" t="s">
        <v>363</v>
      </c>
      <c r="C102" s="13" t="s">
        <v>362</v>
      </c>
      <c r="D102" s="15" t="n">
        <f aca="false">IF(LEFT(A102,1)&gt;="6",0,SUMIFS('BALANCE 2024'!$H:$H,'BALANCE 2024'!$A:$A,A102))</f>
        <v>0</v>
      </c>
      <c r="E102" s="15" t="n">
        <f aca="false">IF(LEFT(A102,1)&gt;="6",0,SUMIFS('BALANCE 2024'!$I:$I,'BALANCE 2024'!$A:$A,A102))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ROUND(IF(HYPOTHESES!D$54&lt;HYPOTHESES!D$55,HYPOTHESES!D$56,0),0)</f>
        <v>0</v>
      </c>
      <c r="I102" s="20" t="n">
        <v>0</v>
      </c>
      <c r="J102" s="20" t="n">
        <f aca="false">(T_BAL_2025[[#This Row],[Ouverture Débit]]-T_BAL_2025[[#This Row],[Ouverture Crédit]])+(T_BAL_2025[[#This Row],[Mouvements Débit]]-T_BAL_2025[[#This Row],[Mouvements Crédit]])-(T_BAL_2025[[#This Row],[Clôture Débit]]-T_BAL_2025[[#This Row],[Clôture Crédit]])</f>
        <v>0</v>
      </c>
    </row>
  </sheetData>
  <mergeCells count="8">
    <mergeCell ref="A1:J1"/>
    <mergeCell ref="D3:E3"/>
    <mergeCell ref="F3:G3"/>
    <mergeCell ref="H3:I3"/>
    <mergeCell ref="L3:M3"/>
    <mergeCell ref="D14:E14"/>
    <mergeCell ref="F14:G14"/>
    <mergeCell ref="H14:I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70"/>
  </cols>
  <sheetData>
    <row r="1" customFormat="false" ht="24" hidden="false" customHeight="true" outlineLevel="0" collapsed="false">
      <c r="A1" s="1" t="s">
        <v>369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365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L3" s="28" t="s">
        <v>200</v>
      </c>
      <c r="M3" s="28"/>
    </row>
    <row r="4" customFormat="false" ht="15" hidden="false" customHeight="fals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205</v>
      </c>
      <c r="F4" s="8" t="s">
        <v>204</v>
      </c>
      <c r="G4" s="8" t="s">
        <v>205</v>
      </c>
      <c r="H4" s="8" t="s">
        <v>204</v>
      </c>
      <c r="I4" s="8" t="s">
        <v>205</v>
      </c>
      <c r="J4" s="8" t="s">
        <v>206</v>
      </c>
      <c r="L4" s="29" t="s">
        <v>207</v>
      </c>
    </row>
    <row r="5" customFormat="false" ht="15" hidden="false" customHeight="false" outlineLevel="0" collapsed="false">
      <c r="A5" s="30" t="n">
        <v>521101</v>
      </c>
      <c r="B5" s="12" t="s">
        <v>208</v>
      </c>
      <c r="C5" s="13" t="s">
        <v>209</v>
      </c>
      <c r="D5" s="15" t="n">
        <f aca="false">IF(LEFT(A5,1)&gt;="6",0,SUMIFS('BALANCE 2025'!$H:$H,'BALANCE 2025'!$A:$A,A5))</f>
        <v>146978107</v>
      </c>
      <c r="E5" s="15" t="n">
        <f aca="false">IF(LEFT(A5,1)&gt;="6",0,SUMIFS('BALANCE 2025'!$I:$I,'BALANCE 2025'!$A:$A,A5))</f>
        <v>0</v>
      </c>
      <c r="F5" s="15" t="n">
        <f aca="false">ROUND(G37+HYPOTHESES!E$51+'INVEST ET FINANCEMENT'!E$47+'INVEST ET FINANCEMENT'!E$51,0)</f>
        <v>888792355</v>
      </c>
      <c r="G5" s="15" t="n">
        <f aca="false">ROUND(G37+HYPOTHESES!E$51+'INVEST ET FINANCEMENT'!E$47+'INVEST ET FINANCEMENT'!E$51,0)+(D5-E5)-(H5-I5)</f>
        <v>819649576</v>
      </c>
      <c r="H5" s="20" t="n">
        <f aca="false">ROUND(MAX(0,(H11-(H6-I6))),0)</f>
        <v>216120886</v>
      </c>
      <c r="I5" s="20" t="n">
        <f aca="false">ROUND(MAX(0,-(H11-(H6-I6))),0)</f>
        <v>0</v>
      </c>
      <c r="J5" s="20" t="n">
        <f aca="false">(D5-E5)+(F5-G5)-(H5-I5)</f>
        <v>0</v>
      </c>
      <c r="L5" s="29" t="s">
        <v>210</v>
      </c>
    </row>
    <row r="6" customFormat="false" ht="15" hidden="false" customHeight="false" outlineLevel="0" collapsed="false">
      <c r="A6" s="30" t="n">
        <v>571101</v>
      </c>
      <c r="B6" s="12" t="s">
        <v>211</v>
      </c>
      <c r="C6" s="13" t="s">
        <v>212</v>
      </c>
      <c r="D6" s="15" t="n">
        <f aca="false">IF(LEFT(A6,1)&gt;="6",0,SUMIFS('BALANCE 2025'!$H:$H,'BALANCE 2025'!$A:$A,A6))</f>
        <v>7347888</v>
      </c>
      <c r="E6" s="15" t="n">
        <f aca="false">IF(LEFT(A6,1)&gt;="6",0,SUMIFS('BALANCE 2025'!$I:$I,'BALANCE 2025'!$A:$A,A6))</f>
        <v>0</v>
      </c>
      <c r="F6" s="20" t="n">
        <f aca="false">ROUND(H13,0)</f>
        <v>163929915</v>
      </c>
      <c r="G6" s="20" t="n">
        <f aca="false">ROUND(H13,0)+(D6-E6)-(H6-I6)</f>
        <v>162290616</v>
      </c>
      <c r="H6" s="15" t="n">
        <f aca="false">ROUND(MAX(0,((D6-E6)+H13*(1-HYPOTHESES!E$30))),0)</f>
        <v>8987187</v>
      </c>
      <c r="I6" s="15" t="n">
        <f aca="false">ROUND(MAX(0,-((D6-E6)+H13*(1-HYPOTHESES!E$30))),0)</f>
        <v>0</v>
      </c>
      <c r="J6" s="20" t="n">
        <f aca="false">(D6-E6)+(F6-G6)-(H6-I6)</f>
        <v>0</v>
      </c>
      <c r="L6" s="29" t="s">
        <v>213</v>
      </c>
    </row>
    <row r="7" customFormat="false" ht="15" hidden="false" customHeight="false" outlineLevel="0" collapsed="false">
      <c r="A7" s="30" t="n">
        <v>585000</v>
      </c>
      <c r="B7" s="12" t="s">
        <v>214</v>
      </c>
      <c r="C7" s="13" t="s">
        <v>212</v>
      </c>
      <c r="D7" s="15" t="n">
        <f aca="false">IF(LEFT(A7,1)&gt;="6",0,SUMIFS('BALANCE 2025'!$H:$H,'BALANCE 2025'!$A:$A,A7))</f>
        <v>0</v>
      </c>
      <c r="E7" s="15" t="n">
        <f aca="false">IF(LEFT(A7,1)&gt;="6",0,SUMIFS('BALANCE 2025'!$I:$I,'BALANCE 2025'!$A:$A,A7))</f>
        <v>0</v>
      </c>
      <c r="F7" s="20" t="n">
        <f aca="false">ROUND(H13,0)</f>
        <v>163929915</v>
      </c>
      <c r="G7" s="20" t="n">
        <f aca="false">ROUND(H13,0)+(D7-E7)-(H7-I7)</f>
        <v>163929915</v>
      </c>
      <c r="H7" s="15" t="n">
        <f aca="false">ROUND(IF(LEFT(A7,1)&gt;="6",IF(C7="RE",IF(HYPOTHESES!$C$43=0,0,HYPOTHESES!E$43*SUMIFS('BALANCE 2024'!$H:$H,'BALANCE 2024'!$A:$A,A7)/HYPOTHESES!$C$43),IF(C7="RG",IF(HYPOTHESES!$C$44=0,0,HYPOTHESES!E$44*SUMIFS('BALANCE 2024'!$H:$H,'BALANCE 2024'!$A:$A,A7)/HYPOTHESES!$C$44),IF(C7="RH",IF(HYPOTHESES!$C$45=0,0,HYPOTHESES!E$45*SUMIFS('BALANCE 2024'!$H:$H,'BALANCE 2024'!$A:$A,A7)/HYPOTHESES!$C$45),IF(C7="RI",IF(HYPOTHESES!$C$46=0,0,HYPOTHESES!E$46*SUMIFS('BALANCE 2024'!$H:$H,'BALANCE 2024'!$A:$A,A7)/HYPOTHESES!$C$46),IF(C7="RJ",IF(HYPOTHESES!$C$47=0,0,HYPOTHESES!E$47*SUMIFS('BALANCE 2024'!$H:$H,'BALANCE 2024'!$A:$A,A7)/HYPOTHESES!$C$47),IF(C7="RK",IF(HYPOTHESES!$C$48=0,0,HYPOTHESES!E$48*SUMIFS('BALANCE 2024'!$H:$H,'BALANCE 2024'!$A:$A,A7)/HYPOTHESES!$C$48),0)))))),MAX(0,D7-E7)),0)</f>
        <v>0</v>
      </c>
      <c r="I7" s="20" t="n">
        <f aca="false">ROUND(IF(LEFT(A7,1)&gt;="6",0,MAX(0,E7-D7)),0)</f>
        <v>0</v>
      </c>
      <c r="J7" s="20" t="n">
        <f aca="false">(D7-E7)+(F7-G7)-(H7-I7)</f>
        <v>0</v>
      </c>
      <c r="L7" s="29" t="s">
        <v>215</v>
      </c>
    </row>
    <row r="8" customFormat="false" ht="15" hidden="false" customHeight="false" outlineLevel="0" collapsed="false">
      <c r="A8" s="31"/>
      <c r="B8" s="32" t="s">
        <v>216</v>
      </c>
      <c r="C8" s="31"/>
      <c r="D8" s="33" t="n">
        <f aca="false">SUBTOTAL(109,T_BAL_2026[Ouverture Débit])</f>
        <v>1616486929</v>
      </c>
      <c r="E8" s="33" t="n">
        <f aca="false">SUBTOTAL(109,T_BAL_2026[Ouverture Crédit])</f>
        <v>1770812924</v>
      </c>
      <c r="F8" s="33" t="n">
        <f aca="false">SUBTOTAL(109,T_BAL_2026[Mouvements Débit])</f>
        <v>2650371071</v>
      </c>
      <c r="G8" s="33" t="n">
        <f aca="false">SUBTOTAL(109,T_BAL_2026[Mouvements Crédit])</f>
        <v>2721153149</v>
      </c>
      <c r="H8" s="33" t="n">
        <f aca="false">SUBTOTAL(109,T_BAL_2026[Clôture Débit])</f>
        <v>2395355848</v>
      </c>
      <c r="I8" s="33" t="n">
        <f aca="false">SUBTOTAL(109,T_BAL_2026[Clôture Crédit])</f>
        <v>2620463921</v>
      </c>
      <c r="J8" s="33" t="n">
        <f aca="false">SUBTOTAL(109,T_BAL_2026[Contrôle])</f>
        <v>0</v>
      </c>
      <c r="L8" s="29" t="s">
        <v>217</v>
      </c>
    </row>
    <row r="9" customFormat="false" ht="15" hidden="false" customHeight="false" outlineLevel="0" collapsed="false">
      <c r="A9" s="34"/>
      <c r="B9" s="35" t="s">
        <v>218</v>
      </c>
      <c r="C9" s="34"/>
      <c r="D9" s="36" t="n">
        <f aca="false">SUM(D5:D8)</f>
        <v>1770812924</v>
      </c>
      <c r="E9" s="36" t="n">
        <f aca="false">SUM(E5:E8)</f>
        <v>1770812924</v>
      </c>
      <c r="F9" s="36" t="n">
        <f aca="false">SUM(F5:F8)</f>
        <v>3867023256</v>
      </c>
      <c r="G9" s="36" t="n">
        <f aca="false">SUM(G5:G8)</f>
        <v>3867023256</v>
      </c>
      <c r="H9" s="36" t="n">
        <f aca="false">SUM(H5:H8)</f>
        <v>2620463921</v>
      </c>
      <c r="I9" s="36" t="n">
        <f aca="false">SUM(I5:I8)</f>
        <v>2620463921</v>
      </c>
      <c r="J9" s="36" t="n">
        <f aca="false">SUM(J5:J8)</f>
        <v>0</v>
      </c>
      <c r="L9" s="29" t="s">
        <v>219</v>
      </c>
    </row>
    <row r="10" customFormat="false" ht="15" hidden="false" customHeight="false" outlineLevel="0" collapsed="false">
      <c r="B10" s="4" t="s">
        <v>220</v>
      </c>
      <c r="D10" s="21" t="n">
        <f aca="false">D9-E9</f>
        <v>0</v>
      </c>
      <c r="F10" s="21" t="n">
        <f aca="false">F9-G9</f>
        <v>0</v>
      </c>
      <c r="H10" s="21" t="n">
        <f aca="false">H9-I9</f>
        <v>0</v>
      </c>
      <c r="L10" s="29" t="s">
        <v>221</v>
      </c>
    </row>
    <row r="11" customFormat="false" ht="15" hidden="false" customHeight="false" outlineLevel="0" collapsed="false">
      <c r="B11" s="7" t="s">
        <v>366</v>
      </c>
      <c r="H11" s="20" t="n">
        <f aca="false">-((H8-I8)+(H7-I7))</f>
        <v>225108073</v>
      </c>
      <c r="L11" s="29" t="s">
        <v>222</v>
      </c>
    </row>
    <row r="12" customFormat="false" ht="15" hidden="false" customHeight="false" outlineLevel="0" collapsed="false">
      <c r="B12" s="7" t="s">
        <v>367</v>
      </c>
      <c r="H12" s="20" t="n">
        <f aca="false">ROUND((G37+HYPOTHESES!E$51+'INVEST ET FINANCEMENT'!E$47+'INVEST ET FINANCEMENT'!E$51+(D5-E5)+(D6-E6)-H11)/(1-HYPOTHESES!E$29*(1-HYPOTHESES!E$30)),0)</f>
        <v>819649576</v>
      </c>
    </row>
    <row r="13" customFormat="false" ht="15" hidden="false" customHeight="false" outlineLevel="0" collapsed="false">
      <c r="B13" s="7" t="s">
        <v>368</v>
      </c>
      <c r="H13" s="20" t="n">
        <f aca="false">ROUND(HYPOTHESES!E$29*H12,0)</f>
        <v>163929915</v>
      </c>
    </row>
    <row r="14" customFormat="false" ht="15" hidden="false" customHeight="false" outlineLevel="0" collapsed="false">
      <c r="A14" s="25"/>
      <c r="B14" s="27" t="s">
        <v>223</v>
      </c>
      <c r="C14" s="25"/>
      <c r="D14" s="26" t="s">
        <v>196</v>
      </c>
      <c r="E14" s="26"/>
      <c r="F14" s="26" t="s">
        <v>197</v>
      </c>
      <c r="G14" s="26"/>
      <c r="H14" s="26" t="s">
        <v>198</v>
      </c>
      <c r="I14" s="26"/>
      <c r="J14" s="27" t="s">
        <v>199</v>
      </c>
      <c r="L14" s="27" t="s">
        <v>224</v>
      </c>
      <c r="M14" s="27" t="s">
        <v>225</v>
      </c>
    </row>
    <row r="15" customFormat="false" ht="15" hidden="false" customHeight="false" outlineLevel="0" collapsed="false">
      <c r="A15" s="8" t="s">
        <v>201</v>
      </c>
      <c r="B15" s="8" t="s">
        <v>202</v>
      </c>
      <c r="C15" s="8" t="s">
        <v>203</v>
      </c>
      <c r="D15" s="8" t="s">
        <v>226</v>
      </c>
      <c r="E15" s="8" t="s">
        <v>227</v>
      </c>
      <c r="F15" s="8" t="s">
        <v>228</v>
      </c>
      <c r="G15" s="8" t="s">
        <v>229</v>
      </c>
      <c r="H15" s="8" t="s">
        <v>230</v>
      </c>
      <c r="I15" s="8" t="s">
        <v>231</v>
      </c>
      <c r="J15" s="8" t="s">
        <v>199</v>
      </c>
      <c r="L15" s="37" t="s">
        <v>232</v>
      </c>
      <c r="M15" s="29" t="s">
        <v>233</v>
      </c>
    </row>
    <row r="16" customFormat="false" ht="15" hidden="false" customHeight="false" outlineLevel="0" collapsed="false">
      <c r="A16" s="38" t="n">
        <v>101000</v>
      </c>
      <c r="B16" s="39" t="s">
        <v>234</v>
      </c>
      <c r="C16" s="40" t="s">
        <v>235</v>
      </c>
      <c r="D16" s="43" t="n">
        <f aca="false">IF(LEFT(A16,1)&gt;="6",0,SUMIFS('BALANCE 2025'!$H:$H,'BALANCE 2025'!$A:$A,A16))</f>
        <v>0</v>
      </c>
      <c r="E16" s="43" t="n">
        <f aca="false">IF(LEFT(A16,1)&gt;="6",0,SUMIFS('BALANCE 2025'!$I:$I,'BALANCE 2025'!$A:$A,A16))</f>
        <v>10000000</v>
      </c>
      <c r="F16" s="43" t="n">
        <f aca="false">ROUND('INVEST ET FINANCEMENT'!E$51,0)+(H16-I16)-(D16-E16)</f>
        <v>0</v>
      </c>
      <c r="G16" s="43" t="n">
        <f aca="false">ROUND('INVEST ET FINANCEMENT'!E$51,0)</f>
        <v>0</v>
      </c>
      <c r="H16" s="42" t="n">
        <v>0</v>
      </c>
      <c r="I16" s="43" t="n">
        <f aca="false">ROUND(E16+'INVEST ET FINANCEMENT'!E$51,0)</f>
        <v>10000000</v>
      </c>
      <c r="J16" s="42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L16" s="37" t="s">
        <v>236</v>
      </c>
      <c r="M16" s="29" t="s">
        <v>237</v>
      </c>
    </row>
    <row r="17" customFormat="false" ht="15" hidden="false" customHeight="false" outlineLevel="0" collapsed="false">
      <c r="A17" s="30" t="n">
        <v>111000</v>
      </c>
      <c r="B17" s="12" t="s">
        <v>238</v>
      </c>
      <c r="C17" s="13" t="s">
        <v>239</v>
      </c>
      <c r="D17" s="15" t="n">
        <f aca="false">IF(LEFT(A17,1)&gt;="6",0,SUMIFS('BALANCE 2025'!$H:$H,'BALANCE 2025'!$A:$A,A17))</f>
        <v>0</v>
      </c>
      <c r="E17" s="15" t="n">
        <f aca="false">IF(LEFT(A17,1)&gt;="6",0,SUMIFS('BALANCE 2025'!$I:$I,'BALANCE 2025'!$A:$A,A17))</f>
        <v>2000000</v>
      </c>
      <c r="F17" s="15" t="n">
        <f aca="false">ROUND(HYPOTHESES!E$58,0)+(H17-I17)-(D17-E17)</f>
        <v>0</v>
      </c>
      <c r="G17" s="15" t="n">
        <f aca="false">ROUND(HYPOTHESES!E$58,0)</f>
        <v>0</v>
      </c>
      <c r="H17" s="20" t="n">
        <v>0</v>
      </c>
      <c r="I17" s="15" t="n">
        <f aca="false">ROUND(E17+HYPOTHESES!E$58,0)</f>
        <v>2000000</v>
      </c>
      <c r="J1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L17" s="37" t="s">
        <v>240</v>
      </c>
      <c r="M17" s="29" t="s">
        <v>241</v>
      </c>
    </row>
    <row r="18" customFormat="false" ht="15" hidden="false" customHeight="false" outlineLevel="0" collapsed="false">
      <c r="A18" s="30" t="n">
        <v>121000</v>
      </c>
      <c r="B18" s="12" t="s">
        <v>242</v>
      </c>
      <c r="C18" s="13" t="s">
        <v>243</v>
      </c>
      <c r="D18" s="15" t="n">
        <f aca="false">IF(LEFT(A18,1)&gt;="6",0,SUMIFS('BALANCE 2025'!$H:$H,'BALANCE 2025'!$A:$A,A18))</f>
        <v>0</v>
      </c>
      <c r="E18" s="15" t="n">
        <f aca="false">IF(LEFT(A18,1)&gt;="6",0,SUMIFS('BALANCE 2025'!$I:$I,'BALANCE 2025'!$A:$A,A18))</f>
        <v>844498728</v>
      </c>
      <c r="F18" s="20" t="n">
        <f aca="false">MAX(0,(H18-I18)-(D18-E18))</f>
        <v>0</v>
      </c>
      <c r="G18" s="20" t="n">
        <f aca="false">MAX(0,(D18-E18)-(H18-I18))</f>
        <v>92514868</v>
      </c>
      <c r="H18" s="15" t="n">
        <f aca="false">ROUND(MAX(0,-(E18-D18+HYPOTHESES!E$60)),0)</f>
        <v>0</v>
      </c>
      <c r="I18" s="15" t="n">
        <f aca="false">ROUND(MAX(0,(E18-D18+HYPOTHESES!E$60)),0)</f>
        <v>937013596</v>
      </c>
      <c r="J1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L18" s="37" t="s">
        <v>244</v>
      </c>
      <c r="M18" s="29" t="s">
        <v>245</v>
      </c>
    </row>
    <row r="19" customFormat="false" ht="15" hidden="false" customHeight="false" outlineLevel="0" collapsed="false">
      <c r="A19" s="30" t="n">
        <v>130100</v>
      </c>
      <c r="B19" s="12" t="s">
        <v>246</v>
      </c>
      <c r="C19" s="13" t="s">
        <v>247</v>
      </c>
      <c r="D19" s="20" t="n">
        <f aca="false">MAX(0,-SUMPRODUCT((LEFT(T_BAL_2025[Compte],1)&gt;="6")*(T_BAL_2025[Clôture Crédit]-T_BAL_2025[Clôture Débit])))</f>
        <v>0</v>
      </c>
      <c r="E19" s="20" t="n">
        <f aca="false">MAX(0,SUMPRODUCT((LEFT(T_BAL_2025[Compte],1)&gt;="6")*(T_BAL_2025[Clôture Crédit]-T_BAL_2025[Clôture Débit])))</f>
        <v>92514868</v>
      </c>
      <c r="F19" s="20" t="n">
        <f aca="false">MAX(0,(H19-I19)-(D19-E19))</f>
        <v>92514868</v>
      </c>
      <c r="G19" s="20" t="n">
        <f aca="false">MAX(0,(D19-E19)-(H19-I19))</f>
        <v>0</v>
      </c>
      <c r="H19" s="20" t="n">
        <v>0</v>
      </c>
      <c r="I19" s="20" t="n">
        <v>0</v>
      </c>
      <c r="J1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L19" s="37" t="s">
        <v>248</v>
      </c>
      <c r="M19" s="29" t="s">
        <v>249</v>
      </c>
    </row>
    <row r="20" customFormat="false" ht="15" hidden="false" customHeight="false" outlineLevel="0" collapsed="false">
      <c r="A20" s="30" t="n">
        <v>162002</v>
      </c>
      <c r="B20" s="12" t="s">
        <v>250</v>
      </c>
      <c r="C20" s="13" t="s">
        <v>172</v>
      </c>
      <c r="D20" s="15" t="n">
        <f aca="false">IF(LEFT(A20,1)&gt;="6",0,SUMIFS('BALANCE 2025'!$H:$H,'BALANCE 2025'!$A:$A,A20))</f>
        <v>0</v>
      </c>
      <c r="E20" s="15" t="n">
        <f aca="false">IF(LEFT(A20,1)&gt;="6",0,SUMIFS('BALANCE 2025'!$I:$I,'BALANCE 2025'!$A:$A,A20))</f>
        <v>0</v>
      </c>
      <c r="F20" s="15" t="n">
        <f aca="false">ROUND('INVEST ET FINANCEMENT'!E$47,0)+(H20-I20)-(D20-E20)</f>
        <v>0</v>
      </c>
      <c r="G20" s="15" t="n">
        <f aca="false">ROUND('INVEST ET FINANCEMENT'!E$47,0)</f>
        <v>0</v>
      </c>
      <c r="H20" s="20" t="n">
        <v>0</v>
      </c>
      <c r="I20" s="15" t="n">
        <f aca="false">ROUND(E20+'INVEST ET FINANCEMENT'!E$47-'INVEST ET FINANCEMENT'!E$48,0)</f>
        <v>0</v>
      </c>
      <c r="J2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L20" s="37" t="s">
        <v>251</v>
      </c>
      <c r="M20" s="29" t="s">
        <v>252</v>
      </c>
    </row>
    <row r="21" customFormat="false" ht="15" hidden="false" customHeight="false" outlineLevel="0" collapsed="false">
      <c r="A21" s="30" t="n">
        <v>173060</v>
      </c>
      <c r="B21" s="12" t="s">
        <v>253</v>
      </c>
      <c r="C21" s="13" t="s">
        <v>175</v>
      </c>
      <c r="D21" s="15" t="n">
        <f aca="false">IF(LEFT(A21,1)&gt;="6",0,SUMIFS('BALANCE 2025'!$H:$H,'BALANCE 2025'!$A:$A,A21))</f>
        <v>0</v>
      </c>
      <c r="E21" s="15" t="n">
        <f aca="false">IF(LEFT(A21,1)&gt;="6",0,SUMIFS('BALANCE 2025'!$I:$I,'BALANCE 2025'!$A:$A,A21))</f>
        <v>0</v>
      </c>
      <c r="F21" s="15" t="n">
        <f aca="false">ROUND('INVEST ET FINANCEMENT'!E$49,0)</f>
        <v>0</v>
      </c>
      <c r="G21" s="15" t="n">
        <f aca="false">ROUND('INVEST ET FINANCEMENT'!E$49,0)+(D21-E21)-(H21-I21)</f>
        <v>0</v>
      </c>
      <c r="H21" s="20" t="n">
        <v>0</v>
      </c>
      <c r="I21" s="15" t="n">
        <f aca="false">ROUND(E21-'INVEST ET FINANCEMENT'!E$49,0)</f>
        <v>0</v>
      </c>
      <c r="J2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L21" s="37" t="s">
        <v>254</v>
      </c>
      <c r="M21" s="29" t="s">
        <v>255</v>
      </c>
    </row>
    <row r="22" customFormat="false" ht="15" hidden="false" customHeight="false" outlineLevel="0" collapsed="false">
      <c r="A22" s="30" t="n">
        <v>196100</v>
      </c>
      <c r="B22" s="12" t="s">
        <v>256</v>
      </c>
      <c r="C22" s="13" t="s">
        <v>257</v>
      </c>
      <c r="D22" s="15" t="n">
        <f aca="false">IF(LEFT(A22,1)&gt;="6",0,SUMIFS('BALANCE 2025'!$H:$H,'BALANCE 2025'!$A:$A,A22))</f>
        <v>0</v>
      </c>
      <c r="E22" s="15" t="n">
        <f aca="false">IF(LEFT(A22,1)&gt;="6",0,SUMIFS('BALANCE 2025'!$I:$I,'BALANCE 2025'!$A:$A,A22))</f>
        <v>27333192</v>
      </c>
      <c r="F22" s="15" t="n">
        <f aca="false">ROUND(HYPOTHESES!E$20,0)+(H22-I22)-(D22-E22)</f>
        <v>0</v>
      </c>
      <c r="G22" s="15" t="n">
        <f aca="false">ROUND(HYPOTHESES!E$20,0)</f>
        <v>6059296</v>
      </c>
      <c r="H22" s="20" t="n">
        <v>0</v>
      </c>
      <c r="I22" s="15" t="n">
        <f aca="false">ROUND(E22+HYPOTHESES!E$20,0)</f>
        <v>33392488</v>
      </c>
      <c r="J2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L22" s="37" t="s">
        <v>258</v>
      </c>
      <c r="M22" s="29" t="s">
        <v>259</v>
      </c>
    </row>
    <row r="23" customFormat="false" ht="15" hidden="false" customHeight="false" outlineLevel="0" collapsed="false">
      <c r="A23" s="38" t="n">
        <v>234100</v>
      </c>
      <c r="B23" s="39" t="s">
        <v>260</v>
      </c>
      <c r="C23" s="40" t="s">
        <v>261</v>
      </c>
      <c r="D23" s="43" t="n">
        <f aca="false">IF(LEFT(A23,1)&gt;="6",0,SUMIFS('BALANCE 2025'!$H:$H,'BALANCE 2025'!$A:$A,A23))</f>
        <v>103601492</v>
      </c>
      <c r="E23" s="43" t="n">
        <f aca="false">IF(LEFT(A23,1)&gt;="6",0,SUMIFS('BALANCE 2025'!$I:$I,'BALANCE 2025'!$A:$A,A23))</f>
        <v>0</v>
      </c>
      <c r="F23" s="43" t="n">
        <f aca="false">ROUND('INVEST ET FINANCEMENT'!E$9,0)</f>
        <v>0</v>
      </c>
      <c r="G23" s="43" t="n">
        <f aca="false">ROUND('INVEST ET FINANCEMENT'!E$9,0)+(D23-E23)-(H23-I23)</f>
        <v>0</v>
      </c>
      <c r="H23" s="43" t="n">
        <f aca="false">ROUND(D23+'INVEST ET FINANCEMENT'!E$9,0)</f>
        <v>103601492</v>
      </c>
      <c r="I23" s="42" t="n">
        <v>0</v>
      </c>
      <c r="J23" s="42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  <c r="L23" s="37" t="s">
        <v>262</v>
      </c>
      <c r="M23" s="29" t="s">
        <v>263</v>
      </c>
    </row>
    <row r="24" customFormat="false" ht="15" hidden="false" customHeight="false" outlineLevel="0" collapsed="false">
      <c r="A24" s="30" t="n">
        <v>241100</v>
      </c>
      <c r="B24" s="12" t="s">
        <v>264</v>
      </c>
      <c r="C24" s="13" t="s">
        <v>265</v>
      </c>
      <c r="D24" s="15" t="n">
        <f aca="false">IF(LEFT(A24,1)&gt;="6",0,SUMIFS('BALANCE 2025'!$H:$H,'BALANCE 2025'!$A:$A,A24))</f>
        <v>313845268</v>
      </c>
      <c r="E24" s="15" t="n">
        <f aca="false">IF(LEFT(A24,1)&gt;="6",0,SUMIFS('BALANCE 2025'!$I:$I,'BALANCE 2025'!$A:$A,A24))</f>
        <v>0</v>
      </c>
      <c r="F24" s="15" t="n">
        <f aca="false">ROUND('INVEST ET FINANCEMENT'!E$10,0)</f>
        <v>30000000</v>
      </c>
      <c r="G24" s="15" t="n">
        <f aca="false">ROUND('INVEST ET FINANCEMENT'!E$10,0)+(D24-E24)-(H24-I24)</f>
        <v>0</v>
      </c>
      <c r="H24" s="15" t="n">
        <f aca="false">ROUND(D24+'INVEST ET FINANCEMENT'!E$10,0)</f>
        <v>343845268</v>
      </c>
      <c r="I24" s="20" t="n">
        <v>0</v>
      </c>
      <c r="J2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25" customFormat="false" ht="15" hidden="false" customHeight="false" outlineLevel="0" collapsed="false">
      <c r="A25" s="30" t="n">
        <v>244100</v>
      </c>
      <c r="B25" s="12" t="s">
        <v>266</v>
      </c>
      <c r="C25" s="13" t="s">
        <v>265</v>
      </c>
      <c r="D25" s="15" t="n">
        <f aca="false">IF(LEFT(A25,1)&gt;="6",0,SUMIFS('BALANCE 2025'!$H:$H,'BALANCE 2025'!$A:$A,A25))</f>
        <v>9306956</v>
      </c>
      <c r="E25" s="15" t="n">
        <f aca="false">IF(LEFT(A25,1)&gt;="6",0,SUMIFS('BALANCE 2025'!$I:$I,'BALANCE 2025'!$A:$A,A25))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9306956</v>
      </c>
      <c r="I25" s="20" t="n">
        <v>0</v>
      </c>
      <c r="J2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26" customFormat="false" ht="15" hidden="false" customHeight="false" outlineLevel="0" collapsed="false">
      <c r="A26" s="30" t="n">
        <v>244200</v>
      </c>
      <c r="B26" s="12" t="s">
        <v>267</v>
      </c>
      <c r="C26" s="13" t="s">
        <v>265</v>
      </c>
      <c r="D26" s="15" t="n">
        <f aca="false">IF(LEFT(A26,1)&gt;="6",0,SUMIFS('BALANCE 2025'!$H:$H,'BALANCE 2025'!$A:$A,A26))</f>
        <v>13910459</v>
      </c>
      <c r="E26" s="15" t="n">
        <f aca="false">IF(LEFT(A26,1)&gt;="6",0,SUMIFS('BALANCE 2025'!$I:$I,'BALANCE 2025'!$A:$A,A26))</f>
        <v>0</v>
      </c>
      <c r="F26" s="15" t="n">
        <f aca="false">ROUND('INVEST ET FINANCEMENT'!E$11,0)</f>
        <v>5000000</v>
      </c>
      <c r="G26" s="15" t="n">
        <f aca="false">ROUND('INVEST ET FINANCEMENT'!E$11,0)+(D26-E26)-(H26-I26)</f>
        <v>0</v>
      </c>
      <c r="H26" s="15" t="n">
        <f aca="false">ROUND(D26+'INVEST ET FINANCEMENT'!E$11,0)</f>
        <v>18910459</v>
      </c>
      <c r="I26" s="20" t="n">
        <v>0</v>
      </c>
      <c r="J2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27" customFormat="false" ht="15" hidden="false" customHeight="false" outlineLevel="0" collapsed="false">
      <c r="A27" s="30" t="n">
        <v>245100</v>
      </c>
      <c r="B27" s="12" t="s">
        <v>268</v>
      </c>
      <c r="C27" s="13" t="s">
        <v>269</v>
      </c>
      <c r="D27" s="15" t="n">
        <f aca="false">IF(LEFT(A27,1)&gt;="6",0,SUMIFS('BALANCE 2025'!$H:$H,'BALANCE 2025'!$A:$A,A27))</f>
        <v>423638205</v>
      </c>
      <c r="E27" s="15" t="n">
        <f aca="false">IF(LEFT(A27,1)&gt;="6",0,SUMIFS('BALANCE 2025'!$I:$I,'BALANCE 2025'!$A:$A,A27))</f>
        <v>0</v>
      </c>
      <c r="F27" s="15" t="n">
        <f aca="false">ROUND('INVEST ET FINANCEMENT'!E$12,0)</f>
        <v>0</v>
      </c>
      <c r="G27" s="15" t="n">
        <f aca="false">ROUND('INVEST ET FINANCEMENT'!E$12,0)+(D27-E27)-(H27-I27)</f>
        <v>0</v>
      </c>
      <c r="H27" s="15" t="n">
        <f aca="false">ROUND(D27+'INVEST ET FINANCEMENT'!E$12,0)</f>
        <v>423638205</v>
      </c>
      <c r="I27" s="20" t="n">
        <v>0</v>
      </c>
      <c r="J2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28" customFormat="false" ht="15" hidden="false" customHeight="false" outlineLevel="0" collapsed="false">
      <c r="A28" s="30" t="n">
        <v>245600</v>
      </c>
      <c r="B28" s="12" t="s">
        <v>270</v>
      </c>
      <c r="C28" s="13" t="s">
        <v>269</v>
      </c>
      <c r="D28" s="15" t="n">
        <f aca="false">IF(LEFT(A28,1)&gt;="6",0,SUMIFS('BALANCE 2025'!$H:$H,'BALANCE 2025'!$A:$A,A28))</f>
        <v>28619694</v>
      </c>
      <c r="E28" s="15" t="n">
        <f aca="false">IF(LEFT(A28,1)&gt;="6",0,SUMIFS('BALANCE 2025'!$I:$I,'BALANCE 2025'!$A:$A,A28))</f>
        <v>0</v>
      </c>
      <c r="F28" s="20" t="n">
        <f aca="false">MAX(0,(H28-I28)-(D28-E28))</f>
        <v>0</v>
      </c>
      <c r="G28" s="20" t="n">
        <f aca="false">MAX(0,(D28-E28)-(H28-I28))</f>
        <v>0</v>
      </c>
      <c r="H28" s="20" t="n">
        <f aca="false">ROUND(D28,0)</f>
        <v>28619694</v>
      </c>
      <c r="I28" s="20" t="n">
        <v>0</v>
      </c>
      <c r="J2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29" customFormat="false" ht="15" hidden="false" customHeight="false" outlineLevel="0" collapsed="false">
      <c r="A29" s="30" t="n">
        <v>271800</v>
      </c>
      <c r="B29" s="12" t="s">
        <v>271</v>
      </c>
      <c r="C29" s="13" t="s">
        <v>272</v>
      </c>
      <c r="D29" s="15" t="n">
        <f aca="false">IF(LEFT(A29,1)&gt;="6",0,SUMIFS('BALANCE 2025'!$H:$H,'BALANCE 2025'!$A:$A,A29))</f>
        <v>25000000</v>
      </c>
      <c r="E29" s="15" t="n">
        <f aca="false">IF(LEFT(A29,1)&gt;="6",0,SUMIFS('BALANCE 2025'!$I:$I,'BALANCE 2025'!$A:$A,A29))</f>
        <v>0</v>
      </c>
      <c r="F29" s="20" t="n">
        <f aca="false">MAX(0,(H29-I29)-(D29-E29))</f>
        <v>0</v>
      </c>
      <c r="G29" s="20" t="n">
        <f aca="false">MAX(0,(D29-E29)-(H29-I29))</f>
        <v>0</v>
      </c>
      <c r="H29" s="20" t="n">
        <f aca="false">ROUND(D29,0)</f>
        <v>25000000</v>
      </c>
      <c r="I29" s="20" t="n">
        <v>0</v>
      </c>
      <c r="J2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0" customFormat="false" ht="15" hidden="false" customHeight="false" outlineLevel="0" collapsed="false">
      <c r="A30" s="30" t="n">
        <v>275100</v>
      </c>
      <c r="B30" s="12" t="s">
        <v>273</v>
      </c>
      <c r="C30" s="13" t="s">
        <v>272</v>
      </c>
      <c r="D30" s="15" t="n">
        <f aca="false">IF(LEFT(A30,1)&gt;="6",0,SUMIFS('BALANCE 2025'!$H:$H,'BALANCE 2025'!$A:$A,A30))</f>
        <v>231420138</v>
      </c>
      <c r="E30" s="15" t="n">
        <f aca="false">IF(LEFT(A30,1)&gt;="6",0,SUMIFS('BALANCE 2025'!$I:$I,'BALANCE 2025'!$A:$A,A30))</f>
        <v>0</v>
      </c>
      <c r="F30" s="15" t="n">
        <f aca="false">ROUND('INVEST ET FINANCEMENT'!E$13,0)</f>
        <v>0</v>
      </c>
      <c r="G30" s="15" t="n">
        <f aca="false">ROUND('INVEST ET FINANCEMENT'!E$13,0)+(D30-E30)-(H30-I30)</f>
        <v>0</v>
      </c>
      <c r="H30" s="15" t="n">
        <f aca="false">ROUND(D30+'INVEST ET FINANCEMENT'!E$13,0)</f>
        <v>231420138</v>
      </c>
      <c r="I30" s="20" t="n">
        <v>0</v>
      </c>
      <c r="J3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1" customFormat="false" ht="15" hidden="false" customHeight="false" outlineLevel="0" collapsed="false">
      <c r="A31" s="30" t="n">
        <v>283400</v>
      </c>
      <c r="B31" s="12" t="s">
        <v>274</v>
      </c>
      <c r="C31" s="13" t="s">
        <v>261</v>
      </c>
      <c r="D31" s="15" t="n">
        <f aca="false">IF(LEFT(A31,1)&gt;="6",0,SUMIFS('BALANCE 2025'!$H:$H,'BALANCE 2025'!$A:$A,A31))</f>
        <v>0</v>
      </c>
      <c r="E31" s="15" t="n">
        <f aca="false">IF(LEFT(A31,1)&gt;="6",0,SUMIFS('BALANCE 2025'!$I:$I,'BALANCE 2025'!$A:$A,A31))</f>
        <v>61219321</v>
      </c>
      <c r="F31" s="15" t="n">
        <f aca="false">ROUND('INVEST ET FINANCEMENT'!E$31,0)+(H31-I31)-(D31-E31)</f>
        <v>0</v>
      </c>
      <c r="G31" s="15" t="n">
        <f aca="false">ROUND('INVEST ET FINANCEMENT'!E$31,0)</f>
        <v>19282845</v>
      </c>
      <c r="H31" s="20" t="n">
        <v>0</v>
      </c>
      <c r="I31" s="15" t="n">
        <f aca="false">ROUND(E31+'INVEST ET FINANCEMENT'!E$31,0)</f>
        <v>80502166</v>
      </c>
      <c r="J3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2" customFormat="false" ht="15" hidden="false" customHeight="false" outlineLevel="0" collapsed="false">
      <c r="A32" s="30" t="n">
        <v>284100</v>
      </c>
      <c r="B32" s="12" t="s">
        <v>275</v>
      </c>
      <c r="C32" s="13" t="s">
        <v>265</v>
      </c>
      <c r="D32" s="15" t="n">
        <f aca="false">IF(LEFT(A32,1)&gt;="6",0,SUMIFS('BALANCE 2025'!$H:$H,'BALANCE 2025'!$A:$A,A32))</f>
        <v>0</v>
      </c>
      <c r="E32" s="15" t="n">
        <f aca="false">IF(LEFT(A32,1)&gt;="6",0,SUMIFS('BALANCE 2025'!$I:$I,'BALANCE 2025'!$A:$A,A32))</f>
        <v>84188817</v>
      </c>
      <c r="F32" s="15" t="n">
        <f aca="false">ROUND('INVEST ET FINANCEMENT'!E$34,0)+(H32-I32)-(D32-E32)</f>
        <v>0</v>
      </c>
      <c r="G32" s="15" t="n">
        <f aca="false">ROUND('INVEST ET FINANCEMENT'!E$34,0)</f>
        <v>50854932</v>
      </c>
      <c r="H32" s="20" t="n">
        <v>0</v>
      </c>
      <c r="I32" s="15" t="n">
        <f aca="false">ROUND(E32+'INVEST ET FINANCEMENT'!E$34,0)</f>
        <v>135043749</v>
      </c>
      <c r="J3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3" customFormat="false" ht="15" hidden="false" customHeight="false" outlineLevel="0" collapsed="false">
      <c r="A33" s="30" t="n">
        <v>284400</v>
      </c>
      <c r="B33" s="12" t="s">
        <v>276</v>
      </c>
      <c r="C33" s="13" t="s">
        <v>265</v>
      </c>
      <c r="D33" s="15" t="n">
        <f aca="false">IF(LEFT(A33,1)&gt;="6",0,SUMIFS('BALANCE 2025'!$H:$H,'BALANCE 2025'!$A:$A,A33))</f>
        <v>0</v>
      </c>
      <c r="E33" s="15" t="n">
        <f aca="false">IF(LEFT(A33,1)&gt;="6",0,SUMIFS('BALANCE 2025'!$I:$I,'BALANCE 2025'!$A:$A,A33))</f>
        <v>18108242</v>
      </c>
      <c r="F33" s="15" t="n">
        <f aca="false">ROUND('INVEST ET FINANCEMENT'!E$37,0)+(H33-I33)-(D33-E33)</f>
        <v>0</v>
      </c>
      <c r="G33" s="15" t="n">
        <f aca="false">ROUND('INVEST ET FINANCEMENT'!E$37,0)</f>
        <v>7609173</v>
      </c>
      <c r="H33" s="20" t="n">
        <v>0</v>
      </c>
      <c r="I33" s="15" t="n">
        <f aca="false">ROUND(E33+'INVEST ET FINANCEMENT'!E$37,0)</f>
        <v>25717415</v>
      </c>
      <c r="J3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4" customFormat="false" ht="15" hidden="false" customHeight="false" outlineLevel="0" collapsed="false">
      <c r="A34" s="30" t="n">
        <v>284500</v>
      </c>
      <c r="B34" s="12" t="s">
        <v>277</v>
      </c>
      <c r="C34" s="13" t="s">
        <v>269</v>
      </c>
      <c r="D34" s="15" t="n">
        <f aca="false">IF(LEFT(A34,1)&gt;="6",0,SUMIFS('BALANCE 2025'!$H:$H,'BALANCE 2025'!$A:$A,A34))</f>
        <v>0</v>
      </c>
      <c r="E34" s="15" t="n">
        <f aca="false">IF(LEFT(A34,1)&gt;="6",0,SUMIFS('BALANCE 2025'!$I:$I,'BALANCE 2025'!$A:$A,A34))</f>
        <v>381867454</v>
      </c>
      <c r="F34" s="15" t="n">
        <f aca="false">ROUND('INVEST ET FINANCEMENT'!E$40,0)+(H34-I34)-(D34-E34)</f>
        <v>0</v>
      </c>
      <c r="G34" s="15" t="n">
        <f aca="false">ROUND('INVEST ET FINANCEMENT'!E$40,0)</f>
        <v>15958378</v>
      </c>
      <c r="H34" s="20" t="n">
        <v>0</v>
      </c>
      <c r="I34" s="15" t="n">
        <f aca="false">ROUND(E34+'INVEST ET FINANCEMENT'!E$40,0)</f>
        <v>397825832</v>
      </c>
      <c r="J3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5" customFormat="false" ht="15" hidden="false" customHeight="false" outlineLevel="0" collapsed="false">
      <c r="A35" s="38" t="n">
        <v>401100</v>
      </c>
      <c r="B35" s="39" t="s">
        <v>278</v>
      </c>
      <c r="C35" s="40" t="s">
        <v>279</v>
      </c>
      <c r="D35" s="43" t="n">
        <f aca="false">IF(LEFT(A35,1)&gt;="6",0,SUMIFS('BALANCE 2025'!$H:$H,'BALANCE 2025'!$A:$A,A35))</f>
        <v>0</v>
      </c>
      <c r="E35" s="43" t="n">
        <f aca="false">IF(LEFT(A35,1)&gt;="6",0,SUMIFS('BALANCE 2025'!$I:$I,'BALANCE 2025'!$A:$A,A35))</f>
        <v>77709524</v>
      </c>
      <c r="F35" s="43" t="n">
        <f aca="false">ROUND(HYPOTHESES!E$49*(1+HYPOTHESES!E$10),0)+(H35-I35)-(D35-E35)</f>
        <v>511451366</v>
      </c>
      <c r="G35" s="43" t="n">
        <f aca="false">ROUND(HYPOTHESES!E$49*(1+HYPOTHESES!E$10),0)</f>
        <v>515336842</v>
      </c>
      <c r="H35" s="42" t="n">
        <v>0</v>
      </c>
      <c r="I35" s="43" t="n">
        <f aca="false">ROUND(HYPOTHESES!E$49*(1+HYPOTHESES!E$10)*HYPOTHESES!E$23/360,0)</f>
        <v>81595000</v>
      </c>
      <c r="J35" s="42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6" customFormat="false" ht="15" hidden="false" customHeight="false" outlineLevel="0" collapsed="false">
      <c r="A36" s="30" t="n">
        <v>409100</v>
      </c>
      <c r="B36" s="12" t="s">
        <v>280</v>
      </c>
      <c r="C36" s="13" t="s">
        <v>281</v>
      </c>
      <c r="D36" s="15" t="n">
        <f aca="false">IF(LEFT(A36,1)&gt;="6",0,SUMIFS('BALANCE 2025'!$H:$H,'BALANCE 2025'!$A:$A,A36))</f>
        <v>0</v>
      </c>
      <c r="E36" s="15" t="n">
        <f aca="false">IF(LEFT(A36,1)&gt;="6",0,SUMIFS('BALANCE 2025'!$I:$I,'BALANCE 2025'!$A:$A,A36))</f>
        <v>0</v>
      </c>
      <c r="F36" s="20" t="n">
        <f aca="false">MAX(0,(H36-I36)-(D36-E36))</f>
        <v>0</v>
      </c>
      <c r="G36" s="20" t="n">
        <f aca="false">MAX(0,(D36-E36)-(H36-I36))</f>
        <v>0</v>
      </c>
      <c r="H36" s="15" t="n">
        <f aca="false">ROUND(IF(LEFT(A36,1)&gt;="6",IF(C36="RE",IF(HYPOTHESES!$C$43=0,0,HYPOTHESES!E$43*SUMIFS('BALANCE 2024'!$H:$H,'BALANCE 2024'!$A:$A,A36)/HYPOTHESES!$C$43),IF(C36="RG",IF(HYPOTHESES!$C$44=0,0,HYPOTHESES!E$44*SUMIFS('BALANCE 2024'!$H:$H,'BALANCE 2024'!$A:$A,A36)/HYPOTHESES!$C$44),IF(C36="RH",IF(HYPOTHESES!$C$45=0,0,HYPOTHESES!E$45*SUMIFS('BALANCE 2024'!$H:$H,'BALANCE 2024'!$A:$A,A36)/HYPOTHESES!$C$45),IF(C36="RI",IF(HYPOTHESES!$C$46=0,0,HYPOTHESES!E$46*SUMIFS('BALANCE 2024'!$H:$H,'BALANCE 2024'!$A:$A,A36)/HYPOTHESES!$C$46),IF(C36="RJ",IF(HYPOTHESES!$C$47=0,0,HYPOTHESES!E$47*SUMIFS('BALANCE 2024'!$H:$H,'BALANCE 2024'!$A:$A,A36)/HYPOTHESES!$C$47),IF(C36="RK",IF(HYPOTHESES!$C$48=0,0,HYPOTHESES!E$48*SUMIFS('BALANCE 2024'!$H:$H,'BALANCE 2024'!$A:$A,A36)/HYPOTHESES!$C$48),0)))))),MAX(0,D36-E36)),0)</f>
        <v>0</v>
      </c>
      <c r="I36" s="20" t="n">
        <f aca="false">ROUND(IF(LEFT(A36,1)&gt;="6",0,MAX(0,E36-D36)),0)</f>
        <v>0</v>
      </c>
      <c r="J3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7" customFormat="false" ht="15" hidden="false" customHeight="false" outlineLevel="0" collapsed="false">
      <c r="A37" s="30" t="n">
        <v>411100</v>
      </c>
      <c r="B37" s="12" t="s">
        <v>282</v>
      </c>
      <c r="C37" s="13" t="s">
        <v>283</v>
      </c>
      <c r="D37" s="15" t="n">
        <f aca="false">IF(LEFT(A37,1)&gt;="6",0,SUMIFS('BALANCE 2025'!$H:$H,'BALANCE 2025'!$A:$A,A37))</f>
        <v>467144717</v>
      </c>
      <c r="E37" s="15" t="n">
        <f aca="false">IF(LEFT(A37,1)&gt;="6",0,SUMIFS('BALANCE 2025'!$I:$I,'BALANCE 2025'!$A:$A,A37))</f>
        <v>0</v>
      </c>
      <c r="F37" s="15" t="n">
        <f aca="false">ROUND(HYPOTHESES!E$42*(1+HYPOTHESES!E$10),0)</f>
        <v>929372121</v>
      </c>
      <c r="G37" s="15" t="n">
        <f aca="false">ROUND(HYPOTHESES!E$42*(1+HYPOTHESES!E$10),0)+(D37-E37)-(H37-I37)</f>
        <v>887943761</v>
      </c>
      <c r="H37" s="15" t="n">
        <f aca="false">ROUND(HYPOTHESES!E$42*(1+HYPOTHESES!E$10)*HYPOTHESES!E$22/360,0)</f>
        <v>508573077</v>
      </c>
      <c r="I37" s="20" t="n">
        <v>0</v>
      </c>
      <c r="J3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8" customFormat="false" ht="15" hidden="false" customHeight="false" outlineLevel="0" collapsed="false">
      <c r="A38" s="30" t="n">
        <v>422000</v>
      </c>
      <c r="B38" s="12" t="s">
        <v>284</v>
      </c>
      <c r="C38" s="13" t="s">
        <v>285</v>
      </c>
      <c r="D38" s="15" t="n">
        <f aca="false">IF(LEFT(A38,1)&gt;="6",0,SUMIFS('BALANCE 2025'!$H:$H,'BALANCE 2025'!$A:$A,A38))</f>
        <v>0</v>
      </c>
      <c r="E38" s="15" t="n">
        <f aca="false">IF(LEFT(A38,1)&gt;="6",0,SUMIFS('BALANCE 2025'!$I:$I,'BALANCE 2025'!$A:$A,A38))</f>
        <v>11924471</v>
      </c>
      <c r="F38" s="15" t="n">
        <f aca="false">ROUND(IF(HYPOTHESES!$C$48=0,0,'BALANCE 2024'!$G$38*HYPOTHESES!E$48/HYPOTHESES!$C$48),0)+(H38-I38)-(D38-E38)</f>
        <v>90686947</v>
      </c>
      <c r="G38" s="15" t="n">
        <f aca="false">ROUND(IF(HYPOTHESES!$C$48=0,0,'BALANCE 2024'!$G$38*HYPOTHESES!E$48/HYPOTHESES!$C$48),0)</f>
        <v>91283171</v>
      </c>
      <c r="H38" s="20" t="n">
        <v>0</v>
      </c>
      <c r="I38" s="15" t="n">
        <f aca="false">ROUND(IF(HYPOTHESES!$C$48=0,0,'BALANCE 2024'!$I$38*HYPOTHESES!E$48/HYPOTHESES!$C$48),0)</f>
        <v>12520695</v>
      </c>
      <c r="J3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39" customFormat="false" ht="15" hidden="false" customHeight="false" outlineLevel="0" collapsed="false">
      <c r="A39" s="30" t="n">
        <v>431301</v>
      </c>
      <c r="B39" s="12" t="s">
        <v>286</v>
      </c>
      <c r="C39" s="13" t="s">
        <v>285</v>
      </c>
      <c r="D39" s="15" t="n">
        <f aca="false">IF(LEFT(A39,1)&gt;="6",0,SUMIFS('BALANCE 2025'!$H:$H,'BALANCE 2025'!$A:$A,A39))</f>
        <v>0</v>
      </c>
      <c r="E39" s="15" t="n">
        <f aca="false">IF(LEFT(A39,1)&gt;="6",0,SUMIFS('BALANCE 2025'!$I:$I,'BALANCE 2025'!$A:$A,A39))</f>
        <v>5198049</v>
      </c>
      <c r="F39" s="15" t="n">
        <f aca="false">ROUND(IF(HYPOTHESES!$C$48=0,0,'BALANCE 2024'!$G$39*HYPOTHESES!E$48/HYPOTHESES!$C$48),0)+(H39-I39)-(D39-E39)</f>
        <v>7608275</v>
      </c>
      <c r="G39" s="15" t="n">
        <f aca="false">ROUND(IF(HYPOTHESES!$C$48=0,0,'BALANCE 2024'!$G$39*HYPOTHESES!E$48/HYPOTHESES!$C$48),0)</f>
        <v>7868177</v>
      </c>
      <c r="H39" s="20" t="n">
        <v>0</v>
      </c>
      <c r="I39" s="15" t="n">
        <f aca="false">ROUND(IF(HYPOTHESES!$C$48=0,0,'BALANCE 2024'!$I$39*HYPOTHESES!E$48/HYPOTHESES!$C$48),0)</f>
        <v>5457951</v>
      </c>
      <c r="J3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0" customFormat="false" ht="15" hidden="false" customHeight="false" outlineLevel="0" collapsed="false">
      <c r="A40" s="30" t="n">
        <v>431302</v>
      </c>
      <c r="B40" s="12" t="s">
        <v>287</v>
      </c>
      <c r="C40" s="13" t="s">
        <v>285</v>
      </c>
      <c r="D40" s="15" t="n">
        <f aca="false">IF(LEFT(A40,1)&gt;="6",0,SUMIFS('BALANCE 2025'!$H:$H,'BALANCE 2025'!$A:$A,A40))</f>
        <v>0</v>
      </c>
      <c r="E40" s="15" t="n">
        <f aca="false">IF(LEFT(A40,1)&gt;="6",0,SUMIFS('BALANCE 2025'!$I:$I,'BALANCE 2025'!$A:$A,A40))</f>
        <v>1286206</v>
      </c>
      <c r="F40" s="15" t="n">
        <f aca="false">ROUND(IF(HYPOTHESES!$C$48=0,0,'BALANCE 2024'!$G$40*HYPOTHESES!E$48/HYPOTHESES!$C$48),0)+(H40-I40)-(D40-E40)</f>
        <v>12806638</v>
      </c>
      <c r="G40" s="15" t="n">
        <f aca="false">ROUND(IF(HYPOTHESES!$C$48=0,0,'BALANCE 2024'!$G$40*HYPOTHESES!E$48/HYPOTHESES!$C$48),0)</f>
        <v>12870948</v>
      </c>
      <c r="H40" s="20" t="n">
        <v>0</v>
      </c>
      <c r="I40" s="15" t="n">
        <f aca="false">ROUND(IF(HYPOTHESES!$C$48=0,0,'BALANCE 2024'!$I$40*HYPOTHESES!E$48/HYPOTHESES!$C$48),0)</f>
        <v>1350516</v>
      </c>
      <c r="J4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1" customFormat="false" ht="15" hidden="false" customHeight="false" outlineLevel="0" collapsed="false">
      <c r="A41" s="30" t="n">
        <v>431802</v>
      </c>
      <c r="B41" s="12" t="s">
        <v>288</v>
      </c>
      <c r="C41" s="13" t="s">
        <v>285</v>
      </c>
      <c r="D41" s="15" t="n">
        <f aca="false">IF(LEFT(A41,1)&gt;="6",0,SUMIFS('BALANCE 2025'!$H:$H,'BALANCE 2025'!$A:$A,A41))</f>
        <v>0</v>
      </c>
      <c r="E41" s="15" t="n">
        <f aca="false">IF(LEFT(A41,1)&gt;="6",0,SUMIFS('BALANCE 2025'!$I:$I,'BALANCE 2025'!$A:$A,A41))</f>
        <v>173224</v>
      </c>
      <c r="F41" s="15" t="n">
        <f aca="false">ROUND(IF(HYPOTHESES!$C$48=0,0,'BALANCE 2024'!$G$41*HYPOTHESES!E$48/HYPOTHESES!$C$48),0)+(H41-I41)-(D41-E41)</f>
        <v>426706</v>
      </c>
      <c r="G41" s="15" t="n">
        <f aca="false">ROUND(IF(HYPOTHESES!$C$48=0,0,'BALANCE 2024'!$G$41*HYPOTHESES!E$48/HYPOTHESES!$C$48),0)</f>
        <v>435367</v>
      </c>
      <c r="H41" s="20" t="n">
        <v>0</v>
      </c>
      <c r="I41" s="15" t="n">
        <f aca="false">ROUND(IF(HYPOTHESES!$C$48=0,0,'BALANCE 2024'!$I$41*HYPOTHESES!E$48/HYPOTHESES!$C$48),0)</f>
        <v>181885</v>
      </c>
      <c r="J4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2" customFormat="false" ht="15" hidden="false" customHeight="false" outlineLevel="0" collapsed="false">
      <c r="A42" s="30" t="n">
        <v>433300</v>
      </c>
      <c r="B42" s="12" t="s">
        <v>289</v>
      </c>
      <c r="C42" s="13" t="s">
        <v>285</v>
      </c>
      <c r="D42" s="15" t="n">
        <f aca="false">IF(LEFT(A42,1)&gt;="6",0,SUMIFS('BALANCE 2025'!$H:$H,'BALANCE 2025'!$A:$A,A42))</f>
        <v>0</v>
      </c>
      <c r="E42" s="15" t="n">
        <f aca="false">IF(LEFT(A42,1)&gt;="6",0,SUMIFS('BALANCE 2025'!$I:$I,'BALANCE 2025'!$A:$A,A42))</f>
        <v>0</v>
      </c>
      <c r="F42" s="15" t="n">
        <f aca="false">ROUND(IF(HYPOTHESES!$C$48=0,0,'BALANCE 2024'!$G$42*HYPOTHESES!E$48/HYPOTHESES!$C$48),0)+(H42-I42)-(D42-E42)</f>
        <v>0</v>
      </c>
      <c r="G42" s="15" t="n">
        <f aca="false">ROUND(IF(HYPOTHESES!$C$48=0,0,'BALANCE 2024'!$G$42*HYPOTHESES!E$48/HYPOTHESES!$C$48),0)</f>
        <v>0</v>
      </c>
      <c r="H42" s="20" t="n">
        <v>0</v>
      </c>
      <c r="I42" s="15" t="n">
        <f aca="false">ROUND(IF(HYPOTHESES!$C$48=0,0,'BALANCE 2024'!$I$42*HYPOTHESES!E$48/HYPOTHESES!$C$48),0)</f>
        <v>0</v>
      </c>
      <c r="J4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3" customFormat="false" ht="15" hidden="false" customHeight="false" outlineLevel="0" collapsed="false">
      <c r="A43" s="30" t="n">
        <v>441000</v>
      </c>
      <c r="B43" s="12" t="s">
        <v>290</v>
      </c>
      <c r="C43" s="13" t="s">
        <v>285</v>
      </c>
      <c r="D43" s="15" t="n">
        <f aca="false">IF(LEFT(A43,1)&gt;="6",0,SUMIFS('BALANCE 2025'!$H:$H,'BALANCE 2025'!$A:$A,A43))</f>
        <v>0</v>
      </c>
      <c r="E43" s="15" t="n">
        <f aca="false">IF(LEFT(A43,1)&gt;="6",0,SUMIFS('BALANCE 2025'!$I:$I,'BALANCE 2025'!$A:$A,A43))</f>
        <v>30838289</v>
      </c>
      <c r="F43" s="15" t="n">
        <f aca="false">ROUND(HYPOTHESES!E$56,0)+(H43-I43)-(D43-E43)</f>
        <v>30838289</v>
      </c>
      <c r="G43" s="15" t="n">
        <f aca="false">ROUND(HYPOTHESES!E$56,0)</f>
        <v>28670509</v>
      </c>
      <c r="H43" s="20" t="n">
        <v>0</v>
      </c>
      <c r="I43" s="15" t="n">
        <f aca="false">ROUND(HYPOTHESES!E$56,0)</f>
        <v>28670509</v>
      </c>
      <c r="J4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4" customFormat="false" ht="15" hidden="false" customHeight="false" outlineLevel="0" collapsed="false">
      <c r="A44" s="30" t="n">
        <v>442800</v>
      </c>
      <c r="B44" s="12" t="s">
        <v>291</v>
      </c>
      <c r="C44" s="13" t="s">
        <v>285</v>
      </c>
      <c r="D44" s="15" t="n">
        <f aca="false">IF(LEFT(A44,1)&gt;="6",0,SUMIFS('BALANCE 2025'!$H:$H,'BALANCE 2025'!$A:$A,A44))</f>
        <v>0</v>
      </c>
      <c r="E44" s="15" t="n">
        <f aca="false">IF(LEFT(A44,1)&gt;="6",0,SUMIFS('BALANCE 2025'!$I:$I,'BALANCE 2025'!$A:$A,A44))</f>
        <v>776041</v>
      </c>
      <c r="F44" s="15" t="n">
        <f aca="false">ROUND(IF(HYPOTHESES!$C$46=0,0,'BALANCE 2024'!$G$44*HYPOTHESES!E$46/HYPOTHESES!$C$46),0)+(H44-I44)-(D44-E44)</f>
        <v>776041</v>
      </c>
      <c r="G44" s="15" t="n">
        <f aca="false">ROUND(IF(HYPOTHESES!$C$46=0,0,'BALANCE 2024'!$G$44*HYPOTHESES!E$46/HYPOTHESES!$C$46),0)</f>
        <v>814843</v>
      </c>
      <c r="H44" s="20" t="n">
        <v>0</v>
      </c>
      <c r="I44" s="15" t="n">
        <f aca="false">ROUND(IF(HYPOTHESES!$C$46=0,0,'BALANCE 2024'!$I$44*HYPOTHESES!E$46/HYPOTHESES!$C$46),0)</f>
        <v>814843</v>
      </c>
      <c r="J4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5" customFormat="false" ht="15" hidden="false" customHeight="false" outlineLevel="0" collapsed="false">
      <c r="A45" s="30" t="n">
        <v>442801</v>
      </c>
      <c r="B45" s="12" t="s">
        <v>292</v>
      </c>
      <c r="C45" s="13" t="s">
        <v>285</v>
      </c>
      <c r="D45" s="15" t="n">
        <f aca="false">IF(LEFT(A45,1)&gt;="6",0,SUMIFS('BALANCE 2025'!$H:$H,'BALANCE 2025'!$A:$A,A45))</f>
        <v>0</v>
      </c>
      <c r="E45" s="15" t="n">
        <f aca="false">IF(LEFT(A45,1)&gt;="6",0,SUMIFS('BALANCE 2025'!$I:$I,'BALANCE 2025'!$A:$A,A45))</f>
        <v>111291</v>
      </c>
      <c r="F45" s="15" t="n">
        <f aca="false">ROUND(IF(HYPOTHESES!$C$46=0,0,'BALANCE 2024'!$G$45*HYPOTHESES!E$46/HYPOTHESES!$C$46),0)+(H45-I45)-(D45-E45)</f>
        <v>111291</v>
      </c>
      <c r="G45" s="15" t="n">
        <f aca="false">ROUND(IF(HYPOTHESES!$C$46=0,0,'BALANCE 2024'!$G$45*HYPOTHESES!E$46/HYPOTHESES!$C$46),0)</f>
        <v>116856</v>
      </c>
      <c r="H45" s="20" t="n">
        <v>0</v>
      </c>
      <c r="I45" s="15" t="n">
        <f aca="false">ROUND(IF(HYPOTHESES!$C$46=0,0,'BALANCE 2024'!$I$45*HYPOTHESES!E$46/HYPOTHESES!$C$46),0)</f>
        <v>116856</v>
      </c>
      <c r="J4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6" customFormat="false" ht="15" hidden="false" customHeight="false" outlineLevel="0" collapsed="false">
      <c r="A46" s="30" t="n">
        <v>442802</v>
      </c>
      <c r="B46" s="12" t="s">
        <v>293</v>
      </c>
      <c r="C46" s="13" t="s">
        <v>285</v>
      </c>
      <c r="D46" s="15" t="n">
        <f aca="false">IF(LEFT(A46,1)&gt;="6",0,SUMIFS('BALANCE 2025'!$H:$H,'BALANCE 2025'!$A:$A,A46))</f>
        <v>0</v>
      </c>
      <c r="E46" s="15" t="n">
        <f aca="false">IF(LEFT(A46,1)&gt;="6",0,SUMIFS('BALANCE 2025'!$I:$I,'BALANCE 2025'!$A:$A,A46))</f>
        <v>166945</v>
      </c>
      <c r="F46" s="15" t="n">
        <f aca="false">ROUND(IF(HYPOTHESES!$C$46=0,0,'BALANCE 2024'!$G$46*HYPOTHESES!E$46/HYPOTHESES!$C$46),0)+(H46-I46)-(D46-E46)</f>
        <v>166945</v>
      </c>
      <c r="G46" s="15" t="n">
        <f aca="false">ROUND(IF(HYPOTHESES!$C$46=0,0,'BALANCE 2024'!$G$46*HYPOTHESES!E$46/HYPOTHESES!$C$46),0)</f>
        <v>175292</v>
      </c>
      <c r="H46" s="20" t="n">
        <v>0</v>
      </c>
      <c r="I46" s="15" t="n">
        <f aca="false">ROUND(IF(HYPOTHESES!$C$46=0,0,'BALANCE 2024'!$I$46*HYPOTHESES!E$46/HYPOTHESES!$C$46),0)</f>
        <v>175292</v>
      </c>
      <c r="J4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7" customFormat="false" ht="15" hidden="false" customHeight="false" outlineLevel="0" collapsed="false">
      <c r="A47" s="30" t="n">
        <v>442803</v>
      </c>
      <c r="B47" s="12" t="s">
        <v>294</v>
      </c>
      <c r="C47" s="13" t="s">
        <v>285</v>
      </c>
      <c r="D47" s="15" t="n">
        <f aca="false">IF(LEFT(A47,1)&gt;="6",0,SUMIFS('BALANCE 2025'!$H:$H,'BALANCE 2025'!$A:$A,A47))</f>
        <v>0</v>
      </c>
      <c r="E47" s="15" t="n">
        <f aca="false">IF(LEFT(A47,1)&gt;="6",0,SUMIFS('BALANCE 2025'!$I:$I,'BALANCE 2025'!$A:$A,A47))</f>
        <v>166944</v>
      </c>
      <c r="F47" s="15" t="n">
        <f aca="false">ROUND(IF(HYPOTHESES!$C$46=0,0,'BALANCE 2024'!$G$47*HYPOTHESES!E$46/HYPOTHESES!$C$46),0)+(H47-I47)-(D47-E47)</f>
        <v>166944</v>
      </c>
      <c r="G47" s="15" t="n">
        <f aca="false">ROUND(IF(HYPOTHESES!$C$46=0,0,'BALANCE 2024'!$G$47*HYPOTHESES!E$46/HYPOTHESES!$C$46),0)</f>
        <v>175291</v>
      </c>
      <c r="H47" s="20" t="n">
        <v>0</v>
      </c>
      <c r="I47" s="15" t="n">
        <f aca="false">ROUND(IF(HYPOTHESES!$C$46=0,0,'BALANCE 2024'!$I$47*HYPOTHESES!E$46/HYPOTHESES!$C$46),0)</f>
        <v>175291</v>
      </c>
      <c r="J4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8" customFormat="false" ht="15" hidden="false" customHeight="false" outlineLevel="0" collapsed="false">
      <c r="A48" s="30" t="n">
        <v>442820</v>
      </c>
      <c r="B48" s="12" t="s">
        <v>295</v>
      </c>
      <c r="C48" s="13" t="s">
        <v>285</v>
      </c>
      <c r="D48" s="15" t="n">
        <f aca="false">IF(LEFT(A48,1)&gt;="6",0,SUMIFS('BALANCE 2025'!$H:$H,'BALANCE 2025'!$A:$A,A48))</f>
        <v>0</v>
      </c>
      <c r="E48" s="15" t="n">
        <f aca="false">IF(LEFT(A48,1)&gt;="6",0,SUMIFS('BALANCE 2025'!$I:$I,'BALANCE 2025'!$A:$A,A48))</f>
        <v>393134</v>
      </c>
      <c r="F48" s="15" t="n">
        <f aca="false">ROUND(IF(HYPOTHESES!$C$46=0,0,'BALANCE 2024'!$G$48*HYPOTHESES!E$46/HYPOTHESES!$C$46),0)+(H48-I48)-(D48-E48)</f>
        <v>908507</v>
      </c>
      <c r="G48" s="15" t="n">
        <f aca="false">ROUND(IF(HYPOTHESES!$C$46=0,0,'BALANCE 2024'!$G$48*HYPOTHESES!E$46/HYPOTHESES!$C$46),0)</f>
        <v>928163</v>
      </c>
      <c r="H48" s="20" t="n">
        <v>0</v>
      </c>
      <c r="I48" s="15" t="n">
        <f aca="false">ROUND(IF(HYPOTHESES!$C$46=0,0,'BALANCE 2024'!$I$48*HYPOTHESES!E$46/HYPOTHESES!$C$46),0)</f>
        <v>412790</v>
      </c>
      <c r="J4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49" customFormat="false" ht="15" hidden="false" customHeight="false" outlineLevel="0" collapsed="false">
      <c r="A49" s="30" t="n">
        <v>442840</v>
      </c>
      <c r="B49" s="12" t="s">
        <v>296</v>
      </c>
      <c r="C49" s="13" t="s">
        <v>285</v>
      </c>
      <c r="D49" s="15" t="n">
        <f aca="false">IF(LEFT(A49,1)&gt;="6",0,SUMIFS('BALANCE 2025'!$H:$H,'BALANCE 2025'!$A:$A,A49))</f>
        <v>0</v>
      </c>
      <c r="E49" s="15" t="n">
        <f aca="false">IF(LEFT(A49,1)&gt;="6",0,SUMIFS('BALANCE 2025'!$I:$I,'BALANCE 2025'!$A:$A,A49))</f>
        <v>5347156</v>
      </c>
      <c r="F49" s="15" t="n">
        <f aca="false">ROUND(IF(HYPOTHESES!$C$46=0,0,'BALANCE 2024'!$G$49*HYPOTHESES!E$46/HYPOTHESES!$C$46),0)+(H49-I49)-(D49-E49)</f>
        <v>9900676</v>
      </c>
      <c r="G49" s="15" t="n">
        <f aca="false">ROUND(IF(HYPOTHESES!$C$46=0,0,'BALANCE 2024'!$G$49*HYPOTHESES!E$46/HYPOTHESES!$C$46),0)</f>
        <v>10168034</v>
      </c>
      <c r="H49" s="20" t="n">
        <v>0</v>
      </c>
      <c r="I49" s="15" t="n">
        <f aca="false">ROUND(IF(HYPOTHESES!$C$46=0,0,'BALANCE 2024'!$I$49*HYPOTHESES!E$46/HYPOTHESES!$C$46),0)</f>
        <v>5614514</v>
      </c>
      <c r="J4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0" customFormat="false" ht="15" hidden="false" customHeight="false" outlineLevel="0" collapsed="false">
      <c r="A50" s="30" t="n">
        <v>443300</v>
      </c>
      <c r="B50" s="12" t="s">
        <v>297</v>
      </c>
      <c r="C50" s="13" t="s">
        <v>285</v>
      </c>
      <c r="D50" s="15" t="n">
        <f aca="false">IF(LEFT(A50,1)&gt;="6",0,SUMIFS('BALANCE 2025'!$H:$H,'BALANCE 2025'!$A:$A,A50))</f>
        <v>0</v>
      </c>
      <c r="E50" s="15" t="n">
        <f aca="false">IF(LEFT(A50,1)&gt;="6",0,SUMIFS('BALANCE 2025'!$I:$I,'BALANCE 2025'!$A:$A,A50))</f>
        <v>53860553</v>
      </c>
      <c r="F50" s="15" t="n">
        <f aca="false">ROUND(HYPOTHESES!E$42*HYPOTHESES!E$10,0)+(H50-I50)-(D50-E50)</f>
        <v>136992049</v>
      </c>
      <c r="G50" s="15" t="n">
        <f aca="false">ROUND(HYPOTHESES!E$42*HYPOTHESES!E$10,0)</f>
        <v>141768629</v>
      </c>
      <c r="H50" s="20" t="n">
        <v>0</v>
      </c>
      <c r="I50" s="15" t="n">
        <f aca="false">ROUND(IF('BALANCE 2024'!$H$37=0,0,'BALANCE 2024'!$I$50*H37/'BALANCE 2024'!$H$37),0)</f>
        <v>58637133</v>
      </c>
      <c r="J5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1" customFormat="false" ht="15" hidden="false" customHeight="false" outlineLevel="0" collapsed="false">
      <c r="A51" s="30" t="n">
        <v>446000</v>
      </c>
      <c r="B51" s="12" t="s">
        <v>298</v>
      </c>
      <c r="C51" s="13" t="s">
        <v>285</v>
      </c>
      <c r="D51" s="15" t="n">
        <f aca="false">IF(LEFT(A51,1)&gt;="6",0,SUMIFS('BALANCE 2025'!$H:$H,'BALANCE 2025'!$A:$A,A51))</f>
        <v>0</v>
      </c>
      <c r="E51" s="15" t="n">
        <f aca="false">IF(LEFT(A51,1)&gt;="6",0,SUMIFS('BALANCE 2025'!$I:$I,'BALANCE 2025'!$A:$A,A51))</f>
        <v>213886</v>
      </c>
      <c r="F51" s="15" t="n">
        <f aca="false">ROUND(IF(HYPOTHESES!$C$46=0,0,'BALANCE 2024'!$G$51*HYPOTHESES!E$46/HYPOTHESES!$C$46),0)+(H51-I51)-(D51-E51)</f>
        <v>227007</v>
      </c>
      <c r="G51" s="15" t="n">
        <f aca="false">ROUND(IF(HYPOTHESES!$C$46=0,0,'BALANCE 2024'!$G$51*HYPOTHESES!E$46/HYPOTHESES!$C$46),0)</f>
        <v>237702</v>
      </c>
      <c r="H51" s="20" t="n">
        <v>0</v>
      </c>
      <c r="I51" s="15" t="n">
        <f aca="false">ROUND(IF(HYPOTHESES!$C$46=0,0,'BALANCE 2024'!$I$51*HYPOTHESES!E$46/HYPOTHESES!$C$46),0)</f>
        <v>224581</v>
      </c>
      <c r="J5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2" customFormat="false" ht="15" hidden="false" customHeight="false" outlineLevel="0" collapsed="false">
      <c r="A52" s="30" t="n">
        <v>447201</v>
      </c>
      <c r="B52" s="12" t="s">
        <v>299</v>
      </c>
      <c r="C52" s="13" t="s">
        <v>285</v>
      </c>
      <c r="D52" s="15" t="n">
        <f aca="false">IF(LEFT(A52,1)&gt;="6",0,SUMIFS('BALANCE 2025'!$H:$H,'BALANCE 2025'!$A:$A,A52))</f>
        <v>0</v>
      </c>
      <c r="E52" s="15" t="n">
        <f aca="false">IF(LEFT(A52,1)&gt;="6",0,SUMIFS('BALANCE 2025'!$I:$I,'BALANCE 2025'!$A:$A,A52))</f>
        <v>1745354</v>
      </c>
      <c r="F52" s="15" t="n">
        <f aca="false">ROUND(IF(HYPOTHESES!$C$48=0,0,'BALANCE 2024'!$G$52*HYPOTHESES!E$48/HYPOTHESES!$C$48),0)+(H52-I52)-(D52-E52)</f>
        <v>6540718</v>
      </c>
      <c r="G52" s="15" t="n">
        <f aca="false">ROUND(IF(HYPOTHESES!$C$48=0,0,'BALANCE 2024'!$G$52*HYPOTHESES!E$48/HYPOTHESES!$C$48),0)</f>
        <v>6627986</v>
      </c>
      <c r="H52" s="20" t="n">
        <v>0</v>
      </c>
      <c r="I52" s="15" t="n">
        <f aca="false">ROUND(IF(HYPOTHESES!$C$48=0,0,'BALANCE 2024'!$I$52*HYPOTHESES!E$48/HYPOTHESES!$C$48),0)</f>
        <v>1832622</v>
      </c>
      <c r="J5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3" customFormat="false" ht="15" hidden="false" customHeight="false" outlineLevel="0" collapsed="false">
      <c r="A53" s="30" t="n">
        <v>462100</v>
      </c>
      <c r="B53" s="12" t="s">
        <v>300</v>
      </c>
      <c r="C53" s="13" t="s">
        <v>301</v>
      </c>
      <c r="D53" s="15" t="n">
        <f aca="false">IF(LEFT(A53,1)&gt;="6",0,SUMIFS('BALANCE 2025'!$H:$H,'BALANCE 2025'!$A:$A,A53))</f>
        <v>0</v>
      </c>
      <c r="E53" s="15" t="n">
        <f aca="false">IF(LEFT(A53,1)&gt;="6",0,SUMIFS('BALANCE 2025'!$I:$I,'BALANCE 2025'!$A:$A,A53))</f>
        <v>0</v>
      </c>
      <c r="F53" s="15" t="n">
        <f aca="false">ROUND('INVEST ET FINANCEMENT'!E$53,0)+(H53-I53)-(D53-E53)</f>
        <v>0</v>
      </c>
      <c r="G53" s="15" t="n">
        <f aca="false">ROUND('INVEST ET FINANCEMENT'!E$53,0)</f>
        <v>0</v>
      </c>
      <c r="H53" s="20" t="n">
        <v>0</v>
      </c>
      <c r="I53" s="15" t="n">
        <f aca="false">ROUND('INVEST ET FINANCEMENT'!E$54,0)</f>
        <v>0</v>
      </c>
      <c r="J5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4" customFormat="false" ht="15" hidden="false" customHeight="false" outlineLevel="0" collapsed="false">
      <c r="A54" s="30" t="n">
        <v>471200</v>
      </c>
      <c r="B54" s="12" t="s">
        <v>302</v>
      </c>
      <c r="C54" s="13" t="s">
        <v>303</v>
      </c>
      <c r="D54" s="15" t="n">
        <f aca="false">IF(LEFT(A54,1)&gt;="6",0,SUMIFS('BALANCE 2025'!$H:$H,'BALANCE 2025'!$A:$A,A54))</f>
        <v>0</v>
      </c>
      <c r="E54" s="15" t="n">
        <f aca="false">IF(LEFT(A54,1)&gt;="6",0,SUMIFS('BALANCE 2025'!$I:$I,'BALANCE 2025'!$A:$A,A54))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ROUND(MAX(0,-(E54-D54+HYPOTHESES!E$31)),0)</f>
        <v>-0</v>
      </c>
      <c r="I54" s="15" t="n">
        <f aca="false">ROUND(MAX(0,(E54-D54+HYPOTHESES!E$31)),0)</f>
        <v>0</v>
      </c>
      <c r="J5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5" customFormat="false" ht="15" hidden="false" customHeight="false" outlineLevel="0" collapsed="false">
      <c r="A55" s="30" t="n">
        <v>481200</v>
      </c>
      <c r="B55" s="12" t="s">
        <v>304</v>
      </c>
      <c r="C55" s="13" t="s">
        <v>305</v>
      </c>
      <c r="D55" s="15" t="n">
        <f aca="false">IF(LEFT(A55,1)&gt;="6",0,SUMIFS('BALANCE 2025'!$H:$H,'BALANCE 2025'!$A:$A,A55))</f>
        <v>0</v>
      </c>
      <c r="E55" s="15" t="n">
        <f aca="false">IF(LEFT(A55,1)&gt;="6",0,SUMIFS('BALANCE 2025'!$I:$I,'BALANCE 2025'!$A:$A,A55))</f>
        <v>59171235</v>
      </c>
      <c r="F55" s="15" t="n">
        <f aca="false">ROUND('INVEST ET FINANCEMENT'!E$41,0)+(H55-I55)-(D55-E55)</f>
        <v>81435124</v>
      </c>
      <c r="G55" s="15" t="n">
        <f aca="false">ROUND('INVEST ET FINANCEMENT'!E$41,0)</f>
        <v>35000000</v>
      </c>
      <c r="H55" s="20" t="n">
        <v>0</v>
      </c>
      <c r="I55" s="15" t="n">
        <f aca="false">ROUND(HYPOTHESES!E$28,0)</f>
        <v>12736111</v>
      </c>
      <c r="J5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6" customFormat="false" ht="15" hidden="false" customHeight="false" outlineLevel="0" collapsed="false">
      <c r="A56" s="38" t="n">
        <v>604300</v>
      </c>
      <c r="B56" s="39" t="s">
        <v>306</v>
      </c>
      <c r="C56" s="40" t="s">
        <v>307</v>
      </c>
      <c r="D56" s="43" t="n">
        <f aca="false">IF(LEFT(A56,1)&gt;="6",0,SUMIFS('BALANCE 2025'!$H:$H,'BALANCE 2025'!$A:$A,A56))</f>
        <v>0</v>
      </c>
      <c r="E56" s="43" t="n">
        <f aca="false">IF(LEFT(A56,1)&gt;="6",0,SUMIFS('BALANCE 2025'!$I:$I,'BALANCE 2025'!$A:$A,A56))</f>
        <v>0</v>
      </c>
      <c r="F56" s="42" t="n">
        <f aca="false">MAX(0,(H56-I56)-(D56-E56))</f>
        <v>1404953</v>
      </c>
      <c r="G56" s="42" t="n">
        <f aca="false">MAX(0,(D56-E56)-(H56-I56))</f>
        <v>0</v>
      </c>
      <c r="H56" s="43" t="n">
        <f aca="false">ROUND(IF(LEFT(A56,1)&gt;="6",IF(C56="RE",IF(HYPOTHESES!$C$43=0,0,HYPOTHESES!E$43*SUMIFS('BALANCE 2024'!$H:$H,'BALANCE 2024'!$A:$A,A56)/HYPOTHESES!$C$43),IF(C56="RG",IF(HYPOTHESES!$C$44=0,0,HYPOTHESES!E$44*SUMIFS('BALANCE 2024'!$H:$H,'BALANCE 2024'!$A:$A,A56)/HYPOTHESES!$C$44),IF(C56="RH",IF(HYPOTHESES!$C$45=0,0,HYPOTHESES!E$45*SUMIFS('BALANCE 2024'!$H:$H,'BALANCE 2024'!$A:$A,A56)/HYPOTHESES!$C$45),IF(C56="RI",IF(HYPOTHESES!$C$46=0,0,HYPOTHESES!E$46*SUMIFS('BALANCE 2024'!$H:$H,'BALANCE 2024'!$A:$A,A56)/HYPOTHESES!$C$46),IF(C56="RJ",IF(HYPOTHESES!$C$47=0,0,HYPOTHESES!E$47*SUMIFS('BALANCE 2024'!$H:$H,'BALANCE 2024'!$A:$A,A56)/HYPOTHESES!$C$47),IF(C56="RK",IF(HYPOTHESES!$C$48=0,0,HYPOTHESES!E$48*SUMIFS('BALANCE 2024'!$H:$H,'BALANCE 2024'!$A:$A,A56)/HYPOTHESES!$C$48),0)))))),MAX(0,D56-E56)),0)</f>
        <v>1404953</v>
      </c>
      <c r="I56" s="42" t="n">
        <v>0</v>
      </c>
      <c r="J56" s="42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7" customFormat="false" ht="15" hidden="false" customHeight="false" outlineLevel="0" collapsed="false">
      <c r="A57" s="30" t="n">
        <v>605100</v>
      </c>
      <c r="B57" s="12" t="s">
        <v>308</v>
      </c>
      <c r="C57" s="13" t="s">
        <v>307</v>
      </c>
      <c r="D57" s="15" t="n">
        <f aca="false">IF(LEFT(A57,1)&gt;="6",0,SUMIFS('BALANCE 2025'!$H:$H,'BALANCE 2025'!$A:$A,A57))</f>
        <v>0</v>
      </c>
      <c r="E57" s="15" t="n">
        <f aca="false">IF(LEFT(A57,1)&gt;="6",0,SUMIFS('BALANCE 2025'!$I:$I,'BALANCE 2025'!$A:$A,A57))</f>
        <v>0</v>
      </c>
      <c r="F57" s="20" t="n">
        <f aca="false">MAX(0,(H57-I57)-(D57-E57))</f>
        <v>139974</v>
      </c>
      <c r="G57" s="20" t="n">
        <f aca="false">MAX(0,(D57-E57)-(H57-I57))</f>
        <v>0</v>
      </c>
      <c r="H57" s="15" t="n">
        <f aca="false">ROUND(IF(LEFT(A57,1)&gt;="6",IF(C57="RE",IF(HYPOTHESES!$C$43=0,0,HYPOTHESES!E$43*SUMIFS('BALANCE 2024'!$H:$H,'BALANCE 2024'!$A:$A,A57)/HYPOTHESES!$C$43),IF(C57="RG",IF(HYPOTHESES!$C$44=0,0,HYPOTHESES!E$44*SUMIFS('BALANCE 2024'!$H:$H,'BALANCE 2024'!$A:$A,A57)/HYPOTHESES!$C$44),IF(C57="RH",IF(HYPOTHESES!$C$45=0,0,HYPOTHESES!E$45*SUMIFS('BALANCE 2024'!$H:$H,'BALANCE 2024'!$A:$A,A57)/HYPOTHESES!$C$45),IF(C57="RI",IF(HYPOTHESES!$C$46=0,0,HYPOTHESES!E$46*SUMIFS('BALANCE 2024'!$H:$H,'BALANCE 2024'!$A:$A,A57)/HYPOTHESES!$C$46),IF(C57="RJ",IF(HYPOTHESES!$C$47=0,0,HYPOTHESES!E$47*SUMIFS('BALANCE 2024'!$H:$H,'BALANCE 2024'!$A:$A,A57)/HYPOTHESES!$C$47),IF(C57="RK",IF(HYPOTHESES!$C$48=0,0,HYPOTHESES!E$48*SUMIFS('BALANCE 2024'!$H:$H,'BALANCE 2024'!$A:$A,A57)/HYPOTHESES!$C$48),0)))))),MAX(0,D57-E57)),0)</f>
        <v>139974</v>
      </c>
      <c r="I57" s="20" t="n">
        <v>0</v>
      </c>
      <c r="J5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8" customFormat="false" ht="15" hidden="false" customHeight="false" outlineLevel="0" collapsed="false">
      <c r="A58" s="30" t="n">
        <v>605200</v>
      </c>
      <c r="B58" s="12" t="s">
        <v>309</v>
      </c>
      <c r="C58" s="13" t="s">
        <v>307</v>
      </c>
      <c r="D58" s="15" t="n">
        <f aca="false">IF(LEFT(A58,1)&gt;="6",0,SUMIFS('BALANCE 2025'!$H:$H,'BALANCE 2025'!$A:$A,A58))</f>
        <v>0</v>
      </c>
      <c r="E58" s="15" t="n">
        <f aca="false">IF(LEFT(A58,1)&gt;="6",0,SUMIFS('BALANCE 2025'!$I:$I,'BALANCE 2025'!$A:$A,A58))</f>
        <v>0</v>
      </c>
      <c r="F58" s="20" t="n">
        <f aca="false">MAX(0,(H58-I58)-(D58-E58))</f>
        <v>44900806</v>
      </c>
      <c r="G58" s="20" t="n">
        <f aca="false">MAX(0,(D58-E58)-(H58-I58))</f>
        <v>0</v>
      </c>
      <c r="H58" s="15" t="n">
        <f aca="false">ROUND(IF(LEFT(A58,1)&gt;="6",IF(C58="RE",IF(HYPOTHESES!$C$43=0,0,HYPOTHESES!E$43*SUMIFS('BALANCE 2024'!$H:$H,'BALANCE 2024'!$A:$A,A58)/HYPOTHESES!$C$43),IF(C58="RG",IF(HYPOTHESES!$C$44=0,0,HYPOTHESES!E$44*SUMIFS('BALANCE 2024'!$H:$H,'BALANCE 2024'!$A:$A,A58)/HYPOTHESES!$C$44),IF(C58="RH",IF(HYPOTHESES!$C$45=0,0,HYPOTHESES!E$45*SUMIFS('BALANCE 2024'!$H:$H,'BALANCE 2024'!$A:$A,A58)/HYPOTHESES!$C$45),IF(C58="RI",IF(HYPOTHESES!$C$46=0,0,HYPOTHESES!E$46*SUMIFS('BALANCE 2024'!$H:$H,'BALANCE 2024'!$A:$A,A58)/HYPOTHESES!$C$46),IF(C58="RJ",IF(HYPOTHESES!$C$47=0,0,HYPOTHESES!E$47*SUMIFS('BALANCE 2024'!$H:$H,'BALANCE 2024'!$A:$A,A58)/HYPOTHESES!$C$47),IF(C58="RK",IF(HYPOTHESES!$C$48=0,0,HYPOTHESES!E$48*SUMIFS('BALANCE 2024'!$H:$H,'BALANCE 2024'!$A:$A,A58)/HYPOTHESES!$C$48),0)))))),MAX(0,D58-E58)),0)</f>
        <v>44900806</v>
      </c>
      <c r="I58" s="20" t="n">
        <v>0</v>
      </c>
      <c r="J5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59" customFormat="false" ht="15" hidden="false" customHeight="false" outlineLevel="0" collapsed="false">
      <c r="A59" s="30" t="n">
        <v>605300</v>
      </c>
      <c r="B59" s="12" t="s">
        <v>310</v>
      </c>
      <c r="C59" s="13" t="s">
        <v>307</v>
      </c>
      <c r="D59" s="15" t="n">
        <f aca="false">IF(LEFT(A59,1)&gt;="6",0,SUMIFS('BALANCE 2025'!$H:$H,'BALANCE 2025'!$A:$A,A59))</f>
        <v>0</v>
      </c>
      <c r="E59" s="15" t="n">
        <f aca="false">IF(LEFT(A59,1)&gt;="6",0,SUMIFS('BALANCE 2025'!$I:$I,'BALANCE 2025'!$A:$A,A59))</f>
        <v>0</v>
      </c>
      <c r="F59" s="20" t="n">
        <f aca="false">MAX(0,(H59-I59)-(D59-E59))</f>
        <v>22291255</v>
      </c>
      <c r="G59" s="20" t="n">
        <f aca="false">MAX(0,(D59-E59)-(H59-I59))</f>
        <v>0</v>
      </c>
      <c r="H59" s="15" t="n">
        <f aca="false">ROUND(IF(LEFT(A59,1)&gt;="6",IF(C59="RE",IF(HYPOTHESES!$C$43=0,0,HYPOTHESES!E$43*SUMIFS('BALANCE 2024'!$H:$H,'BALANCE 2024'!$A:$A,A59)/HYPOTHESES!$C$43),IF(C59="RG",IF(HYPOTHESES!$C$44=0,0,HYPOTHESES!E$44*SUMIFS('BALANCE 2024'!$H:$H,'BALANCE 2024'!$A:$A,A59)/HYPOTHESES!$C$44),IF(C59="RH",IF(HYPOTHESES!$C$45=0,0,HYPOTHESES!E$45*SUMIFS('BALANCE 2024'!$H:$H,'BALANCE 2024'!$A:$A,A59)/HYPOTHESES!$C$45),IF(C59="RI",IF(HYPOTHESES!$C$46=0,0,HYPOTHESES!E$46*SUMIFS('BALANCE 2024'!$H:$H,'BALANCE 2024'!$A:$A,A59)/HYPOTHESES!$C$46),IF(C59="RJ",IF(HYPOTHESES!$C$47=0,0,HYPOTHESES!E$47*SUMIFS('BALANCE 2024'!$H:$H,'BALANCE 2024'!$A:$A,A59)/HYPOTHESES!$C$47),IF(C59="RK",IF(HYPOTHESES!$C$48=0,0,HYPOTHESES!E$48*SUMIFS('BALANCE 2024'!$H:$H,'BALANCE 2024'!$A:$A,A59)/HYPOTHESES!$C$48),0)))))),MAX(0,D59-E59)),0)</f>
        <v>22291255</v>
      </c>
      <c r="I59" s="20" t="n">
        <v>0</v>
      </c>
      <c r="J5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0" customFormat="false" ht="15" hidden="false" customHeight="false" outlineLevel="0" collapsed="false">
      <c r="A60" s="30" t="n">
        <v>605500</v>
      </c>
      <c r="B60" s="12" t="s">
        <v>311</v>
      </c>
      <c r="C60" s="13" t="s">
        <v>307</v>
      </c>
      <c r="D60" s="15" t="n">
        <f aca="false">IF(LEFT(A60,1)&gt;="6",0,SUMIFS('BALANCE 2025'!$H:$H,'BALANCE 2025'!$A:$A,A60))</f>
        <v>0</v>
      </c>
      <c r="E60" s="15" t="n">
        <f aca="false">IF(LEFT(A60,1)&gt;="6",0,SUMIFS('BALANCE 2025'!$I:$I,'BALANCE 2025'!$A:$A,A60))</f>
        <v>0</v>
      </c>
      <c r="F60" s="20" t="n">
        <f aca="false">MAX(0,(H60-I60)-(D60-E60))</f>
        <v>14464851</v>
      </c>
      <c r="G60" s="20" t="n">
        <f aca="false">MAX(0,(D60-E60)-(H60-I60))</f>
        <v>0</v>
      </c>
      <c r="H60" s="15" t="n">
        <f aca="false">ROUND(IF(LEFT(A60,1)&gt;="6",IF(C60="RE",IF(HYPOTHESES!$C$43=0,0,HYPOTHESES!E$43*SUMIFS('BALANCE 2024'!$H:$H,'BALANCE 2024'!$A:$A,A60)/HYPOTHESES!$C$43),IF(C60="RG",IF(HYPOTHESES!$C$44=0,0,HYPOTHESES!E$44*SUMIFS('BALANCE 2024'!$H:$H,'BALANCE 2024'!$A:$A,A60)/HYPOTHESES!$C$44),IF(C60="RH",IF(HYPOTHESES!$C$45=0,0,HYPOTHESES!E$45*SUMIFS('BALANCE 2024'!$H:$H,'BALANCE 2024'!$A:$A,A60)/HYPOTHESES!$C$45),IF(C60="RI",IF(HYPOTHESES!$C$46=0,0,HYPOTHESES!E$46*SUMIFS('BALANCE 2024'!$H:$H,'BALANCE 2024'!$A:$A,A60)/HYPOTHESES!$C$46),IF(C60="RJ",IF(HYPOTHESES!$C$47=0,0,HYPOTHESES!E$47*SUMIFS('BALANCE 2024'!$H:$H,'BALANCE 2024'!$A:$A,A60)/HYPOTHESES!$C$47),IF(C60="RK",IF(HYPOTHESES!$C$48=0,0,HYPOTHESES!E$48*SUMIFS('BALANCE 2024'!$H:$H,'BALANCE 2024'!$A:$A,A60)/HYPOTHESES!$C$48),0)))))),MAX(0,D60-E60)),0)</f>
        <v>14464851</v>
      </c>
      <c r="I60" s="20" t="n">
        <v>0</v>
      </c>
      <c r="J6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1" customFormat="false" ht="15" hidden="false" customHeight="false" outlineLevel="0" collapsed="false">
      <c r="A61" s="30" t="n">
        <v>605600</v>
      </c>
      <c r="B61" s="12" t="s">
        <v>312</v>
      </c>
      <c r="C61" s="13" t="s">
        <v>307</v>
      </c>
      <c r="D61" s="15" t="n">
        <f aca="false">IF(LEFT(A61,1)&gt;="6",0,SUMIFS('BALANCE 2025'!$H:$H,'BALANCE 2025'!$A:$A,A61))</f>
        <v>0</v>
      </c>
      <c r="E61" s="15" t="n">
        <f aca="false">IF(LEFT(A61,1)&gt;="6",0,SUMIFS('BALANCE 2025'!$I:$I,'BALANCE 2025'!$A:$A,A61))</f>
        <v>0</v>
      </c>
      <c r="F61" s="20" t="n">
        <f aca="false">MAX(0,(H61-I61)-(D61-E61))</f>
        <v>4147927</v>
      </c>
      <c r="G61" s="20" t="n">
        <f aca="false">MAX(0,(D61-E61)-(H61-I61))</f>
        <v>0</v>
      </c>
      <c r="H61" s="15" t="n">
        <f aca="false">ROUND(IF(LEFT(A61,1)&gt;="6",IF(C61="RE",IF(HYPOTHESES!$C$43=0,0,HYPOTHESES!E$43*SUMIFS('BALANCE 2024'!$H:$H,'BALANCE 2024'!$A:$A,A61)/HYPOTHESES!$C$43),IF(C61="RG",IF(HYPOTHESES!$C$44=0,0,HYPOTHESES!E$44*SUMIFS('BALANCE 2024'!$H:$H,'BALANCE 2024'!$A:$A,A61)/HYPOTHESES!$C$44),IF(C61="RH",IF(HYPOTHESES!$C$45=0,0,HYPOTHESES!E$45*SUMIFS('BALANCE 2024'!$H:$H,'BALANCE 2024'!$A:$A,A61)/HYPOTHESES!$C$45),IF(C61="RI",IF(HYPOTHESES!$C$46=0,0,HYPOTHESES!E$46*SUMIFS('BALANCE 2024'!$H:$H,'BALANCE 2024'!$A:$A,A61)/HYPOTHESES!$C$46),IF(C61="RJ",IF(HYPOTHESES!$C$47=0,0,HYPOTHESES!E$47*SUMIFS('BALANCE 2024'!$H:$H,'BALANCE 2024'!$A:$A,A61)/HYPOTHESES!$C$47),IF(C61="RK",IF(HYPOTHESES!$C$48=0,0,HYPOTHESES!E$48*SUMIFS('BALANCE 2024'!$H:$H,'BALANCE 2024'!$A:$A,A61)/HYPOTHESES!$C$48),0)))))),MAX(0,D61-E61)),0)</f>
        <v>4147927</v>
      </c>
      <c r="I61" s="20" t="n">
        <v>0</v>
      </c>
      <c r="J6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2" customFormat="false" ht="15" hidden="false" customHeight="false" outlineLevel="0" collapsed="false">
      <c r="A62" s="30" t="n">
        <v>605700</v>
      </c>
      <c r="B62" s="12" t="s">
        <v>313</v>
      </c>
      <c r="C62" s="13" t="s">
        <v>307</v>
      </c>
      <c r="D62" s="15" t="n">
        <f aca="false">IF(LEFT(A62,1)&gt;="6",0,SUMIFS('BALANCE 2025'!$H:$H,'BALANCE 2025'!$A:$A,A62))</f>
        <v>0</v>
      </c>
      <c r="E62" s="15" t="n">
        <f aca="false">IF(LEFT(A62,1)&gt;="6",0,SUMIFS('BALANCE 2025'!$I:$I,'BALANCE 2025'!$A:$A,A62))</f>
        <v>0</v>
      </c>
      <c r="F62" s="20" t="n">
        <f aca="false">MAX(0,(H62-I62)-(D62-E62))</f>
        <v>90068520</v>
      </c>
      <c r="G62" s="20" t="n">
        <f aca="false">MAX(0,(D62-E62)-(H62-I62))</f>
        <v>0</v>
      </c>
      <c r="H62" s="15" t="n">
        <f aca="false">ROUND(IF(LEFT(A62,1)&gt;="6",IF(C62="RE",IF(HYPOTHESES!$C$43=0,0,HYPOTHESES!E$43*SUMIFS('BALANCE 2024'!$H:$H,'BALANCE 2024'!$A:$A,A62)/HYPOTHESES!$C$43),IF(C62="RG",IF(HYPOTHESES!$C$44=0,0,HYPOTHESES!E$44*SUMIFS('BALANCE 2024'!$H:$H,'BALANCE 2024'!$A:$A,A62)/HYPOTHESES!$C$44),IF(C62="RH",IF(HYPOTHESES!$C$45=0,0,HYPOTHESES!E$45*SUMIFS('BALANCE 2024'!$H:$H,'BALANCE 2024'!$A:$A,A62)/HYPOTHESES!$C$45),IF(C62="RI",IF(HYPOTHESES!$C$46=0,0,HYPOTHESES!E$46*SUMIFS('BALANCE 2024'!$H:$H,'BALANCE 2024'!$A:$A,A62)/HYPOTHESES!$C$46),IF(C62="RJ",IF(HYPOTHESES!$C$47=0,0,HYPOTHESES!E$47*SUMIFS('BALANCE 2024'!$H:$H,'BALANCE 2024'!$A:$A,A62)/HYPOTHESES!$C$47),IF(C62="RK",IF(HYPOTHESES!$C$48=0,0,HYPOTHESES!E$48*SUMIFS('BALANCE 2024'!$H:$H,'BALANCE 2024'!$A:$A,A62)/HYPOTHESES!$C$48),0)))))),MAX(0,D62-E62)),0)</f>
        <v>90068520</v>
      </c>
      <c r="I62" s="20" t="n">
        <v>0</v>
      </c>
      <c r="J6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3" customFormat="false" ht="15" hidden="false" customHeight="false" outlineLevel="0" collapsed="false">
      <c r="A63" s="30" t="n">
        <v>605800</v>
      </c>
      <c r="B63" s="12" t="s">
        <v>314</v>
      </c>
      <c r="C63" s="13" t="s">
        <v>307</v>
      </c>
      <c r="D63" s="15" t="n">
        <f aca="false">IF(LEFT(A63,1)&gt;="6",0,SUMIFS('BALANCE 2025'!$H:$H,'BALANCE 2025'!$A:$A,A63))</f>
        <v>0</v>
      </c>
      <c r="E63" s="15" t="n">
        <f aca="false">IF(LEFT(A63,1)&gt;="6",0,SUMIFS('BALANCE 2025'!$I:$I,'BALANCE 2025'!$A:$A,A63))</f>
        <v>0</v>
      </c>
      <c r="F63" s="20" t="n">
        <f aca="false">MAX(0,(H63-I63)-(D63-E63))</f>
        <v>135102780</v>
      </c>
      <c r="G63" s="20" t="n">
        <f aca="false">MAX(0,(D63-E63)-(H63-I63))</f>
        <v>0</v>
      </c>
      <c r="H63" s="15" t="n">
        <f aca="false">ROUND(IF(HYPOTHESES!$C$43=0,0,HYPOTHESES!E$43-SUMPRODUCT((T_BAL_2026[Poste]="RE")*(T_BAL_2026[Compte]&lt;&gt;605800)*ROUND(HYPOTHESES!E$43*SUMIFS('BALANCE 2024'!$H:$H,'BALANCE 2024'!$A:$A,T_BAL_2026[Compte])/HYPOTHESES!$C$43,0))),0)</f>
        <v>135102780</v>
      </c>
      <c r="I63" s="20" t="n">
        <v>0</v>
      </c>
      <c r="J6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4" customFormat="false" ht="15" hidden="false" customHeight="false" outlineLevel="0" collapsed="false">
      <c r="A64" s="30" t="n">
        <v>616000</v>
      </c>
      <c r="B64" s="12" t="s">
        <v>315</v>
      </c>
      <c r="C64" s="13" t="s">
        <v>316</v>
      </c>
      <c r="D64" s="15" t="n">
        <f aca="false">IF(LEFT(A64,1)&gt;="6",0,SUMIFS('BALANCE 2025'!$H:$H,'BALANCE 2025'!$A:$A,A64))</f>
        <v>0</v>
      </c>
      <c r="E64" s="15" t="n">
        <f aca="false">IF(LEFT(A64,1)&gt;="6",0,SUMIFS('BALANCE 2025'!$I:$I,'BALANCE 2025'!$A:$A,A64))</f>
        <v>0</v>
      </c>
      <c r="F64" s="20" t="n">
        <f aca="false">MAX(0,(H64-I64)-(D64-E64))</f>
        <v>104548</v>
      </c>
      <c r="G64" s="20" t="n">
        <f aca="false">MAX(0,(D64-E64)-(H64-I64))</f>
        <v>0</v>
      </c>
      <c r="H64" s="15" t="n">
        <f aca="false">ROUND(IF(LEFT(A64,1)&gt;="6",IF(C64="RE",IF(HYPOTHESES!$C$43=0,0,HYPOTHESES!E$43*SUMIFS('BALANCE 2024'!$H:$H,'BALANCE 2024'!$A:$A,A64)/HYPOTHESES!$C$43),IF(C64="RG",IF(HYPOTHESES!$C$44=0,0,HYPOTHESES!E$44*SUMIFS('BALANCE 2024'!$H:$H,'BALANCE 2024'!$A:$A,A64)/HYPOTHESES!$C$44),IF(C64="RH",IF(HYPOTHESES!$C$45=0,0,HYPOTHESES!E$45*SUMIFS('BALANCE 2024'!$H:$H,'BALANCE 2024'!$A:$A,A64)/HYPOTHESES!$C$45),IF(C64="RI",IF(HYPOTHESES!$C$46=0,0,HYPOTHESES!E$46*SUMIFS('BALANCE 2024'!$H:$H,'BALANCE 2024'!$A:$A,A64)/HYPOTHESES!$C$46),IF(C64="RJ",IF(HYPOTHESES!$C$47=0,0,HYPOTHESES!E$47*SUMIFS('BALANCE 2024'!$H:$H,'BALANCE 2024'!$A:$A,A64)/HYPOTHESES!$C$47),IF(C64="RK",IF(HYPOTHESES!$C$48=0,0,HYPOTHESES!E$48*SUMIFS('BALANCE 2024'!$H:$H,'BALANCE 2024'!$A:$A,A64)/HYPOTHESES!$C$48),0)))))),MAX(0,D64-E64)),0)</f>
        <v>104548</v>
      </c>
      <c r="I64" s="20" t="n">
        <v>0</v>
      </c>
      <c r="J6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5" customFormat="false" ht="15" hidden="false" customHeight="false" outlineLevel="0" collapsed="false">
      <c r="A65" s="30" t="n">
        <v>618200</v>
      </c>
      <c r="B65" s="12" t="s">
        <v>317</v>
      </c>
      <c r="C65" s="13" t="s">
        <v>316</v>
      </c>
      <c r="D65" s="15" t="n">
        <f aca="false">IF(LEFT(A65,1)&gt;="6",0,SUMIFS('BALANCE 2025'!$H:$H,'BALANCE 2025'!$A:$A,A65))</f>
        <v>0</v>
      </c>
      <c r="E65" s="15" t="n">
        <f aca="false">IF(LEFT(A65,1)&gt;="6",0,SUMIFS('BALANCE 2025'!$I:$I,'BALANCE 2025'!$A:$A,A65))</f>
        <v>0</v>
      </c>
      <c r="F65" s="20" t="n">
        <f aca="false">MAX(0,(H65-I65)-(D65-E65))</f>
        <v>1744538</v>
      </c>
      <c r="G65" s="20" t="n">
        <f aca="false">MAX(0,(D65-E65)-(H65-I65))</f>
        <v>0</v>
      </c>
      <c r="H65" s="15" t="n">
        <f aca="false">ROUND(IF(LEFT(A65,1)&gt;="6",IF(C65="RE",IF(HYPOTHESES!$C$43=0,0,HYPOTHESES!E$43*SUMIFS('BALANCE 2024'!$H:$H,'BALANCE 2024'!$A:$A,A65)/HYPOTHESES!$C$43),IF(C65="RG",IF(HYPOTHESES!$C$44=0,0,HYPOTHESES!E$44*SUMIFS('BALANCE 2024'!$H:$H,'BALANCE 2024'!$A:$A,A65)/HYPOTHESES!$C$44),IF(C65="RH",IF(HYPOTHESES!$C$45=0,0,HYPOTHESES!E$45*SUMIFS('BALANCE 2024'!$H:$H,'BALANCE 2024'!$A:$A,A65)/HYPOTHESES!$C$45),IF(C65="RI",IF(HYPOTHESES!$C$46=0,0,HYPOTHESES!E$46*SUMIFS('BALANCE 2024'!$H:$H,'BALANCE 2024'!$A:$A,A65)/HYPOTHESES!$C$46),IF(C65="RJ",IF(HYPOTHESES!$C$47=0,0,HYPOTHESES!E$47*SUMIFS('BALANCE 2024'!$H:$H,'BALANCE 2024'!$A:$A,A65)/HYPOTHESES!$C$47),IF(C65="RK",IF(HYPOTHESES!$C$48=0,0,HYPOTHESES!E$48*SUMIFS('BALANCE 2024'!$H:$H,'BALANCE 2024'!$A:$A,A65)/HYPOTHESES!$C$48),0)))))),MAX(0,D65-E65)),0)</f>
        <v>1744538</v>
      </c>
      <c r="I65" s="20" t="n">
        <v>0</v>
      </c>
      <c r="J6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6" customFormat="false" ht="15" hidden="false" customHeight="false" outlineLevel="0" collapsed="false">
      <c r="A66" s="30" t="n">
        <v>618300</v>
      </c>
      <c r="B66" s="12" t="s">
        <v>318</v>
      </c>
      <c r="C66" s="13" t="s">
        <v>316</v>
      </c>
      <c r="D66" s="15" t="n">
        <f aca="false">IF(LEFT(A66,1)&gt;="6",0,SUMIFS('BALANCE 2025'!$H:$H,'BALANCE 2025'!$A:$A,A66))</f>
        <v>0</v>
      </c>
      <c r="E66" s="15" t="n">
        <f aca="false">IF(LEFT(A66,1)&gt;="6",0,SUMIFS('BALANCE 2025'!$I:$I,'BALANCE 2025'!$A:$A,A66))</f>
        <v>0</v>
      </c>
      <c r="F66" s="20" t="n">
        <f aca="false">MAX(0,(H66-I66)-(D66-E66))</f>
        <v>2403973</v>
      </c>
      <c r="G66" s="20" t="n">
        <f aca="false">MAX(0,(D66-E66)-(H66-I66))</f>
        <v>0</v>
      </c>
      <c r="H66" s="15" t="n">
        <f aca="false">ROUND(IF(HYPOTHESES!$C$44=0,0,HYPOTHESES!E$44-SUMPRODUCT((T_BAL_2026[Poste]="RG")*(T_BAL_2026[Compte]&lt;&gt;618300)*ROUND(HYPOTHESES!E$44*SUMIFS('BALANCE 2024'!$H:$H,'BALANCE 2024'!$A:$A,T_BAL_2026[Compte])/HYPOTHESES!$C$44,0))),0)</f>
        <v>2403973</v>
      </c>
      <c r="I66" s="20" t="n">
        <v>0</v>
      </c>
      <c r="J6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7" customFormat="false" ht="15" hidden="false" customHeight="false" outlineLevel="0" collapsed="false">
      <c r="A67" s="30" t="n">
        <v>622200</v>
      </c>
      <c r="B67" s="12" t="s">
        <v>319</v>
      </c>
      <c r="C67" s="13" t="s">
        <v>320</v>
      </c>
      <c r="D67" s="15" t="n">
        <f aca="false">IF(LEFT(A67,1)&gt;="6",0,SUMIFS('BALANCE 2025'!$H:$H,'BALANCE 2025'!$A:$A,A67))</f>
        <v>0</v>
      </c>
      <c r="E67" s="15" t="n">
        <f aca="false">IF(LEFT(A67,1)&gt;="6",0,SUMIFS('BALANCE 2025'!$I:$I,'BALANCE 2025'!$A:$A,A67))</f>
        <v>0</v>
      </c>
      <c r="F67" s="20" t="n">
        <f aca="false">MAX(0,(H67-I67)-(D67-E67))</f>
        <v>18689049</v>
      </c>
      <c r="G67" s="20" t="n">
        <f aca="false">MAX(0,(D67-E67)-(H67-I67))</f>
        <v>0</v>
      </c>
      <c r="H67" s="15" t="n">
        <f aca="false">ROUND(IF(LEFT(A67,1)&gt;="6",IF(C67="RE",IF(HYPOTHESES!$C$43=0,0,HYPOTHESES!E$43*SUMIFS('BALANCE 2024'!$H:$H,'BALANCE 2024'!$A:$A,A67)/HYPOTHESES!$C$43),IF(C67="RG",IF(HYPOTHESES!$C$44=0,0,HYPOTHESES!E$44*SUMIFS('BALANCE 2024'!$H:$H,'BALANCE 2024'!$A:$A,A67)/HYPOTHESES!$C$44),IF(C67="RH",IF(HYPOTHESES!$C$45=0,0,HYPOTHESES!E$45*SUMIFS('BALANCE 2024'!$H:$H,'BALANCE 2024'!$A:$A,A67)/HYPOTHESES!$C$45),IF(C67="RI",IF(HYPOTHESES!$C$46=0,0,HYPOTHESES!E$46*SUMIFS('BALANCE 2024'!$H:$H,'BALANCE 2024'!$A:$A,A67)/HYPOTHESES!$C$46),IF(C67="RJ",IF(HYPOTHESES!$C$47=0,0,HYPOTHESES!E$47*SUMIFS('BALANCE 2024'!$H:$H,'BALANCE 2024'!$A:$A,A67)/HYPOTHESES!$C$47),IF(C67="RK",IF(HYPOTHESES!$C$48=0,0,HYPOTHESES!E$48*SUMIFS('BALANCE 2024'!$H:$H,'BALANCE 2024'!$A:$A,A67)/HYPOTHESES!$C$48),0)))))),MAX(0,D67-E67)),0)</f>
        <v>18689049</v>
      </c>
      <c r="I67" s="20" t="n">
        <v>0</v>
      </c>
      <c r="J6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8" customFormat="false" ht="15" hidden="false" customHeight="false" outlineLevel="0" collapsed="false">
      <c r="A68" s="30" t="n">
        <v>624200</v>
      </c>
      <c r="B68" s="12" t="s">
        <v>321</v>
      </c>
      <c r="C68" s="13" t="s">
        <v>320</v>
      </c>
      <c r="D68" s="15" t="n">
        <f aca="false">IF(LEFT(A68,1)&gt;="6",0,SUMIFS('BALANCE 2025'!$H:$H,'BALANCE 2025'!$A:$A,A68))</f>
        <v>0</v>
      </c>
      <c r="E68" s="15" t="n">
        <f aca="false">IF(LEFT(A68,1)&gt;="6",0,SUMIFS('BALANCE 2025'!$I:$I,'BALANCE 2025'!$A:$A,A68))</f>
        <v>0</v>
      </c>
      <c r="F68" s="20" t="n">
        <f aca="false">MAX(0,(H68-I68)-(D68-E68))</f>
        <v>38426632</v>
      </c>
      <c r="G68" s="20" t="n">
        <f aca="false">MAX(0,(D68-E68)-(H68-I68))</f>
        <v>0</v>
      </c>
      <c r="H68" s="15" t="n">
        <f aca="false">ROUND(IF(HYPOTHESES!$C$45=0,0,HYPOTHESES!E$45-SUMPRODUCT((T_BAL_2026[Poste]="RH")*(T_BAL_2026[Compte]&lt;&gt;624200)*ROUND(HYPOTHESES!E$45*SUMIFS('BALANCE 2024'!$H:$H,'BALANCE 2024'!$A:$A,T_BAL_2026[Compte])/HYPOTHESES!$C$45,0))),0)</f>
        <v>38426632</v>
      </c>
      <c r="I68" s="20" t="n">
        <v>0</v>
      </c>
      <c r="J6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69" customFormat="false" ht="15" hidden="false" customHeight="false" outlineLevel="0" collapsed="false">
      <c r="A69" s="30" t="n">
        <v>625800</v>
      </c>
      <c r="B69" s="12" t="s">
        <v>322</v>
      </c>
      <c r="C69" s="13" t="s">
        <v>320</v>
      </c>
      <c r="D69" s="15" t="n">
        <f aca="false">IF(LEFT(A69,1)&gt;="6",0,SUMIFS('BALANCE 2025'!$H:$H,'BALANCE 2025'!$A:$A,A69))</f>
        <v>0</v>
      </c>
      <c r="E69" s="15" t="n">
        <f aca="false">IF(LEFT(A69,1)&gt;="6",0,SUMIFS('BALANCE 2025'!$I:$I,'BALANCE 2025'!$A:$A,A69))</f>
        <v>0</v>
      </c>
      <c r="F69" s="20" t="n">
        <f aca="false">MAX(0,(H69-I69)-(D69-E69))</f>
        <v>5156343</v>
      </c>
      <c r="G69" s="20" t="n">
        <f aca="false">MAX(0,(D69-E69)-(H69-I69))</f>
        <v>0</v>
      </c>
      <c r="H69" s="15" t="n">
        <f aca="false">ROUND(IF(LEFT(A69,1)&gt;="6",IF(C69="RE",IF(HYPOTHESES!$C$43=0,0,HYPOTHESES!E$43*SUMIFS('BALANCE 2024'!$H:$H,'BALANCE 2024'!$A:$A,A69)/HYPOTHESES!$C$43),IF(C69="RG",IF(HYPOTHESES!$C$44=0,0,HYPOTHESES!E$44*SUMIFS('BALANCE 2024'!$H:$H,'BALANCE 2024'!$A:$A,A69)/HYPOTHESES!$C$44),IF(C69="RH",IF(HYPOTHESES!$C$45=0,0,HYPOTHESES!E$45*SUMIFS('BALANCE 2024'!$H:$H,'BALANCE 2024'!$A:$A,A69)/HYPOTHESES!$C$45),IF(C69="RI",IF(HYPOTHESES!$C$46=0,0,HYPOTHESES!E$46*SUMIFS('BALANCE 2024'!$H:$H,'BALANCE 2024'!$A:$A,A69)/HYPOTHESES!$C$46),IF(C69="RJ",IF(HYPOTHESES!$C$47=0,0,HYPOTHESES!E$47*SUMIFS('BALANCE 2024'!$H:$H,'BALANCE 2024'!$A:$A,A69)/HYPOTHESES!$C$47),IF(C69="RK",IF(HYPOTHESES!$C$48=0,0,HYPOTHESES!E$48*SUMIFS('BALANCE 2024'!$H:$H,'BALANCE 2024'!$A:$A,A69)/HYPOTHESES!$C$48),0)))))),MAX(0,D69-E69)),0)</f>
        <v>5156343</v>
      </c>
      <c r="I69" s="20" t="n">
        <v>0</v>
      </c>
      <c r="J6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0" customFormat="false" ht="15" hidden="false" customHeight="false" outlineLevel="0" collapsed="false">
      <c r="A70" s="30" t="n">
        <v>626600</v>
      </c>
      <c r="B70" s="12" t="s">
        <v>323</v>
      </c>
      <c r="C70" s="13" t="s">
        <v>320</v>
      </c>
      <c r="D70" s="15" t="n">
        <f aca="false">IF(LEFT(A70,1)&gt;="6",0,SUMIFS('BALANCE 2025'!$H:$H,'BALANCE 2025'!$A:$A,A70))</f>
        <v>0</v>
      </c>
      <c r="E70" s="15" t="n">
        <f aca="false">IF(LEFT(A70,1)&gt;="6",0,SUMIFS('BALANCE 2025'!$I:$I,'BALANCE 2025'!$A:$A,A70))</f>
        <v>0</v>
      </c>
      <c r="F70" s="20" t="n">
        <f aca="false">MAX(0,(H70-I70)-(D70-E70))</f>
        <v>35951</v>
      </c>
      <c r="G70" s="20" t="n">
        <f aca="false">MAX(0,(D70-E70)-(H70-I70))</f>
        <v>0</v>
      </c>
      <c r="H70" s="15" t="n">
        <f aca="false">ROUND(IF(LEFT(A70,1)&gt;="6",IF(C70="RE",IF(HYPOTHESES!$C$43=0,0,HYPOTHESES!E$43*SUMIFS('BALANCE 2024'!$H:$H,'BALANCE 2024'!$A:$A,A70)/HYPOTHESES!$C$43),IF(C70="RG",IF(HYPOTHESES!$C$44=0,0,HYPOTHESES!E$44*SUMIFS('BALANCE 2024'!$H:$H,'BALANCE 2024'!$A:$A,A70)/HYPOTHESES!$C$44),IF(C70="RH",IF(HYPOTHESES!$C$45=0,0,HYPOTHESES!E$45*SUMIFS('BALANCE 2024'!$H:$H,'BALANCE 2024'!$A:$A,A70)/HYPOTHESES!$C$45),IF(C70="RI",IF(HYPOTHESES!$C$46=0,0,HYPOTHESES!E$46*SUMIFS('BALANCE 2024'!$H:$H,'BALANCE 2024'!$A:$A,A70)/HYPOTHESES!$C$46),IF(C70="RJ",IF(HYPOTHESES!$C$47=0,0,HYPOTHESES!E$47*SUMIFS('BALANCE 2024'!$H:$H,'BALANCE 2024'!$A:$A,A70)/HYPOTHESES!$C$47),IF(C70="RK",IF(HYPOTHESES!$C$48=0,0,HYPOTHESES!E$48*SUMIFS('BALANCE 2024'!$H:$H,'BALANCE 2024'!$A:$A,A70)/HYPOTHESES!$C$48),0)))))),MAX(0,D70-E70)),0)</f>
        <v>35951</v>
      </c>
      <c r="I70" s="20" t="n">
        <v>0</v>
      </c>
      <c r="J7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1" customFormat="false" ht="15" hidden="false" customHeight="false" outlineLevel="0" collapsed="false">
      <c r="A71" s="30" t="n">
        <v>627700</v>
      </c>
      <c r="B71" s="12" t="s">
        <v>324</v>
      </c>
      <c r="C71" s="13" t="s">
        <v>320</v>
      </c>
      <c r="D71" s="15" t="n">
        <f aca="false">IF(LEFT(A71,1)&gt;="6",0,SUMIFS('BALANCE 2025'!$H:$H,'BALANCE 2025'!$A:$A,A71))</f>
        <v>0</v>
      </c>
      <c r="E71" s="15" t="n">
        <f aca="false">IF(LEFT(A71,1)&gt;="6",0,SUMIFS('BALANCE 2025'!$I:$I,'BALANCE 2025'!$A:$A,A71))</f>
        <v>0</v>
      </c>
      <c r="F71" s="20" t="n">
        <f aca="false">MAX(0,(H71-I71)-(D71-E71))</f>
        <v>65723</v>
      </c>
      <c r="G71" s="20" t="n">
        <f aca="false">MAX(0,(D71-E71)-(H71-I71))</f>
        <v>0</v>
      </c>
      <c r="H71" s="15" t="n">
        <f aca="false">ROUND(IF(LEFT(A71,1)&gt;="6",IF(C71="RE",IF(HYPOTHESES!$C$43=0,0,HYPOTHESES!E$43*SUMIFS('BALANCE 2024'!$H:$H,'BALANCE 2024'!$A:$A,A71)/HYPOTHESES!$C$43),IF(C71="RG",IF(HYPOTHESES!$C$44=0,0,HYPOTHESES!E$44*SUMIFS('BALANCE 2024'!$H:$H,'BALANCE 2024'!$A:$A,A71)/HYPOTHESES!$C$44),IF(C71="RH",IF(HYPOTHESES!$C$45=0,0,HYPOTHESES!E$45*SUMIFS('BALANCE 2024'!$H:$H,'BALANCE 2024'!$A:$A,A71)/HYPOTHESES!$C$45),IF(C71="RI",IF(HYPOTHESES!$C$46=0,0,HYPOTHESES!E$46*SUMIFS('BALANCE 2024'!$H:$H,'BALANCE 2024'!$A:$A,A71)/HYPOTHESES!$C$46),IF(C71="RJ",IF(HYPOTHESES!$C$47=0,0,HYPOTHESES!E$47*SUMIFS('BALANCE 2024'!$H:$H,'BALANCE 2024'!$A:$A,A71)/HYPOTHESES!$C$47),IF(C71="RK",IF(HYPOTHESES!$C$48=0,0,HYPOTHESES!E$48*SUMIFS('BALANCE 2024'!$H:$H,'BALANCE 2024'!$A:$A,A71)/HYPOTHESES!$C$48),0)))))),MAX(0,D71-E71)),0)</f>
        <v>65723</v>
      </c>
      <c r="I71" s="20" t="n">
        <v>0</v>
      </c>
      <c r="J7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2" customFormat="false" ht="15" hidden="false" customHeight="false" outlineLevel="0" collapsed="false">
      <c r="A72" s="30" t="n">
        <v>628800</v>
      </c>
      <c r="B72" s="12" t="s">
        <v>325</v>
      </c>
      <c r="C72" s="13" t="s">
        <v>320</v>
      </c>
      <c r="D72" s="15" t="n">
        <f aca="false">IF(LEFT(A72,1)&gt;="6",0,SUMIFS('BALANCE 2025'!$H:$H,'BALANCE 2025'!$A:$A,A72))</f>
        <v>0</v>
      </c>
      <c r="E72" s="15" t="n">
        <f aca="false">IF(LEFT(A72,1)&gt;="6",0,SUMIFS('BALANCE 2025'!$I:$I,'BALANCE 2025'!$A:$A,A72))</f>
        <v>0</v>
      </c>
      <c r="F72" s="20" t="n">
        <f aca="false">MAX(0,(H72-I72)-(D72-E72))</f>
        <v>892086</v>
      </c>
      <c r="G72" s="20" t="n">
        <f aca="false">MAX(0,(D72-E72)-(H72-I72))</f>
        <v>0</v>
      </c>
      <c r="H72" s="15" t="n">
        <f aca="false">ROUND(IF(LEFT(A72,1)&gt;="6",IF(C72="RE",IF(HYPOTHESES!$C$43=0,0,HYPOTHESES!E$43*SUMIFS('BALANCE 2024'!$H:$H,'BALANCE 2024'!$A:$A,A72)/HYPOTHESES!$C$43),IF(C72="RG",IF(HYPOTHESES!$C$44=0,0,HYPOTHESES!E$44*SUMIFS('BALANCE 2024'!$H:$H,'BALANCE 2024'!$A:$A,A72)/HYPOTHESES!$C$44),IF(C72="RH",IF(HYPOTHESES!$C$45=0,0,HYPOTHESES!E$45*SUMIFS('BALANCE 2024'!$H:$H,'BALANCE 2024'!$A:$A,A72)/HYPOTHESES!$C$45),IF(C72="RI",IF(HYPOTHESES!$C$46=0,0,HYPOTHESES!E$46*SUMIFS('BALANCE 2024'!$H:$H,'BALANCE 2024'!$A:$A,A72)/HYPOTHESES!$C$46),IF(C72="RJ",IF(HYPOTHESES!$C$47=0,0,HYPOTHESES!E$47*SUMIFS('BALANCE 2024'!$H:$H,'BALANCE 2024'!$A:$A,A72)/HYPOTHESES!$C$47),IF(C72="RK",IF(HYPOTHESES!$C$48=0,0,HYPOTHESES!E$48*SUMIFS('BALANCE 2024'!$H:$H,'BALANCE 2024'!$A:$A,A72)/HYPOTHESES!$C$48),0)))))),MAX(0,D72-E72)),0)</f>
        <v>892086</v>
      </c>
      <c r="I72" s="20" t="n">
        <v>0</v>
      </c>
      <c r="J7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3" customFormat="false" ht="15" hidden="false" customHeight="false" outlineLevel="0" collapsed="false">
      <c r="A73" s="30" t="n">
        <v>631800</v>
      </c>
      <c r="B73" s="12" t="s">
        <v>326</v>
      </c>
      <c r="C73" s="13" t="s">
        <v>320</v>
      </c>
      <c r="D73" s="15" t="n">
        <f aca="false">IF(LEFT(A73,1)&gt;="6",0,SUMIFS('BALANCE 2025'!$H:$H,'BALANCE 2025'!$A:$A,A73))</f>
        <v>0</v>
      </c>
      <c r="E73" s="15" t="n">
        <f aca="false">IF(LEFT(A73,1)&gt;="6",0,SUMIFS('BALANCE 2025'!$I:$I,'BALANCE 2025'!$A:$A,A73))</f>
        <v>0</v>
      </c>
      <c r="F73" s="20" t="n">
        <f aca="false">MAX(0,(H73-I73)-(D73-E73))</f>
        <v>25379403</v>
      </c>
      <c r="G73" s="20" t="n">
        <f aca="false">MAX(0,(D73-E73)-(H73-I73))</f>
        <v>0</v>
      </c>
      <c r="H73" s="15" t="n">
        <f aca="false">ROUND(IF(LEFT(A73,1)&gt;="6",IF(C73="RE",IF(HYPOTHESES!$C$43=0,0,HYPOTHESES!E$43*SUMIFS('BALANCE 2024'!$H:$H,'BALANCE 2024'!$A:$A,A73)/HYPOTHESES!$C$43),IF(C73="RG",IF(HYPOTHESES!$C$44=0,0,HYPOTHESES!E$44*SUMIFS('BALANCE 2024'!$H:$H,'BALANCE 2024'!$A:$A,A73)/HYPOTHESES!$C$44),IF(C73="RH",IF(HYPOTHESES!$C$45=0,0,HYPOTHESES!E$45*SUMIFS('BALANCE 2024'!$H:$H,'BALANCE 2024'!$A:$A,A73)/HYPOTHESES!$C$45),IF(C73="RI",IF(HYPOTHESES!$C$46=0,0,HYPOTHESES!E$46*SUMIFS('BALANCE 2024'!$H:$H,'BALANCE 2024'!$A:$A,A73)/HYPOTHESES!$C$46),IF(C73="RJ",IF(HYPOTHESES!$C$47=0,0,HYPOTHESES!E$47*SUMIFS('BALANCE 2024'!$H:$H,'BALANCE 2024'!$A:$A,A73)/HYPOTHESES!$C$47),IF(C73="RK",IF(HYPOTHESES!$C$48=0,0,HYPOTHESES!E$48*SUMIFS('BALANCE 2024'!$H:$H,'BALANCE 2024'!$A:$A,A73)/HYPOTHESES!$C$48),0)))))),MAX(0,D73-E73)),0)</f>
        <v>25379403</v>
      </c>
      <c r="I73" s="20" t="n">
        <v>0</v>
      </c>
      <c r="J7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4" customFormat="false" ht="15" hidden="false" customHeight="false" outlineLevel="0" collapsed="false">
      <c r="A74" s="30" t="n">
        <v>632800</v>
      </c>
      <c r="B74" s="12" t="s">
        <v>327</v>
      </c>
      <c r="C74" s="13" t="s">
        <v>320</v>
      </c>
      <c r="D74" s="15" t="n">
        <f aca="false">IF(LEFT(A74,1)&gt;="6",0,SUMIFS('BALANCE 2025'!$H:$H,'BALANCE 2025'!$A:$A,A74))</f>
        <v>0</v>
      </c>
      <c r="E74" s="15" t="n">
        <f aca="false">IF(LEFT(A74,1)&gt;="6",0,SUMIFS('BALANCE 2025'!$I:$I,'BALANCE 2025'!$A:$A,A74))</f>
        <v>0</v>
      </c>
      <c r="F74" s="20" t="n">
        <f aca="false">MAX(0,(H74-I74)-(D74-E74))</f>
        <v>5339905</v>
      </c>
      <c r="G74" s="20" t="n">
        <f aca="false">MAX(0,(D74-E74)-(H74-I74))</f>
        <v>0</v>
      </c>
      <c r="H74" s="15" t="n">
        <f aca="false">ROUND(IF(LEFT(A74,1)&gt;="6",IF(C74="RE",IF(HYPOTHESES!$C$43=0,0,HYPOTHESES!E$43*SUMIFS('BALANCE 2024'!$H:$H,'BALANCE 2024'!$A:$A,A74)/HYPOTHESES!$C$43),IF(C74="RG",IF(HYPOTHESES!$C$44=0,0,HYPOTHESES!E$44*SUMIFS('BALANCE 2024'!$H:$H,'BALANCE 2024'!$A:$A,A74)/HYPOTHESES!$C$44),IF(C74="RH",IF(HYPOTHESES!$C$45=0,0,HYPOTHESES!E$45*SUMIFS('BALANCE 2024'!$H:$H,'BALANCE 2024'!$A:$A,A74)/HYPOTHESES!$C$45),IF(C74="RI",IF(HYPOTHESES!$C$46=0,0,HYPOTHESES!E$46*SUMIFS('BALANCE 2024'!$H:$H,'BALANCE 2024'!$A:$A,A74)/HYPOTHESES!$C$46),IF(C74="RJ",IF(HYPOTHESES!$C$47=0,0,HYPOTHESES!E$47*SUMIFS('BALANCE 2024'!$H:$H,'BALANCE 2024'!$A:$A,A74)/HYPOTHESES!$C$47),IF(C74="RK",IF(HYPOTHESES!$C$48=0,0,HYPOTHESES!E$48*SUMIFS('BALANCE 2024'!$H:$H,'BALANCE 2024'!$A:$A,A74)/HYPOTHESES!$C$48),0)))))),MAX(0,D74-E74)),0)</f>
        <v>5339905</v>
      </c>
      <c r="I74" s="20" t="n">
        <v>0</v>
      </c>
      <c r="J7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5" customFormat="false" ht="15" hidden="false" customHeight="false" outlineLevel="0" collapsed="false">
      <c r="A75" s="30" t="n">
        <v>638800</v>
      </c>
      <c r="B75" s="12" t="s">
        <v>328</v>
      </c>
      <c r="C75" s="13" t="s">
        <v>320</v>
      </c>
      <c r="D75" s="15" t="n">
        <f aca="false">IF(LEFT(A75,1)&gt;="6",0,SUMIFS('BALANCE 2025'!$H:$H,'BALANCE 2025'!$A:$A,A75))</f>
        <v>0</v>
      </c>
      <c r="E75" s="15" t="n">
        <f aca="false">IF(LEFT(A75,1)&gt;="6",0,SUMIFS('BALANCE 2025'!$I:$I,'BALANCE 2025'!$A:$A,A75))</f>
        <v>0</v>
      </c>
      <c r="F75" s="20" t="n">
        <f aca="false">MAX(0,(H75-I75)-(D75-E75))</f>
        <v>25966920</v>
      </c>
      <c r="G75" s="20" t="n">
        <f aca="false">MAX(0,(D75-E75)-(H75-I75))</f>
        <v>0</v>
      </c>
      <c r="H75" s="15" t="n">
        <f aca="false">ROUND(IF(LEFT(A75,1)&gt;="6",IF(C75="RE",IF(HYPOTHESES!$C$43=0,0,HYPOTHESES!E$43*SUMIFS('BALANCE 2024'!$H:$H,'BALANCE 2024'!$A:$A,A75)/HYPOTHESES!$C$43),IF(C75="RG",IF(HYPOTHESES!$C$44=0,0,HYPOTHESES!E$44*SUMIFS('BALANCE 2024'!$H:$H,'BALANCE 2024'!$A:$A,A75)/HYPOTHESES!$C$44),IF(C75="RH",IF(HYPOTHESES!$C$45=0,0,HYPOTHESES!E$45*SUMIFS('BALANCE 2024'!$H:$H,'BALANCE 2024'!$A:$A,A75)/HYPOTHESES!$C$45),IF(C75="RI",IF(HYPOTHESES!$C$46=0,0,HYPOTHESES!E$46*SUMIFS('BALANCE 2024'!$H:$H,'BALANCE 2024'!$A:$A,A75)/HYPOTHESES!$C$46),IF(C75="RJ",IF(HYPOTHESES!$C$47=0,0,HYPOTHESES!E$47*SUMIFS('BALANCE 2024'!$H:$H,'BALANCE 2024'!$A:$A,A75)/HYPOTHESES!$C$47),IF(C75="RK",IF(HYPOTHESES!$C$48=0,0,HYPOTHESES!E$48*SUMIFS('BALANCE 2024'!$H:$H,'BALANCE 2024'!$A:$A,A75)/HYPOTHESES!$C$48),0)))))),MAX(0,D75-E75)),0)</f>
        <v>25966920</v>
      </c>
      <c r="I75" s="20" t="n">
        <v>0</v>
      </c>
      <c r="J7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6" customFormat="false" ht="15" hidden="false" customHeight="false" outlineLevel="0" collapsed="false">
      <c r="A76" s="30" t="n">
        <v>641100</v>
      </c>
      <c r="B76" s="12" t="s">
        <v>329</v>
      </c>
      <c r="C76" s="13" t="s">
        <v>330</v>
      </c>
      <c r="D76" s="15" t="n">
        <f aca="false">IF(LEFT(A76,1)&gt;="6",0,SUMIFS('BALANCE 2025'!$H:$H,'BALANCE 2025'!$A:$A,A76))</f>
        <v>0</v>
      </c>
      <c r="E76" s="15" t="n">
        <f aca="false">IF(LEFT(A76,1)&gt;="6",0,SUMIFS('BALANCE 2025'!$I:$I,'BALANCE 2025'!$A:$A,A76))</f>
        <v>0</v>
      </c>
      <c r="F76" s="20" t="n">
        <f aca="false">MAX(0,(H76-I76)-(D76-E76))</f>
        <v>404245</v>
      </c>
      <c r="G76" s="20" t="n">
        <f aca="false">MAX(0,(D76-E76)-(H76-I76))</f>
        <v>0</v>
      </c>
      <c r="H76" s="15" t="n">
        <f aca="false">ROUND(IF(LEFT(A76,1)&gt;="6",IF(C76="RE",IF(HYPOTHESES!$C$43=0,0,HYPOTHESES!E$43*SUMIFS('BALANCE 2024'!$H:$H,'BALANCE 2024'!$A:$A,A76)/HYPOTHESES!$C$43),IF(C76="RG",IF(HYPOTHESES!$C$44=0,0,HYPOTHESES!E$44*SUMIFS('BALANCE 2024'!$H:$H,'BALANCE 2024'!$A:$A,A76)/HYPOTHESES!$C$44),IF(C76="RH",IF(HYPOTHESES!$C$45=0,0,HYPOTHESES!E$45*SUMIFS('BALANCE 2024'!$H:$H,'BALANCE 2024'!$A:$A,A76)/HYPOTHESES!$C$45),IF(C76="RI",IF(HYPOTHESES!$C$46=0,0,HYPOTHESES!E$46*SUMIFS('BALANCE 2024'!$H:$H,'BALANCE 2024'!$A:$A,A76)/HYPOTHESES!$C$46),IF(C76="RJ",IF(HYPOTHESES!$C$47=0,0,HYPOTHESES!E$47*SUMIFS('BALANCE 2024'!$H:$H,'BALANCE 2024'!$A:$A,A76)/HYPOTHESES!$C$47),IF(C76="RK",IF(HYPOTHESES!$C$48=0,0,HYPOTHESES!E$48*SUMIFS('BALANCE 2024'!$H:$H,'BALANCE 2024'!$A:$A,A76)/HYPOTHESES!$C$48),0)))))),MAX(0,D76-E76)),0)</f>
        <v>404245</v>
      </c>
      <c r="I76" s="20" t="n">
        <v>0</v>
      </c>
      <c r="J7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7" customFormat="false" ht="15" hidden="false" customHeight="false" outlineLevel="0" collapsed="false">
      <c r="A77" s="30" t="n">
        <v>641201</v>
      </c>
      <c r="B77" s="12" t="s">
        <v>331</v>
      </c>
      <c r="C77" s="13" t="s">
        <v>330</v>
      </c>
      <c r="D77" s="15" t="n">
        <f aca="false">IF(LEFT(A77,1)&gt;="6",0,SUMIFS('BALANCE 2025'!$H:$H,'BALANCE 2025'!$A:$A,A77))</f>
        <v>0</v>
      </c>
      <c r="E77" s="15" t="n">
        <f aca="false">IF(LEFT(A77,1)&gt;="6",0,SUMIFS('BALANCE 2025'!$I:$I,'BALANCE 2025'!$A:$A,A77))</f>
        <v>0</v>
      </c>
      <c r="F77" s="20" t="n">
        <f aca="false">MAX(0,(H77-I77)-(D77-E77))</f>
        <v>10168034</v>
      </c>
      <c r="G77" s="20" t="n">
        <f aca="false">MAX(0,(D77-E77)-(H77-I77))</f>
        <v>0</v>
      </c>
      <c r="H77" s="15" t="n">
        <f aca="false">ROUND(IF(HYPOTHESES!$C$46=0,0,HYPOTHESES!E$46-SUMPRODUCT((T_BAL_2026[Poste]="RI")*(T_BAL_2026[Compte]&lt;&gt;641201)*ROUND(HYPOTHESES!E$46*SUMIFS('BALANCE 2024'!$H:$H,'BALANCE 2024'!$A:$A,T_BAL_2026[Compte])/HYPOTHESES!$C$46,0))),0)</f>
        <v>10168034</v>
      </c>
      <c r="I77" s="20" t="n">
        <v>0</v>
      </c>
      <c r="J7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8" customFormat="false" ht="15" hidden="false" customHeight="false" outlineLevel="0" collapsed="false">
      <c r="A78" s="30" t="n">
        <v>641202</v>
      </c>
      <c r="B78" s="12" t="s">
        <v>332</v>
      </c>
      <c r="C78" s="13" t="s">
        <v>330</v>
      </c>
      <c r="D78" s="15" t="n">
        <f aca="false">IF(LEFT(A78,1)&gt;="6",0,SUMIFS('BALANCE 2025'!$H:$H,'BALANCE 2025'!$A:$A,A78))</f>
        <v>0</v>
      </c>
      <c r="E78" s="15" t="n">
        <f aca="false">IF(LEFT(A78,1)&gt;="6",0,SUMIFS('BALANCE 2025'!$I:$I,'BALANCE 2025'!$A:$A,A78))</f>
        <v>0</v>
      </c>
      <c r="F78" s="20" t="n">
        <f aca="false">MAX(0,(H78-I78)-(D78-E78))</f>
        <v>1739034</v>
      </c>
      <c r="G78" s="20" t="n">
        <f aca="false">MAX(0,(D78-E78)-(H78-I78))</f>
        <v>0</v>
      </c>
      <c r="H78" s="15" t="n">
        <f aca="false">ROUND(IF(LEFT(A78,1)&gt;="6",IF(C78="RE",IF(HYPOTHESES!$C$43=0,0,HYPOTHESES!E$43*SUMIFS('BALANCE 2024'!$H:$H,'BALANCE 2024'!$A:$A,A78)/HYPOTHESES!$C$43),IF(C78="RG",IF(HYPOTHESES!$C$44=0,0,HYPOTHESES!E$44*SUMIFS('BALANCE 2024'!$H:$H,'BALANCE 2024'!$A:$A,A78)/HYPOTHESES!$C$44),IF(C78="RH",IF(HYPOTHESES!$C$45=0,0,HYPOTHESES!E$45*SUMIFS('BALANCE 2024'!$H:$H,'BALANCE 2024'!$A:$A,A78)/HYPOTHESES!$C$45),IF(C78="RI",IF(HYPOTHESES!$C$46=0,0,HYPOTHESES!E$46*SUMIFS('BALANCE 2024'!$H:$H,'BALANCE 2024'!$A:$A,A78)/HYPOTHESES!$C$46),IF(C78="RJ",IF(HYPOTHESES!$C$47=0,0,HYPOTHESES!E$47*SUMIFS('BALANCE 2024'!$H:$H,'BALANCE 2024'!$A:$A,A78)/HYPOTHESES!$C$47),IF(C78="RK",IF(HYPOTHESES!$C$48=0,0,HYPOTHESES!E$48*SUMIFS('BALANCE 2024'!$H:$H,'BALANCE 2024'!$A:$A,A78)/HYPOTHESES!$C$48),0)))))),MAX(0,D78-E78)),0)</f>
        <v>1739034</v>
      </c>
      <c r="I78" s="20" t="n">
        <v>0</v>
      </c>
      <c r="J7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79" customFormat="false" ht="15" hidden="false" customHeight="false" outlineLevel="0" collapsed="false">
      <c r="A79" s="30" t="n">
        <v>641300</v>
      </c>
      <c r="B79" s="12" t="s">
        <v>333</v>
      </c>
      <c r="C79" s="13" t="s">
        <v>330</v>
      </c>
      <c r="D79" s="15" t="n">
        <f aca="false">IF(LEFT(A79,1)&gt;="6",0,SUMIFS('BALANCE 2025'!$H:$H,'BALANCE 2025'!$A:$A,A79))</f>
        <v>0</v>
      </c>
      <c r="E79" s="15" t="n">
        <f aca="false">IF(LEFT(A79,1)&gt;="6",0,SUMIFS('BALANCE 2025'!$I:$I,'BALANCE 2025'!$A:$A,A79))</f>
        <v>0</v>
      </c>
      <c r="F79" s="20" t="n">
        <f aca="false">MAX(0,(H79-I79)-(D79-E79))</f>
        <v>928163</v>
      </c>
      <c r="G79" s="20" t="n">
        <f aca="false">MAX(0,(D79-E79)-(H79-I79))</f>
        <v>0</v>
      </c>
      <c r="H79" s="15" t="n">
        <f aca="false">ROUND(IF(LEFT(A79,1)&gt;="6",IF(C79="RE",IF(HYPOTHESES!$C$43=0,0,HYPOTHESES!E$43*SUMIFS('BALANCE 2024'!$H:$H,'BALANCE 2024'!$A:$A,A79)/HYPOTHESES!$C$43),IF(C79="RG",IF(HYPOTHESES!$C$44=0,0,HYPOTHESES!E$44*SUMIFS('BALANCE 2024'!$H:$H,'BALANCE 2024'!$A:$A,A79)/HYPOTHESES!$C$44),IF(C79="RH",IF(HYPOTHESES!$C$45=0,0,HYPOTHESES!E$45*SUMIFS('BALANCE 2024'!$H:$H,'BALANCE 2024'!$A:$A,A79)/HYPOTHESES!$C$45),IF(C79="RI",IF(HYPOTHESES!$C$46=0,0,HYPOTHESES!E$46*SUMIFS('BALANCE 2024'!$H:$H,'BALANCE 2024'!$A:$A,A79)/HYPOTHESES!$C$46),IF(C79="RJ",IF(HYPOTHESES!$C$47=0,0,HYPOTHESES!E$47*SUMIFS('BALANCE 2024'!$H:$H,'BALANCE 2024'!$A:$A,A79)/HYPOTHESES!$C$47),IF(C79="RK",IF(HYPOTHESES!$C$48=0,0,HYPOTHESES!E$48*SUMIFS('BALANCE 2024'!$H:$H,'BALANCE 2024'!$A:$A,A79)/HYPOTHESES!$C$48),0)))))),MAX(0,D79-E79)),0)</f>
        <v>928163</v>
      </c>
      <c r="I79" s="20" t="n">
        <v>0</v>
      </c>
      <c r="J7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0" customFormat="false" ht="15" hidden="false" customHeight="false" outlineLevel="0" collapsed="false">
      <c r="A80" s="30" t="n">
        <v>641400</v>
      </c>
      <c r="B80" s="12" t="s">
        <v>334</v>
      </c>
      <c r="C80" s="13" t="s">
        <v>330</v>
      </c>
      <c r="D80" s="15" t="n">
        <f aca="false">IF(LEFT(A80,1)&gt;="6",0,SUMIFS('BALANCE 2025'!$H:$H,'BALANCE 2025'!$A:$A,A80))</f>
        <v>0</v>
      </c>
      <c r="E80" s="15" t="n">
        <f aca="false">IF(LEFT(A80,1)&gt;="6",0,SUMIFS('BALANCE 2025'!$I:$I,'BALANCE 2025'!$A:$A,A80))</f>
        <v>0</v>
      </c>
      <c r="F80" s="20" t="n">
        <f aca="false">MAX(0,(H80-I80)-(D80-E80))</f>
        <v>116856</v>
      </c>
      <c r="G80" s="20" t="n">
        <f aca="false">MAX(0,(D80-E80)-(H80-I80))</f>
        <v>0</v>
      </c>
      <c r="H80" s="15" t="n">
        <f aca="false">ROUND(IF(LEFT(A80,1)&gt;="6",IF(C80="RE",IF(HYPOTHESES!$C$43=0,0,HYPOTHESES!E$43*SUMIFS('BALANCE 2024'!$H:$H,'BALANCE 2024'!$A:$A,A80)/HYPOTHESES!$C$43),IF(C80="RG",IF(HYPOTHESES!$C$44=0,0,HYPOTHESES!E$44*SUMIFS('BALANCE 2024'!$H:$H,'BALANCE 2024'!$A:$A,A80)/HYPOTHESES!$C$44),IF(C80="RH",IF(HYPOTHESES!$C$45=0,0,HYPOTHESES!E$45*SUMIFS('BALANCE 2024'!$H:$H,'BALANCE 2024'!$A:$A,A80)/HYPOTHESES!$C$45),IF(C80="RI",IF(HYPOTHESES!$C$46=0,0,HYPOTHESES!E$46*SUMIFS('BALANCE 2024'!$H:$H,'BALANCE 2024'!$A:$A,A80)/HYPOTHESES!$C$46),IF(C80="RJ",IF(HYPOTHESES!$C$47=0,0,HYPOTHESES!E$47*SUMIFS('BALANCE 2024'!$H:$H,'BALANCE 2024'!$A:$A,A80)/HYPOTHESES!$C$47),IF(C80="RK",IF(HYPOTHESES!$C$48=0,0,HYPOTHESES!E$48*SUMIFS('BALANCE 2024'!$H:$H,'BALANCE 2024'!$A:$A,A80)/HYPOTHESES!$C$48),0)))))),MAX(0,D80-E80)),0)</f>
        <v>116856</v>
      </c>
      <c r="I80" s="20" t="n">
        <v>0</v>
      </c>
      <c r="J8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1" customFormat="false" ht="15" hidden="false" customHeight="false" outlineLevel="0" collapsed="false">
      <c r="A81" s="30" t="n">
        <v>641500</v>
      </c>
      <c r="B81" s="12" t="s">
        <v>335</v>
      </c>
      <c r="C81" s="13" t="s">
        <v>330</v>
      </c>
      <c r="D81" s="15" t="n">
        <f aca="false">IF(LEFT(A81,1)&gt;="6",0,SUMIFS('BALANCE 2025'!$H:$H,'BALANCE 2025'!$A:$A,A81))</f>
        <v>0</v>
      </c>
      <c r="E81" s="15" t="n">
        <f aca="false">IF(LEFT(A81,1)&gt;="6",0,SUMIFS('BALANCE 2025'!$I:$I,'BALANCE 2025'!$A:$A,A81))</f>
        <v>0</v>
      </c>
      <c r="F81" s="20" t="n">
        <f aca="false">MAX(0,(H81-I81)-(D81-E81))</f>
        <v>350583</v>
      </c>
      <c r="G81" s="20" t="n">
        <f aca="false">MAX(0,(D81-E81)-(H81-I81))</f>
        <v>0</v>
      </c>
      <c r="H81" s="15" t="n">
        <f aca="false">ROUND(IF(LEFT(A81,1)&gt;="6",IF(C81="RE",IF(HYPOTHESES!$C$43=0,0,HYPOTHESES!E$43*SUMIFS('BALANCE 2024'!$H:$H,'BALANCE 2024'!$A:$A,A81)/HYPOTHESES!$C$43),IF(C81="RG",IF(HYPOTHESES!$C$44=0,0,HYPOTHESES!E$44*SUMIFS('BALANCE 2024'!$H:$H,'BALANCE 2024'!$A:$A,A81)/HYPOTHESES!$C$44),IF(C81="RH",IF(HYPOTHESES!$C$45=0,0,HYPOTHESES!E$45*SUMIFS('BALANCE 2024'!$H:$H,'BALANCE 2024'!$A:$A,A81)/HYPOTHESES!$C$45),IF(C81="RI",IF(HYPOTHESES!$C$46=0,0,HYPOTHESES!E$46*SUMIFS('BALANCE 2024'!$H:$H,'BALANCE 2024'!$A:$A,A81)/HYPOTHESES!$C$46),IF(C81="RJ",IF(HYPOTHESES!$C$47=0,0,HYPOTHESES!E$47*SUMIFS('BALANCE 2024'!$H:$H,'BALANCE 2024'!$A:$A,A81)/HYPOTHESES!$C$47),IF(C81="RK",IF(HYPOTHESES!$C$48=0,0,HYPOTHESES!E$48*SUMIFS('BALANCE 2024'!$H:$H,'BALANCE 2024'!$A:$A,A81)/HYPOTHESES!$C$48),0)))))),MAX(0,D81-E81)),0)</f>
        <v>350583</v>
      </c>
      <c r="I81" s="20" t="n">
        <v>0</v>
      </c>
      <c r="J8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2" customFormat="false" ht="15" hidden="false" customHeight="false" outlineLevel="0" collapsed="false">
      <c r="A82" s="30" t="n">
        <v>641830</v>
      </c>
      <c r="B82" s="12" t="s">
        <v>336</v>
      </c>
      <c r="C82" s="13" t="s">
        <v>330</v>
      </c>
      <c r="D82" s="15" t="n">
        <f aca="false">IF(LEFT(A82,1)&gt;="6",0,SUMIFS('BALANCE 2025'!$H:$H,'BALANCE 2025'!$A:$A,A82))</f>
        <v>0</v>
      </c>
      <c r="E82" s="15" t="n">
        <f aca="false">IF(LEFT(A82,1)&gt;="6",0,SUMIFS('BALANCE 2025'!$I:$I,'BALANCE 2025'!$A:$A,A82))</f>
        <v>0</v>
      </c>
      <c r="F82" s="20" t="n">
        <f aca="false">MAX(0,(H82-I82)-(D82-E82))</f>
        <v>237702</v>
      </c>
      <c r="G82" s="20" t="n">
        <f aca="false">MAX(0,(D82-E82)-(H82-I82))</f>
        <v>0</v>
      </c>
      <c r="H82" s="15" t="n">
        <f aca="false">ROUND(IF(LEFT(A82,1)&gt;="6",IF(C82="RE",IF(HYPOTHESES!$C$43=0,0,HYPOTHESES!E$43*SUMIFS('BALANCE 2024'!$H:$H,'BALANCE 2024'!$A:$A,A82)/HYPOTHESES!$C$43),IF(C82="RG",IF(HYPOTHESES!$C$44=0,0,HYPOTHESES!E$44*SUMIFS('BALANCE 2024'!$H:$H,'BALANCE 2024'!$A:$A,A82)/HYPOTHESES!$C$44),IF(C82="RH",IF(HYPOTHESES!$C$45=0,0,HYPOTHESES!E$45*SUMIFS('BALANCE 2024'!$H:$H,'BALANCE 2024'!$A:$A,A82)/HYPOTHESES!$C$45),IF(C82="RI",IF(HYPOTHESES!$C$46=0,0,HYPOTHESES!E$46*SUMIFS('BALANCE 2024'!$H:$H,'BALANCE 2024'!$A:$A,A82)/HYPOTHESES!$C$46),IF(C82="RJ",IF(HYPOTHESES!$C$47=0,0,HYPOTHESES!E$47*SUMIFS('BALANCE 2024'!$H:$H,'BALANCE 2024'!$A:$A,A82)/HYPOTHESES!$C$47),IF(C82="RK",IF(HYPOTHESES!$C$48=0,0,HYPOTHESES!E$48*SUMIFS('BALANCE 2024'!$H:$H,'BALANCE 2024'!$A:$A,A82)/HYPOTHESES!$C$48),0)))))),MAX(0,D82-E82)),0)</f>
        <v>237702</v>
      </c>
      <c r="I82" s="20" t="n">
        <v>0</v>
      </c>
      <c r="J8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3" customFormat="false" ht="15" hidden="false" customHeight="false" outlineLevel="0" collapsed="false">
      <c r="A83" s="30" t="n">
        <v>646200</v>
      </c>
      <c r="B83" s="12" t="s">
        <v>337</v>
      </c>
      <c r="C83" s="13" t="s">
        <v>330</v>
      </c>
      <c r="D83" s="15" t="n">
        <f aca="false">IF(LEFT(A83,1)&gt;="6",0,SUMIFS('BALANCE 2025'!$H:$H,'BALANCE 2025'!$A:$A,A83))</f>
        <v>0</v>
      </c>
      <c r="E83" s="15" t="n">
        <f aca="false">IF(LEFT(A83,1)&gt;="6",0,SUMIFS('BALANCE 2025'!$I:$I,'BALANCE 2025'!$A:$A,A83))</f>
        <v>0</v>
      </c>
      <c r="F83" s="20" t="n">
        <f aca="false">MAX(0,(H83-I83)-(D83-E83))</f>
        <v>1937734</v>
      </c>
      <c r="G83" s="20" t="n">
        <f aca="false">MAX(0,(D83-E83)-(H83-I83))</f>
        <v>0</v>
      </c>
      <c r="H83" s="15" t="n">
        <f aca="false">ROUND(IF(LEFT(A83,1)&gt;="6",IF(C83="RE",IF(HYPOTHESES!$C$43=0,0,HYPOTHESES!E$43*SUMIFS('BALANCE 2024'!$H:$H,'BALANCE 2024'!$A:$A,A83)/HYPOTHESES!$C$43),IF(C83="RG",IF(HYPOTHESES!$C$44=0,0,HYPOTHESES!E$44*SUMIFS('BALANCE 2024'!$H:$H,'BALANCE 2024'!$A:$A,A83)/HYPOTHESES!$C$44),IF(C83="RH",IF(HYPOTHESES!$C$45=0,0,HYPOTHESES!E$45*SUMIFS('BALANCE 2024'!$H:$H,'BALANCE 2024'!$A:$A,A83)/HYPOTHESES!$C$45),IF(C83="RI",IF(HYPOTHESES!$C$46=0,0,HYPOTHESES!E$46*SUMIFS('BALANCE 2024'!$H:$H,'BALANCE 2024'!$A:$A,A83)/HYPOTHESES!$C$46),IF(C83="RJ",IF(HYPOTHESES!$C$47=0,0,HYPOTHESES!E$47*SUMIFS('BALANCE 2024'!$H:$H,'BALANCE 2024'!$A:$A,A83)/HYPOTHESES!$C$47),IF(C83="RK",IF(HYPOTHESES!$C$48=0,0,HYPOTHESES!E$48*SUMIFS('BALANCE 2024'!$H:$H,'BALANCE 2024'!$A:$A,A83)/HYPOTHESES!$C$48),0)))))),MAX(0,D83-E83)),0)</f>
        <v>1937734</v>
      </c>
      <c r="I83" s="20" t="n">
        <v>0</v>
      </c>
      <c r="J8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4" customFormat="false" ht="15" hidden="false" customHeight="false" outlineLevel="0" collapsed="false">
      <c r="A84" s="30" t="n">
        <v>648000</v>
      </c>
      <c r="B84" s="12" t="s">
        <v>338</v>
      </c>
      <c r="C84" s="13" t="s">
        <v>330</v>
      </c>
      <c r="D84" s="15" t="n">
        <f aca="false">IF(LEFT(A84,1)&gt;="6",0,SUMIFS('BALANCE 2025'!$H:$H,'BALANCE 2025'!$A:$A,A84))</f>
        <v>0</v>
      </c>
      <c r="E84" s="15" t="n">
        <f aca="false">IF(LEFT(A84,1)&gt;="6",0,SUMIFS('BALANCE 2025'!$I:$I,'BALANCE 2025'!$A:$A,A84))</f>
        <v>0</v>
      </c>
      <c r="F84" s="20" t="n">
        <f aca="false">MAX(0,(H84-I84)-(D84-E84))</f>
        <v>814843</v>
      </c>
      <c r="G84" s="20" t="n">
        <f aca="false">MAX(0,(D84-E84)-(H84-I84))</f>
        <v>0</v>
      </c>
      <c r="H84" s="15" t="n">
        <f aca="false">ROUND(IF(LEFT(A84,1)&gt;="6",IF(C84="RE",IF(HYPOTHESES!$C$43=0,0,HYPOTHESES!E$43*SUMIFS('BALANCE 2024'!$H:$H,'BALANCE 2024'!$A:$A,A84)/HYPOTHESES!$C$43),IF(C84="RG",IF(HYPOTHESES!$C$44=0,0,HYPOTHESES!E$44*SUMIFS('BALANCE 2024'!$H:$H,'BALANCE 2024'!$A:$A,A84)/HYPOTHESES!$C$44),IF(C84="RH",IF(HYPOTHESES!$C$45=0,0,HYPOTHESES!E$45*SUMIFS('BALANCE 2024'!$H:$H,'BALANCE 2024'!$A:$A,A84)/HYPOTHESES!$C$45),IF(C84="RI",IF(HYPOTHESES!$C$46=0,0,HYPOTHESES!E$46*SUMIFS('BALANCE 2024'!$H:$H,'BALANCE 2024'!$A:$A,A84)/HYPOTHESES!$C$46),IF(C84="RJ",IF(HYPOTHESES!$C$47=0,0,HYPOTHESES!E$47*SUMIFS('BALANCE 2024'!$H:$H,'BALANCE 2024'!$A:$A,A84)/HYPOTHESES!$C$47),IF(C84="RK",IF(HYPOTHESES!$C$48=0,0,HYPOTHESES!E$48*SUMIFS('BALANCE 2024'!$H:$H,'BALANCE 2024'!$A:$A,A84)/HYPOTHESES!$C$48),0)))))),MAX(0,D84-E84)),0)</f>
        <v>814843</v>
      </c>
      <c r="I84" s="20" t="n">
        <v>0</v>
      </c>
      <c r="J8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5" customFormat="false" ht="15" hidden="false" customHeight="false" outlineLevel="0" collapsed="false">
      <c r="A85" s="30" t="n">
        <v>658800</v>
      </c>
      <c r="B85" s="12" t="s">
        <v>339</v>
      </c>
      <c r="C85" s="13" t="s">
        <v>340</v>
      </c>
      <c r="D85" s="15" t="n">
        <f aca="false">IF(LEFT(A85,1)&gt;="6",0,SUMIFS('BALANCE 2025'!$H:$H,'BALANCE 2025'!$A:$A,A85))</f>
        <v>0</v>
      </c>
      <c r="E85" s="15" t="n">
        <f aca="false">IF(LEFT(A85,1)&gt;="6",0,SUMIFS('BALANCE 2025'!$I:$I,'BALANCE 2025'!$A:$A,A85))</f>
        <v>0</v>
      </c>
      <c r="F85" s="20" t="n">
        <f aca="false">MAX(0,(H85-I85)-(D85-E85))</f>
        <v>1496447</v>
      </c>
      <c r="G85" s="20" t="n">
        <f aca="false">MAX(0,(D85-E85)-(H85-I85))</f>
        <v>0</v>
      </c>
      <c r="H85" s="15" t="n">
        <f aca="false">ROUND(IF(HYPOTHESES!$C$47=0,0,HYPOTHESES!E$47-SUMPRODUCT((T_BAL_2026[Poste]="RJ")*(T_BAL_2026[Compte]&lt;&gt;658800)*ROUND(HYPOTHESES!E$47*SUMIFS('BALANCE 2024'!$H:$H,'BALANCE 2024'!$A:$A,T_BAL_2026[Compte])/HYPOTHESES!$C$47,0))),0)</f>
        <v>1496447</v>
      </c>
      <c r="I85" s="20" t="n">
        <v>0</v>
      </c>
      <c r="J8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6" customFormat="false" ht="15" hidden="false" customHeight="false" outlineLevel="0" collapsed="false">
      <c r="A86" s="30" t="n">
        <v>661100</v>
      </c>
      <c r="B86" s="12" t="s">
        <v>341</v>
      </c>
      <c r="C86" s="13" t="s">
        <v>342</v>
      </c>
      <c r="D86" s="15" t="n">
        <f aca="false">IF(LEFT(A86,1)&gt;="6",0,SUMIFS('BALANCE 2025'!$H:$H,'BALANCE 2025'!$A:$A,A86))</f>
        <v>0</v>
      </c>
      <c r="E86" s="15" t="n">
        <f aca="false">IF(LEFT(A86,1)&gt;="6",0,SUMIFS('BALANCE 2025'!$I:$I,'BALANCE 2025'!$A:$A,A86))</f>
        <v>0</v>
      </c>
      <c r="F86" s="20" t="n">
        <f aca="false">MAX(0,(H86-I86)-(D86-E86))</f>
        <v>66244380</v>
      </c>
      <c r="G86" s="20" t="n">
        <f aca="false">MAX(0,(D86-E86)-(H86-I86))</f>
        <v>0</v>
      </c>
      <c r="H86" s="15" t="n">
        <f aca="false">ROUND(IF(HYPOTHESES!$C$48=0,0,HYPOTHESES!E$48-SUMPRODUCT((T_BAL_2026[Poste]="RK")*(T_BAL_2026[Compte]&lt;&gt;661100)*ROUND(HYPOTHESES!E$48*SUMIFS('BALANCE 2024'!$H:$H,'BALANCE 2024'!$A:$A,T_BAL_2026[Compte])/HYPOTHESES!$C$48,0))),0)</f>
        <v>66244380</v>
      </c>
      <c r="I86" s="20" t="n">
        <v>0</v>
      </c>
      <c r="J8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7" customFormat="false" ht="15" hidden="false" customHeight="false" outlineLevel="0" collapsed="false">
      <c r="A87" s="30" t="n">
        <v>661200</v>
      </c>
      <c r="B87" s="12" t="s">
        <v>343</v>
      </c>
      <c r="C87" s="13" t="s">
        <v>342</v>
      </c>
      <c r="D87" s="15" t="n">
        <f aca="false">IF(LEFT(A87,1)&gt;="6",0,SUMIFS('BALANCE 2025'!$H:$H,'BALANCE 2025'!$A:$A,A87))</f>
        <v>0</v>
      </c>
      <c r="E87" s="15" t="n">
        <f aca="false">IF(LEFT(A87,1)&gt;="6",0,SUMIFS('BALANCE 2025'!$I:$I,'BALANCE 2025'!$A:$A,A87))</f>
        <v>0</v>
      </c>
      <c r="F87" s="20" t="n">
        <f aca="false">MAX(0,(H87-I87)-(D87-E87))</f>
        <v>22393945</v>
      </c>
      <c r="G87" s="20" t="n">
        <f aca="false">MAX(0,(D87-E87)-(H87-I87))</f>
        <v>0</v>
      </c>
      <c r="H87" s="15" t="n">
        <f aca="false">ROUND(IF(LEFT(A87,1)&gt;="6",IF(C87="RE",IF(HYPOTHESES!$C$43=0,0,HYPOTHESES!E$43*SUMIFS('BALANCE 2024'!$H:$H,'BALANCE 2024'!$A:$A,A87)/HYPOTHESES!$C$43),IF(C87="RG",IF(HYPOTHESES!$C$44=0,0,HYPOTHESES!E$44*SUMIFS('BALANCE 2024'!$H:$H,'BALANCE 2024'!$A:$A,A87)/HYPOTHESES!$C$44),IF(C87="RH",IF(HYPOTHESES!$C$45=0,0,HYPOTHESES!E$45*SUMIFS('BALANCE 2024'!$H:$H,'BALANCE 2024'!$A:$A,A87)/HYPOTHESES!$C$45),IF(C87="RI",IF(HYPOTHESES!$C$46=0,0,HYPOTHESES!E$46*SUMIFS('BALANCE 2024'!$H:$H,'BALANCE 2024'!$A:$A,A87)/HYPOTHESES!$C$46),IF(C87="RJ",IF(HYPOTHESES!$C$47=0,0,HYPOTHESES!E$47*SUMIFS('BALANCE 2024'!$H:$H,'BALANCE 2024'!$A:$A,A87)/HYPOTHESES!$C$47),IF(C87="RK",IF(HYPOTHESES!$C$48=0,0,HYPOTHESES!E$48*SUMIFS('BALANCE 2024'!$H:$H,'BALANCE 2024'!$A:$A,A87)/HYPOTHESES!$C$48),0)))))),MAX(0,D87-E87)),0)</f>
        <v>22393945</v>
      </c>
      <c r="I87" s="20" t="n">
        <v>0</v>
      </c>
      <c r="J8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8" customFormat="false" ht="15" hidden="false" customHeight="false" outlineLevel="0" collapsed="false">
      <c r="A88" s="30" t="n">
        <v>661300</v>
      </c>
      <c r="B88" s="12" t="s">
        <v>344</v>
      </c>
      <c r="C88" s="13" t="s">
        <v>342</v>
      </c>
      <c r="D88" s="15" t="n">
        <f aca="false">IF(LEFT(A88,1)&gt;="6",0,SUMIFS('BALANCE 2025'!$H:$H,'BALANCE 2025'!$A:$A,A88))</f>
        <v>0</v>
      </c>
      <c r="E88" s="15" t="n">
        <f aca="false">IF(LEFT(A88,1)&gt;="6",0,SUMIFS('BALANCE 2025'!$I:$I,'BALANCE 2025'!$A:$A,A88))</f>
        <v>0</v>
      </c>
      <c r="F88" s="20" t="n">
        <f aca="false">MAX(0,(H88-I88)-(D88-E88))</f>
        <v>7388922</v>
      </c>
      <c r="G88" s="20" t="n">
        <f aca="false">MAX(0,(D88-E88)-(H88-I88))</f>
        <v>0</v>
      </c>
      <c r="H88" s="15" t="n">
        <f aca="false">ROUND(IF(LEFT(A88,1)&gt;="6",IF(C88="RE",IF(HYPOTHESES!$C$43=0,0,HYPOTHESES!E$43*SUMIFS('BALANCE 2024'!$H:$H,'BALANCE 2024'!$A:$A,A88)/HYPOTHESES!$C$43),IF(C88="RG",IF(HYPOTHESES!$C$44=0,0,HYPOTHESES!E$44*SUMIFS('BALANCE 2024'!$H:$H,'BALANCE 2024'!$A:$A,A88)/HYPOTHESES!$C$44),IF(C88="RH",IF(HYPOTHESES!$C$45=0,0,HYPOTHESES!E$45*SUMIFS('BALANCE 2024'!$H:$H,'BALANCE 2024'!$A:$A,A88)/HYPOTHESES!$C$45),IF(C88="RI",IF(HYPOTHESES!$C$46=0,0,HYPOTHESES!E$46*SUMIFS('BALANCE 2024'!$H:$H,'BALANCE 2024'!$A:$A,A88)/HYPOTHESES!$C$46),IF(C88="RJ",IF(HYPOTHESES!$C$47=0,0,HYPOTHESES!E$47*SUMIFS('BALANCE 2024'!$H:$H,'BALANCE 2024'!$A:$A,A88)/HYPOTHESES!$C$47),IF(C88="RK",IF(HYPOTHESES!$C$48=0,0,HYPOTHESES!E$48*SUMIFS('BALANCE 2024'!$H:$H,'BALANCE 2024'!$A:$A,A88)/HYPOTHESES!$C$48),0)))))),MAX(0,D88-E88)),0)</f>
        <v>7388922</v>
      </c>
      <c r="I88" s="20" t="n">
        <v>0</v>
      </c>
      <c r="J8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89" customFormat="false" ht="15" hidden="false" customHeight="false" outlineLevel="0" collapsed="false">
      <c r="A89" s="30" t="n">
        <v>661400</v>
      </c>
      <c r="B89" s="12" t="s">
        <v>345</v>
      </c>
      <c r="C89" s="13" t="s">
        <v>342</v>
      </c>
      <c r="D89" s="15" t="n">
        <f aca="false">IF(LEFT(A89,1)&gt;="6",0,SUMIFS('BALANCE 2025'!$H:$H,'BALANCE 2025'!$A:$A,A89))</f>
        <v>0</v>
      </c>
      <c r="E89" s="15" t="n">
        <f aca="false">IF(LEFT(A89,1)&gt;="6",0,SUMIFS('BALANCE 2025'!$I:$I,'BALANCE 2025'!$A:$A,A89))</f>
        <v>0</v>
      </c>
      <c r="F89" s="20" t="n">
        <f aca="false">MAX(0,(H89-I89)-(D89-E89))</f>
        <v>7461856</v>
      </c>
      <c r="G89" s="20" t="n">
        <f aca="false">MAX(0,(D89-E89)-(H89-I89))</f>
        <v>0</v>
      </c>
      <c r="H89" s="15" t="n">
        <f aca="false">ROUND(IF(LEFT(A89,1)&gt;="6",IF(C89="RE",IF(HYPOTHESES!$C$43=0,0,HYPOTHESES!E$43*SUMIFS('BALANCE 2024'!$H:$H,'BALANCE 2024'!$A:$A,A89)/HYPOTHESES!$C$43),IF(C89="RG",IF(HYPOTHESES!$C$44=0,0,HYPOTHESES!E$44*SUMIFS('BALANCE 2024'!$H:$H,'BALANCE 2024'!$A:$A,A89)/HYPOTHESES!$C$44),IF(C89="RH",IF(HYPOTHESES!$C$45=0,0,HYPOTHESES!E$45*SUMIFS('BALANCE 2024'!$H:$H,'BALANCE 2024'!$A:$A,A89)/HYPOTHESES!$C$45),IF(C89="RI",IF(HYPOTHESES!$C$46=0,0,HYPOTHESES!E$46*SUMIFS('BALANCE 2024'!$H:$H,'BALANCE 2024'!$A:$A,A89)/HYPOTHESES!$C$46),IF(C89="RJ",IF(HYPOTHESES!$C$47=0,0,HYPOTHESES!E$47*SUMIFS('BALANCE 2024'!$H:$H,'BALANCE 2024'!$A:$A,A89)/HYPOTHESES!$C$47),IF(C89="RK",IF(HYPOTHESES!$C$48=0,0,HYPOTHESES!E$48*SUMIFS('BALANCE 2024'!$H:$H,'BALANCE 2024'!$A:$A,A89)/HYPOTHESES!$C$48),0)))))),MAX(0,D89-E89)),0)</f>
        <v>7461856</v>
      </c>
      <c r="I89" s="20" t="n">
        <v>0</v>
      </c>
      <c r="J89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0" customFormat="false" ht="15" hidden="false" customHeight="false" outlineLevel="0" collapsed="false">
      <c r="A90" s="30" t="n">
        <v>663400</v>
      </c>
      <c r="B90" s="12" t="s">
        <v>346</v>
      </c>
      <c r="C90" s="13" t="s">
        <v>342</v>
      </c>
      <c r="D90" s="15" t="n">
        <f aca="false">IF(LEFT(A90,1)&gt;="6",0,SUMIFS('BALANCE 2025'!$H:$H,'BALANCE 2025'!$A:$A,A90))</f>
        <v>0</v>
      </c>
      <c r="E90" s="15" t="n">
        <f aca="false">IF(LEFT(A90,1)&gt;="6",0,SUMIFS('BALANCE 2025'!$I:$I,'BALANCE 2025'!$A:$A,A90))</f>
        <v>0</v>
      </c>
      <c r="F90" s="20" t="n">
        <f aca="false">MAX(0,(H90-I90)-(D90-E90))</f>
        <v>7728368</v>
      </c>
      <c r="G90" s="20" t="n">
        <f aca="false">MAX(0,(D90-E90)-(H90-I90))</f>
        <v>0</v>
      </c>
      <c r="H90" s="15" t="n">
        <f aca="false">ROUND(IF(LEFT(A90,1)&gt;="6",IF(C90="RE",IF(HYPOTHESES!$C$43=0,0,HYPOTHESES!E$43*SUMIFS('BALANCE 2024'!$H:$H,'BALANCE 2024'!$A:$A,A90)/HYPOTHESES!$C$43),IF(C90="RG",IF(HYPOTHESES!$C$44=0,0,HYPOTHESES!E$44*SUMIFS('BALANCE 2024'!$H:$H,'BALANCE 2024'!$A:$A,A90)/HYPOTHESES!$C$44),IF(C90="RH",IF(HYPOTHESES!$C$45=0,0,HYPOTHESES!E$45*SUMIFS('BALANCE 2024'!$H:$H,'BALANCE 2024'!$A:$A,A90)/HYPOTHESES!$C$45),IF(C90="RI",IF(HYPOTHESES!$C$46=0,0,HYPOTHESES!E$46*SUMIFS('BALANCE 2024'!$H:$H,'BALANCE 2024'!$A:$A,A90)/HYPOTHESES!$C$46),IF(C90="RJ",IF(HYPOTHESES!$C$47=0,0,HYPOTHESES!E$47*SUMIFS('BALANCE 2024'!$H:$H,'BALANCE 2024'!$A:$A,A90)/HYPOTHESES!$C$47),IF(C90="RK",IF(HYPOTHESES!$C$48=0,0,HYPOTHESES!E$48*SUMIFS('BALANCE 2024'!$H:$H,'BALANCE 2024'!$A:$A,A90)/HYPOTHESES!$C$48),0)))))),MAX(0,D90-E90)),0)</f>
        <v>7728368</v>
      </c>
      <c r="I90" s="20" t="n">
        <v>0</v>
      </c>
      <c r="J9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1" customFormat="false" ht="15" hidden="false" customHeight="false" outlineLevel="0" collapsed="false">
      <c r="A91" s="30" t="n">
        <v>664104</v>
      </c>
      <c r="B91" s="12" t="s">
        <v>347</v>
      </c>
      <c r="C91" s="13" t="s">
        <v>342</v>
      </c>
      <c r="D91" s="15" t="n">
        <f aca="false">IF(LEFT(A91,1)&gt;="6",0,SUMIFS('BALANCE 2025'!$H:$H,'BALANCE 2025'!$A:$A,A91))</f>
        <v>0</v>
      </c>
      <c r="E91" s="15" t="n">
        <f aca="false">IF(LEFT(A91,1)&gt;="6",0,SUMIFS('BALANCE 2025'!$I:$I,'BALANCE 2025'!$A:$A,A91))</f>
        <v>0</v>
      </c>
      <c r="F91" s="20" t="n">
        <f aca="false">MAX(0,(H91-I91)-(D91-E91))</f>
        <v>7868177</v>
      </c>
      <c r="G91" s="20" t="n">
        <f aca="false">MAX(0,(D91-E91)-(H91-I91))</f>
        <v>0</v>
      </c>
      <c r="H91" s="15" t="n">
        <f aca="false">ROUND(IF(LEFT(A91,1)&gt;="6",IF(C91="RE",IF(HYPOTHESES!$C$43=0,0,HYPOTHESES!E$43*SUMIFS('BALANCE 2024'!$H:$H,'BALANCE 2024'!$A:$A,A91)/HYPOTHESES!$C$43),IF(C91="RG",IF(HYPOTHESES!$C$44=0,0,HYPOTHESES!E$44*SUMIFS('BALANCE 2024'!$H:$H,'BALANCE 2024'!$A:$A,A91)/HYPOTHESES!$C$44),IF(C91="RH",IF(HYPOTHESES!$C$45=0,0,HYPOTHESES!E$45*SUMIFS('BALANCE 2024'!$H:$H,'BALANCE 2024'!$A:$A,A91)/HYPOTHESES!$C$45),IF(C91="RI",IF(HYPOTHESES!$C$46=0,0,HYPOTHESES!E$46*SUMIFS('BALANCE 2024'!$H:$H,'BALANCE 2024'!$A:$A,A91)/HYPOTHESES!$C$46),IF(C91="RJ",IF(HYPOTHESES!$C$47=0,0,HYPOTHESES!E$47*SUMIFS('BALANCE 2024'!$H:$H,'BALANCE 2024'!$A:$A,A91)/HYPOTHESES!$C$47),IF(C91="RK",IF(HYPOTHESES!$C$48=0,0,HYPOTHESES!E$48*SUMIFS('BALANCE 2024'!$H:$H,'BALANCE 2024'!$A:$A,A91)/HYPOTHESES!$C$48),0)))))),MAX(0,D91-E91)),0)</f>
        <v>7868177</v>
      </c>
      <c r="I91" s="20" t="n">
        <v>0</v>
      </c>
      <c r="J91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2" customFormat="false" ht="15" hidden="false" customHeight="false" outlineLevel="0" collapsed="false">
      <c r="A92" s="30" t="n">
        <v>671201</v>
      </c>
      <c r="B92" s="12" t="s">
        <v>348</v>
      </c>
      <c r="C92" s="13" t="s">
        <v>349</v>
      </c>
      <c r="D92" s="15" t="n">
        <f aca="false">IF(LEFT(A92,1)&gt;="6",0,SUMIFS('BALANCE 2025'!$H:$H,'BALANCE 2025'!$A:$A,A92))</f>
        <v>0</v>
      </c>
      <c r="E92" s="15" t="n">
        <f aca="false">IF(LEFT(A92,1)&gt;="6",0,SUMIFS('BALANCE 2025'!$I:$I,'BALANCE 2025'!$A:$A,A92))</f>
        <v>0</v>
      </c>
      <c r="F92" s="20" t="n">
        <f aca="false">MAX(0,(H92-I92)-(D92-E92))</f>
        <v>0</v>
      </c>
      <c r="G92" s="20" t="n">
        <f aca="false">MAX(0,(D92-E92)-(H92-I92))</f>
        <v>0</v>
      </c>
      <c r="H92" s="15" t="n">
        <f aca="false">ROUND('INVEST ET FINANCEMENT'!E$64,0)</f>
        <v>0</v>
      </c>
      <c r="I92" s="20" t="n">
        <v>0</v>
      </c>
      <c r="J9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3" customFormat="false" ht="15" hidden="false" customHeight="false" outlineLevel="0" collapsed="false">
      <c r="A93" s="30" t="n">
        <v>672301</v>
      </c>
      <c r="B93" s="12" t="s">
        <v>350</v>
      </c>
      <c r="C93" s="13" t="s">
        <v>349</v>
      </c>
      <c r="D93" s="15" t="n">
        <f aca="false">IF(LEFT(A93,1)&gt;="6",0,SUMIFS('BALANCE 2025'!$H:$H,'BALANCE 2025'!$A:$A,A93))</f>
        <v>0</v>
      </c>
      <c r="E93" s="15" t="n">
        <f aca="false">IF(LEFT(A93,1)&gt;="6",0,SUMIFS('BALANCE 2025'!$I:$I,'BALANCE 2025'!$A:$A,A93))</f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ROUND('INVEST ET FINANCEMENT'!E$65,0)</f>
        <v>0</v>
      </c>
      <c r="I93" s="20" t="n">
        <v>0</v>
      </c>
      <c r="J93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4" customFormat="false" ht="15" hidden="false" customHeight="false" outlineLevel="0" collapsed="false">
      <c r="A94" s="30" t="n">
        <v>681301</v>
      </c>
      <c r="B94" s="12" t="s">
        <v>351</v>
      </c>
      <c r="C94" s="13" t="s">
        <v>352</v>
      </c>
      <c r="D94" s="15" t="n">
        <f aca="false">IF(LEFT(A94,1)&gt;="6",0,SUMIFS('BALANCE 2025'!$H:$H,'BALANCE 2025'!$A:$A,A94))</f>
        <v>0</v>
      </c>
      <c r="E94" s="15" t="n">
        <f aca="false">IF(LEFT(A94,1)&gt;="6",0,SUMIFS('BALANCE 2025'!$I:$I,'BALANCE 2025'!$A:$A,A94))</f>
        <v>0</v>
      </c>
      <c r="F94" s="20" t="n">
        <f aca="false">MAX(0,(H94-I94)-(D94-E94))</f>
        <v>19282845</v>
      </c>
      <c r="G94" s="20" t="n">
        <f aca="false">MAX(0,(D94-E94)-(H94-I94))</f>
        <v>0</v>
      </c>
      <c r="H94" s="15" t="n">
        <f aca="false">ROUND('INVEST ET FINANCEMENT'!E$31,0)</f>
        <v>19282845</v>
      </c>
      <c r="I94" s="20" t="n">
        <v>0</v>
      </c>
      <c r="J94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5" customFormat="false" ht="15" hidden="false" customHeight="false" outlineLevel="0" collapsed="false">
      <c r="A95" s="30" t="n">
        <v>681302</v>
      </c>
      <c r="B95" s="12" t="s">
        <v>353</v>
      </c>
      <c r="C95" s="13" t="s">
        <v>352</v>
      </c>
      <c r="D95" s="15" t="n">
        <f aca="false">IF(LEFT(A95,1)&gt;="6",0,SUMIFS('BALANCE 2025'!$H:$H,'BALANCE 2025'!$A:$A,A95))</f>
        <v>0</v>
      </c>
      <c r="E95" s="15" t="n">
        <f aca="false">IF(LEFT(A95,1)&gt;="6",0,SUMIFS('BALANCE 2025'!$I:$I,'BALANCE 2025'!$A:$A,A95))</f>
        <v>0</v>
      </c>
      <c r="F95" s="20" t="n">
        <f aca="false">MAX(0,(H95-I95)-(D95-E95))</f>
        <v>50854932</v>
      </c>
      <c r="G95" s="20" t="n">
        <f aca="false">MAX(0,(D95-E95)-(H95-I95))</f>
        <v>0</v>
      </c>
      <c r="H95" s="15" t="n">
        <f aca="false">ROUND('INVEST ET FINANCEMENT'!E$34,0)</f>
        <v>50854932</v>
      </c>
      <c r="I95" s="20" t="n">
        <v>0</v>
      </c>
      <c r="J95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6" customFormat="false" ht="15" hidden="false" customHeight="false" outlineLevel="0" collapsed="false">
      <c r="A96" s="30" t="n">
        <v>681303</v>
      </c>
      <c r="B96" s="12" t="s">
        <v>354</v>
      </c>
      <c r="C96" s="13" t="s">
        <v>352</v>
      </c>
      <c r="D96" s="15" t="n">
        <f aca="false">IF(LEFT(A96,1)&gt;="6",0,SUMIFS('BALANCE 2025'!$H:$H,'BALANCE 2025'!$A:$A,A96))</f>
        <v>0</v>
      </c>
      <c r="E96" s="15" t="n">
        <f aca="false">IF(LEFT(A96,1)&gt;="6",0,SUMIFS('BALANCE 2025'!$I:$I,'BALANCE 2025'!$A:$A,A96))</f>
        <v>0</v>
      </c>
      <c r="F96" s="20" t="n">
        <f aca="false">MAX(0,(H96-I96)-(D96-E96))</f>
        <v>7609173</v>
      </c>
      <c r="G96" s="20" t="n">
        <f aca="false">MAX(0,(D96-E96)-(H96-I96))</f>
        <v>0</v>
      </c>
      <c r="H96" s="15" t="n">
        <f aca="false">ROUND('INVEST ET FINANCEMENT'!E$37,0)</f>
        <v>7609173</v>
      </c>
      <c r="I96" s="20" t="n">
        <v>0</v>
      </c>
      <c r="J96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7" customFormat="false" ht="15" hidden="false" customHeight="false" outlineLevel="0" collapsed="false">
      <c r="A97" s="30" t="n">
        <v>681304</v>
      </c>
      <c r="B97" s="12" t="s">
        <v>355</v>
      </c>
      <c r="C97" s="13" t="s">
        <v>352</v>
      </c>
      <c r="D97" s="15" t="n">
        <f aca="false">IF(LEFT(A97,1)&gt;="6",0,SUMIFS('BALANCE 2025'!$H:$H,'BALANCE 2025'!$A:$A,A97))</f>
        <v>0</v>
      </c>
      <c r="E97" s="15" t="n">
        <f aca="false">IF(LEFT(A97,1)&gt;="6",0,SUMIFS('BALANCE 2025'!$I:$I,'BALANCE 2025'!$A:$A,A97))</f>
        <v>0</v>
      </c>
      <c r="F97" s="20" t="n">
        <f aca="false">MAX(0,(H97-I97)-(D97-E97))</f>
        <v>15958378</v>
      </c>
      <c r="G97" s="20" t="n">
        <f aca="false">MAX(0,(D97-E97)-(H97-I97))</f>
        <v>0</v>
      </c>
      <c r="H97" s="15" t="n">
        <f aca="false">ROUND('INVEST ET FINANCEMENT'!E$40,0)</f>
        <v>15958378</v>
      </c>
      <c r="I97" s="20" t="n">
        <v>0</v>
      </c>
      <c r="J97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8" customFormat="false" ht="15" hidden="false" customHeight="false" outlineLevel="0" collapsed="false">
      <c r="A98" s="30" t="n">
        <v>691100</v>
      </c>
      <c r="B98" s="12" t="s">
        <v>356</v>
      </c>
      <c r="C98" s="13" t="s">
        <v>352</v>
      </c>
      <c r="D98" s="15" t="n">
        <f aca="false">IF(LEFT(A98,1)&gt;="6",0,SUMIFS('BALANCE 2025'!$H:$H,'BALANCE 2025'!$A:$A,A98))</f>
        <v>0</v>
      </c>
      <c r="E98" s="15" t="n">
        <f aca="false">IF(LEFT(A98,1)&gt;="6",0,SUMIFS('BALANCE 2025'!$I:$I,'BALANCE 2025'!$A:$A,A98))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ROUND(HYPOTHESES!E$50,0)</f>
        <v>6059296</v>
      </c>
      <c r="I98" s="20" t="n">
        <v>0</v>
      </c>
      <c r="J98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99" customFormat="false" ht="15" hidden="false" customHeight="false" outlineLevel="0" collapsed="false">
      <c r="A99" s="38" t="n">
        <v>705100</v>
      </c>
      <c r="B99" s="39" t="s">
        <v>357</v>
      </c>
      <c r="C99" s="40" t="s">
        <v>358</v>
      </c>
      <c r="D99" s="43" t="n">
        <f aca="false">IF(LEFT(A99,1)&gt;="6",0,SUMIFS('BALANCE 2025'!$H:$H,'BALANCE 2025'!$A:$A,A99))</f>
        <v>0</v>
      </c>
      <c r="E99" s="43" t="n">
        <f aca="false">IF(LEFT(A99,1)&gt;="6",0,SUMIFS('BALANCE 2025'!$I:$I,'BALANCE 2025'!$A:$A,A99))</f>
        <v>0</v>
      </c>
      <c r="F99" s="42" t="n">
        <f aca="false">MAX(0,(H99-I99)-(D99-E99))</f>
        <v>0</v>
      </c>
      <c r="G99" s="42" t="n">
        <f aca="false">MAX(0,(D99-E99)-(H99-I99))</f>
        <v>787603492</v>
      </c>
      <c r="H99" s="42" t="n">
        <v>0</v>
      </c>
      <c r="I99" s="43" t="n">
        <f aca="false">ROUND(HYPOTHESES!E$42,0)</f>
        <v>787603492</v>
      </c>
      <c r="J99" s="42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100" customFormat="false" ht="15" hidden="false" customHeight="false" outlineLevel="0" collapsed="false">
      <c r="A100" s="30" t="n">
        <v>771200</v>
      </c>
      <c r="B100" s="12" t="s">
        <v>359</v>
      </c>
      <c r="C100" s="13" t="s">
        <v>360</v>
      </c>
      <c r="D100" s="15" t="n">
        <f aca="false">IF(LEFT(A100,1)&gt;="6",0,SUMIFS('BALANCE 2025'!$H:$H,'BALANCE 2025'!$A:$A,A100))</f>
        <v>0</v>
      </c>
      <c r="E100" s="15" t="n">
        <f aca="false">IF(LEFT(A100,1)&gt;="6",0,SUMIFS('BALANCE 2025'!$I:$I,'BALANCE 2025'!$A:$A,A100))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ROUND(HYPOTHESES!E$51,0)</f>
        <v>848594</v>
      </c>
      <c r="J100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101" customFormat="false" ht="15" hidden="false" customHeight="false" outlineLevel="0" collapsed="false">
      <c r="A101" s="38" t="n">
        <v>891100</v>
      </c>
      <c r="B101" s="39" t="s">
        <v>361</v>
      </c>
      <c r="C101" s="40" t="s">
        <v>362</v>
      </c>
      <c r="D101" s="43" t="n">
        <f aca="false">IF(LEFT(A101,1)&gt;="6",0,SUMIFS('BALANCE 2025'!$H:$H,'BALANCE 2025'!$A:$A,A101))</f>
        <v>0</v>
      </c>
      <c r="E101" s="43" t="n">
        <f aca="false">IF(LEFT(A101,1)&gt;="6",0,SUMIFS('BALANCE 2025'!$I:$I,'BALANCE 2025'!$A:$A,A101))</f>
        <v>0</v>
      </c>
      <c r="F101" s="42" t="n">
        <f aca="false">MAX(0,(H101-I101)-(D101-E101))</f>
        <v>28670509</v>
      </c>
      <c r="G101" s="42" t="n">
        <f aca="false">MAX(0,(D101-E101)-(H101-I101))</f>
        <v>0</v>
      </c>
      <c r="H101" s="43" t="n">
        <f aca="false">ROUND(IF(HYPOTHESES!E$54&gt;=HYPOTHESES!E$55,HYPOTHESES!E$56,0),0)</f>
        <v>28670509</v>
      </c>
      <c r="I101" s="42" t="n">
        <v>0</v>
      </c>
      <c r="J101" s="42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  <row r="102" customFormat="false" ht="15" hidden="false" customHeight="false" outlineLevel="0" collapsed="false">
      <c r="A102" s="30" t="n">
        <v>895000</v>
      </c>
      <c r="B102" s="12" t="s">
        <v>363</v>
      </c>
      <c r="C102" s="13" t="s">
        <v>362</v>
      </c>
      <c r="D102" s="15" t="n">
        <f aca="false">IF(LEFT(A102,1)&gt;="6",0,SUMIFS('BALANCE 2025'!$H:$H,'BALANCE 2025'!$A:$A,A102))</f>
        <v>0</v>
      </c>
      <c r="E102" s="15" t="n">
        <f aca="false">IF(LEFT(A102,1)&gt;="6",0,SUMIFS('BALANCE 2025'!$I:$I,'BALANCE 2025'!$A:$A,A102))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ROUND(IF(HYPOTHESES!E$54&lt;HYPOTHESES!E$55,HYPOTHESES!E$56,0),0)</f>
        <v>0</v>
      </c>
      <c r="I102" s="20" t="n">
        <v>0</v>
      </c>
      <c r="J102" s="20" t="n">
        <f aca="false">(T_BAL_2026[[#This Row],[Ouverture Débit]]-T_BAL_2026[[#This Row],[Ouverture Crédit]])+(T_BAL_2026[[#This Row],[Mouvements Débit]]-T_BAL_2026[[#This Row],[Mouvements Crédit]])-(T_BAL_2026[[#This Row],[Clôture Débit]]-T_BAL_2026[[#This Row],[Clôture Crédit]])</f>
        <v>0</v>
      </c>
    </row>
  </sheetData>
  <mergeCells count="8">
    <mergeCell ref="A1:J1"/>
    <mergeCell ref="D3:E3"/>
    <mergeCell ref="F3:G3"/>
    <mergeCell ref="H3:I3"/>
    <mergeCell ref="L3:M3"/>
    <mergeCell ref="D14:E14"/>
    <mergeCell ref="F14:G14"/>
    <mergeCell ref="H14:I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70"/>
  </cols>
  <sheetData>
    <row r="1" customFormat="false" ht="24" hidden="false" customHeight="true" outlineLevel="0" collapsed="false">
      <c r="A1" s="1" t="s">
        <v>370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365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L3" s="28" t="s">
        <v>200</v>
      </c>
      <c r="M3" s="28"/>
    </row>
    <row r="4" customFormat="false" ht="15" hidden="false" customHeight="fals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205</v>
      </c>
      <c r="F4" s="8" t="s">
        <v>204</v>
      </c>
      <c r="G4" s="8" t="s">
        <v>205</v>
      </c>
      <c r="H4" s="8" t="s">
        <v>204</v>
      </c>
      <c r="I4" s="8" t="s">
        <v>205</v>
      </c>
      <c r="J4" s="8" t="s">
        <v>206</v>
      </c>
      <c r="L4" s="29" t="s">
        <v>207</v>
      </c>
    </row>
    <row r="5" customFormat="false" ht="15" hidden="false" customHeight="false" outlineLevel="0" collapsed="false">
      <c r="A5" s="30" t="n">
        <v>521101</v>
      </c>
      <c r="B5" s="12" t="s">
        <v>208</v>
      </c>
      <c r="C5" s="13" t="s">
        <v>209</v>
      </c>
      <c r="D5" s="15" t="n">
        <f aca="false">IF(LEFT(A5,1)&gt;="6",0,SUMIFS('BALANCE 2026'!$H:$H,'BALANCE 2026'!$A:$A,A5))</f>
        <v>216120886</v>
      </c>
      <c r="E5" s="15" t="n">
        <f aca="false">IF(LEFT(A5,1)&gt;="6",0,SUMIFS('BALANCE 2026'!$I:$I,'BALANCE 2026'!$A:$A,A5))</f>
        <v>0</v>
      </c>
      <c r="F5" s="15" t="n">
        <f aca="false">ROUND(G37+HYPOTHESES!F$51+'INVEST ET FINANCEMENT'!F$47+'INVEST ET FINANCEMENT'!F$51,0)</f>
        <v>951260667</v>
      </c>
      <c r="G5" s="15" t="n">
        <f aca="false">ROUND(G37+HYPOTHESES!F$51+'INVEST ET FINANCEMENT'!F$47+'INVEST ET FINANCEMENT'!F$51,0)+(D5-E5)-(H5-I5)</f>
        <v>808394555</v>
      </c>
      <c r="H5" s="20" t="n">
        <f aca="false">ROUND(MAX(0,(H11-(H6-I6))),0)</f>
        <v>358986998</v>
      </c>
      <c r="I5" s="20" t="n">
        <f aca="false">ROUND(MAX(0,-(H11-(H6-I6))),0)</f>
        <v>0</v>
      </c>
      <c r="J5" s="20" t="n">
        <f aca="false">(D5-E5)+(F5-G5)-(H5-I5)</f>
        <v>0</v>
      </c>
      <c r="L5" s="29" t="s">
        <v>210</v>
      </c>
    </row>
    <row r="6" customFormat="false" ht="15" hidden="false" customHeight="false" outlineLevel="0" collapsed="false">
      <c r="A6" s="30" t="n">
        <v>571101</v>
      </c>
      <c r="B6" s="12" t="s">
        <v>211</v>
      </c>
      <c r="C6" s="13" t="s">
        <v>212</v>
      </c>
      <c r="D6" s="15" t="n">
        <f aca="false">IF(LEFT(A6,1)&gt;="6",0,SUMIFS('BALANCE 2026'!$H:$H,'BALANCE 2026'!$A:$A,A6))</f>
        <v>8987187</v>
      </c>
      <c r="E6" s="15" t="n">
        <f aca="false">IF(LEFT(A6,1)&gt;="6",0,SUMIFS('BALANCE 2026'!$I:$I,'BALANCE 2026'!$A:$A,A6))</f>
        <v>0</v>
      </c>
      <c r="F6" s="20" t="n">
        <f aca="false">ROUND(H13,0)</f>
        <v>161678911</v>
      </c>
      <c r="G6" s="20" t="n">
        <f aca="false">ROUND(H13,0)+(D6-E6)-(H6-I6)</f>
        <v>160062122</v>
      </c>
      <c r="H6" s="15" t="n">
        <f aca="false">ROUND(MAX(0,((D6-E6)+H13*(1-HYPOTHESES!F$30))),0)</f>
        <v>10603976</v>
      </c>
      <c r="I6" s="15" t="n">
        <f aca="false">ROUND(MAX(0,-((D6-E6)+H13*(1-HYPOTHESES!F$30))),0)</f>
        <v>0</v>
      </c>
      <c r="J6" s="20" t="n">
        <f aca="false">(D6-E6)+(F6-G6)-(H6-I6)</f>
        <v>0</v>
      </c>
      <c r="L6" s="29" t="s">
        <v>213</v>
      </c>
    </row>
    <row r="7" customFormat="false" ht="15" hidden="false" customHeight="false" outlineLevel="0" collapsed="false">
      <c r="A7" s="30" t="n">
        <v>585000</v>
      </c>
      <c r="B7" s="12" t="s">
        <v>214</v>
      </c>
      <c r="C7" s="13" t="s">
        <v>212</v>
      </c>
      <c r="D7" s="15" t="n">
        <f aca="false">IF(LEFT(A7,1)&gt;="6",0,SUMIFS('BALANCE 2026'!$H:$H,'BALANCE 2026'!$A:$A,A7))</f>
        <v>0</v>
      </c>
      <c r="E7" s="15" t="n">
        <f aca="false">IF(LEFT(A7,1)&gt;="6",0,SUMIFS('BALANCE 2026'!$I:$I,'BALANCE 2026'!$A:$A,A7))</f>
        <v>0</v>
      </c>
      <c r="F7" s="20" t="n">
        <f aca="false">ROUND(H13,0)</f>
        <v>161678911</v>
      </c>
      <c r="G7" s="20" t="n">
        <f aca="false">ROUND(H13,0)+(D7-E7)-(H7-I7)</f>
        <v>161678911</v>
      </c>
      <c r="H7" s="15" t="n">
        <f aca="false">ROUND(IF(LEFT(A7,1)&gt;="6",IF(C7="RE",IF(HYPOTHESES!$C$43=0,0,HYPOTHESES!F$43*SUMIFS('BALANCE 2024'!$H:$H,'BALANCE 2024'!$A:$A,A7)/HYPOTHESES!$C$43),IF(C7="RG",IF(HYPOTHESES!$C$44=0,0,HYPOTHESES!F$44*SUMIFS('BALANCE 2024'!$H:$H,'BALANCE 2024'!$A:$A,A7)/HYPOTHESES!$C$44),IF(C7="RH",IF(HYPOTHESES!$C$45=0,0,HYPOTHESES!F$45*SUMIFS('BALANCE 2024'!$H:$H,'BALANCE 2024'!$A:$A,A7)/HYPOTHESES!$C$45),IF(C7="RI",IF(HYPOTHESES!$C$46=0,0,HYPOTHESES!F$46*SUMIFS('BALANCE 2024'!$H:$H,'BALANCE 2024'!$A:$A,A7)/HYPOTHESES!$C$46),IF(C7="RJ",IF(HYPOTHESES!$C$47=0,0,HYPOTHESES!F$47*SUMIFS('BALANCE 2024'!$H:$H,'BALANCE 2024'!$A:$A,A7)/HYPOTHESES!$C$47),IF(C7="RK",IF(HYPOTHESES!$C$48=0,0,HYPOTHESES!F$48*SUMIFS('BALANCE 2024'!$H:$H,'BALANCE 2024'!$A:$A,A7)/HYPOTHESES!$C$48),0)))))),MAX(0,D7-E7)),0)</f>
        <v>0</v>
      </c>
      <c r="I7" s="20" t="n">
        <f aca="false">ROUND(IF(LEFT(A7,1)&gt;="6",0,MAX(0,E7-D7)),0)</f>
        <v>0</v>
      </c>
      <c r="J7" s="20" t="n">
        <f aca="false">(D7-E7)+(F7-G7)-(H7-I7)</f>
        <v>0</v>
      </c>
      <c r="L7" s="29" t="s">
        <v>215</v>
      </c>
    </row>
    <row r="8" customFormat="false" ht="15" hidden="false" customHeight="false" outlineLevel="0" collapsed="false">
      <c r="A8" s="31"/>
      <c r="B8" s="32" t="s">
        <v>216</v>
      </c>
      <c r="C8" s="31"/>
      <c r="D8" s="33" t="n">
        <f aca="false">SUBTOTAL(109,T_BAL_2027[Ouverture Débit])</f>
        <v>1692915289</v>
      </c>
      <c r="E8" s="33" t="n">
        <f aca="false">SUBTOTAL(109,T_BAL_2027[Ouverture Crédit])</f>
        <v>1918023362</v>
      </c>
      <c r="F8" s="33" t="n">
        <f aca="false">SUBTOTAL(109,T_BAL_2027[Mouvements Débit])</f>
        <v>2716668853</v>
      </c>
      <c r="G8" s="33" t="n">
        <f aca="false">SUBTOTAL(109,T_BAL_2027[Mouvements Crédit])</f>
        <v>2861151754</v>
      </c>
      <c r="H8" s="33" t="n">
        <f aca="false">SUBTOTAL(109,T_BAL_2027[Clôture Débit])</f>
        <v>2489697869</v>
      </c>
      <c r="I8" s="33" t="n">
        <f aca="false">SUBTOTAL(109,T_BAL_2027[Clôture Crédit])</f>
        <v>2859288843</v>
      </c>
      <c r="J8" s="33" t="n">
        <f aca="false">SUBTOTAL(109,T_BAL_2027[Contrôle])</f>
        <v>0</v>
      </c>
      <c r="L8" s="29" t="s">
        <v>217</v>
      </c>
    </row>
    <row r="9" customFormat="false" ht="15" hidden="false" customHeight="false" outlineLevel="0" collapsed="false">
      <c r="A9" s="34"/>
      <c r="B9" s="35" t="s">
        <v>218</v>
      </c>
      <c r="C9" s="34"/>
      <c r="D9" s="36" t="n">
        <f aca="false">SUM(D5:D8)</f>
        <v>1918023362</v>
      </c>
      <c r="E9" s="36" t="n">
        <f aca="false">SUM(E5:E8)</f>
        <v>1918023362</v>
      </c>
      <c r="F9" s="36" t="n">
        <f aca="false">SUM(F5:F8)</f>
        <v>3991287342</v>
      </c>
      <c r="G9" s="36" t="n">
        <f aca="false">SUM(G5:G8)</f>
        <v>3991287342</v>
      </c>
      <c r="H9" s="36" t="n">
        <f aca="false">SUM(H5:H8)</f>
        <v>2859288843</v>
      </c>
      <c r="I9" s="36" t="n">
        <f aca="false">SUM(I5:I8)</f>
        <v>2859288843</v>
      </c>
      <c r="J9" s="36" t="n">
        <f aca="false">SUM(J5:J8)</f>
        <v>0</v>
      </c>
      <c r="L9" s="29" t="s">
        <v>219</v>
      </c>
    </row>
    <row r="10" customFormat="false" ht="15" hidden="false" customHeight="false" outlineLevel="0" collapsed="false">
      <c r="B10" s="4" t="s">
        <v>220</v>
      </c>
      <c r="D10" s="21" t="n">
        <f aca="false">D9-E9</f>
        <v>0</v>
      </c>
      <c r="F10" s="21" t="n">
        <f aca="false">F9-G9</f>
        <v>0</v>
      </c>
      <c r="H10" s="21" t="n">
        <f aca="false">H9-I9</f>
        <v>0</v>
      </c>
      <c r="L10" s="29" t="s">
        <v>221</v>
      </c>
    </row>
    <row r="11" customFormat="false" ht="15" hidden="false" customHeight="false" outlineLevel="0" collapsed="false">
      <c r="B11" s="7" t="s">
        <v>366</v>
      </c>
      <c r="H11" s="20" t="n">
        <f aca="false">-((H8-I8)+(H7-I7))</f>
        <v>369590974</v>
      </c>
      <c r="L11" s="29" t="s">
        <v>222</v>
      </c>
    </row>
    <row r="12" customFormat="false" ht="15" hidden="false" customHeight="false" outlineLevel="0" collapsed="false">
      <c r="B12" s="7" t="s">
        <v>367</v>
      </c>
      <c r="H12" s="20" t="n">
        <f aca="false">ROUND((G37+HYPOTHESES!F$51+'INVEST ET FINANCEMENT'!F$47+'INVEST ET FINANCEMENT'!F$51+(D5-E5)+(D6-E6)-H11)/(1-HYPOTHESES!F$29*(1-HYPOTHESES!F$30)),0)</f>
        <v>808394555</v>
      </c>
    </row>
    <row r="13" customFormat="false" ht="15" hidden="false" customHeight="false" outlineLevel="0" collapsed="false">
      <c r="B13" s="7" t="s">
        <v>368</v>
      </c>
      <c r="H13" s="20" t="n">
        <f aca="false">ROUND(HYPOTHESES!F$29*H12,0)</f>
        <v>161678911</v>
      </c>
    </row>
    <row r="14" customFormat="false" ht="15" hidden="false" customHeight="false" outlineLevel="0" collapsed="false">
      <c r="A14" s="25"/>
      <c r="B14" s="27" t="s">
        <v>223</v>
      </c>
      <c r="C14" s="25"/>
      <c r="D14" s="26" t="s">
        <v>196</v>
      </c>
      <c r="E14" s="26"/>
      <c r="F14" s="26" t="s">
        <v>197</v>
      </c>
      <c r="G14" s="26"/>
      <c r="H14" s="26" t="s">
        <v>198</v>
      </c>
      <c r="I14" s="26"/>
      <c r="J14" s="27" t="s">
        <v>199</v>
      </c>
      <c r="L14" s="27" t="s">
        <v>224</v>
      </c>
      <c r="M14" s="27" t="s">
        <v>225</v>
      </c>
    </row>
    <row r="15" customFormat="false" ht="15" hidden="false" customHeight="false" outlineLevel="0" collapsed="false">
      <c r="A15" s="8" t="s">
        <v>201</v>
      </c>
      <c r="B15" s="8" t="s">
        <v>202</v>
      </c>
      <c r="C15" s="8" t="s">
        <v>203</v>
      </c>
      <c r="D15" s="8" t="s">
        <v>226</v>
      </c>
      <c r="E15" s="8" t="s">
        <v>227</v>
      </c>
      <c r="F15" s="8" t="s">
        <v>228</v>
      </c>
      <c r="G15" s="8" t="s">
        <v>229</v>
      </c>
      <c r="H15" s="8" t="s">
        <v>230</v>
      </c>
      <c r="I15" s="8" t="s">
        <v>231</v>
      </c>
      <c r="J15" s="8" t="s">
        <v>199</v>
      </c>
      <c r="L15" s="37" t="s">
        <v>232</v>
      </c>
      <c r="M15" s="29" t="s">
        <v>233</v>
      </c>
    </row>
    <row r="16" customFormat="false" ht="15" hidden="false" customHeight="false" outlineLevel="0" collapsed="false">
      <c r="A16" s="38" t="n">
        <v>101000</v>
      </c>
      <c r="B16" s="39" t="s">
        <v>234</v>
      </c>
      <c r="C16" s="40" t="s">
        <v>235</v>
      </c>
      <c r="D16" s="43" t="n">
        <f aca="false">IF(LEFT(A16,1)&gt;="6",0,SUMIFS('BALANCE 2026'!$H:$H,'BALANCE 2026'!$A:$A,A16))</f>
        <v>0</v>
      </c>
      <c r="E16" s="43" t="n">
        <f aca="false">IF(LEFT(A16,1)&gt;="6",0,SUMIFS('BALANCE 2026'!$I:$I,'BALANCE 2026'!$A:$A,A16))</f>
        <v>10000000</v>
      </c>
      <c r="F16" s="43" t="n">
        <f aca="false">ROUND('INVEST ET FINANCEMENT'!F$51,0)+(H16-I16)-(D16-E16)</f>
        <v>0</v>
      </c>
      <c r="G16" s="43" t="n">
        <f aca="false">ROUND('INVEST ET FINANCEMENT'!F$51,0)</f>
        <v>0</v>
      </c>
      <c r="H16" s="42" t="n">
        <v>0</v>
      </c>
      <c r="I16" s="43" t="n">
        <f aca="false">ROUND(E16+'INVEST ET FINANCEMENT'!F$51,0)</f>
        <v>10000000</v>
      </c>
      <c r="J16" s="42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L16" s="37" t="s">
        <v>236</v>
      </c>
      <c r="M16" s="29" t="s">
        <v>237</v>
      </c>
    </row>
    <row r="17" customFormat="false" ht="15" hidden="false" customHeight="false" outlineLevel="0" collapsed="false">
      <c r="A17" s="30" t="n">
        <v>111000</v>
      </c>
      <c r="B17" s="12" t="s">
        <v>238</v>
      </c>
      <c r="C17" s="13" t="s">
        <v>239</v>
      </c>
      <c r="D17" s="15" t="n">
        <f aca="false">IF(LEFT(A17,1)&gt;="6",0,SUMIFS('BALANCE 2026'!$H:$H,'BALANCE 2026'!$A:$A,A17))</f>
        <v>0</v>
      </c>
      <c r="E17" s="15" t="n">
        <f aca="false">IF(LEFT(A17,1)&gt;="6",0,SUMIFS('BALANCE 2026'!$I:$I,'BALANCE 2026'!$A:$A,A17))</f>
        <v>2000000</v>
      </c>
      <c r="F17" s="15" t="n">
        <f aca="false">ROUND(HYPOTHESES!F$58,0)+(H17-I17)-(D17-E17)</f>
        <v>0</v>
      </c>
      <c r="G17" s="15" t="n">
        <f aca="false">ROUND(HYPOTHESES!F$58,0)</f>
        <v>0</v>
      </c>
      <c r="H17" s="20" t="n">
        <v>0</v>
      </c>
      <c r="I17" s="15" t="n">
        <f aca="false">ROUND(E17+HYPOTHESES!F$58,0)</f>
        <v>2000000</v>
      </c>
      <c r="J1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L17" s="37" t="s">
        <v>240</v>
      </c>
      <c r="M17" s="29" t="s">
        <v>241</v>
      </c>
    </row>
    <row r="18" customFormat="false" ht="15" hidden="false" customHeight="false" outlineLevel="0" collapsed="false">
      <c r="A18" s="30" t="n">
        <v>121000</v>
      </c>
      <c r="B18" s="12" t="s">
        <v>242</v>
      </c>
      <c r="C18" s="13" t="s">
        <v>243</v>
      </c>
      <c r="D18" s="15" t="n">
        <f aca="false">IF(LEFT(A18,1)&gt;="6",0,SUMIFS('BALANCE 2026'!$H:$H,'BALANCE 2026'!$A:$A,A18))</f>
        <v>0</v>
      </c>
      <c r="E18" s="15" t="n">
        <f aca="false">IF(LEFT(A18,1)&gt;="6",0,SUMIFS('BALANCE 2026'!$I:$I,'BALANCE 2026'!$A:$A,A18))</f>
        <v>937013596</v>
      </c>
      <c r="F18" s="20" t="n">
        <f aca="false">MAX(0,(H18-I18)-(D18-E18))</f>
        <v>0</v>
      </c>
      <c r="G18" s="20" t="n">
        <f aca="false">MAX(0,(D18-E18)-(H18-I18))</f>
        <v>86011527</v>
      </c>
      <c r="H18" s="15" t="n">
        <f aca="false">ROUND(MAX(0,-(E18-D18+HYPOTHESES!F$60)),0)</f>
        <v>0</v>
      </c>
      <c r="I18" s="15" t="n">
        <f aca="false">ROUND(MAX(0,(E18-D18+HYPOTHESES!F$60)),0)</f>
        <v>1023025123</v>
      </c>
      <c r="J1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L18" s="37" t="s">
        <v>244</v>
      </c>
      <c r="M18" s="29" t="s">
        <v>245</v>
      </c>
    </row>
    <row r="19" customFormat="false" ht="15" hidden="false" customHeight="false" outlineLevel="0" collapsed="false">
      <c r="A19" s="30" t="n">
        <v>130100</v>
      </c>
      <c r="B19" s="12" t="s">
        <v>246</v>
      </c>
      <c r="C19" s="13" t="s">
        <v>247</v>
      </c>
      <c r="D19" s="20" t="n">
        <f aca="false">MAX(0,-SUMPRODUCT((LEFT(T_BAL_2026[Compte],1)&gt;="6")*(T_BAL_2026[Clôture Crédit]-T_BAL_2026[Clôture Débit])))</f>
        <v>0</v>
      </c>
      <c r="E19" s="20" t="n">
        <f aca="false">MAX(0,SUMPRODUCT((LEFT(T_BAL_2026[Compte],1)&gt;="6")*(T_BAL_2026[Clôture Crédit]-T_BAL_2026[Clôture Débit])))</f>
        <v>86011527</v>
      </c>
      <c r="F19" s="20" t="n">
        <f aca="false">MAX(0,(H19-I19)-(D19-E19))</f>
        <v>86011527</v>
      </c>
      <c r="G19" s="20" t="n">
        <f aca="false">MAX(0,(D19-E19)-(H19-I19))</f>
        <v>0</v>
      </c>
      <c r="H19" s="20" t="n">
        <v>0</v>
      </c>
      <c r="I19" s="20" t="n">
        <v>0</v>
      </c>
      <c r="J1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L19" s="37" t="s">
        <v>248</v>
      </c>
      <c r="M19" s="29" t="s">
        <v>249</v>
      </c>
    </row>
    <row r="20" customFormat="false" ht="15" hidden="false" customHeight="false" outlineLevel="0" collapsed="false">
      <c r="A20" s="30" t="n">
        <v>162002</v>
      </c>
      <c r="B20" s="12" t="s">
        <v>250</v>
      </c>
      <c r="C20" s="13" t="s">
        <v>172</v>
      </c>
      <c r="D20" s="15" t="n">
        <f aca="false">IF(LEFT(A20,1)&gt;="6",0,SUMIFS('BALANCE 2026'!$H:$H,'BALANCE 2026'!$A:$A,A20))</f>
        <v>0</v>
      </c>
      <c r="E20" s="15" t="n">
        <f aca="false">IF(LEFT(A20,1)&gt;="6",0,SUMIFS('BALANCE 2026'!$I:$I,'BALANCE 2026'!$A:$A,A20))</f>
        <v>0</v>
      </c>
      <c r="F20" s="15" t="n">
        <f aca="false">ROUND('INVEST ET FINANCEMENT'!F$47,0)+(H20-I20)-(D20-E20)</f>
        <v>0</v>
      </c>
      <c r="G20" s="15" t="n">
        <f aca="false">ROUND('INVEST ET FINANCEMENT'!F$47,0)</f>
        <v>0</v>
      </c>
      <c r="H20" s="20" t="n">
        <v>0</v>
      </c>
      <c r="I20" s="15" t="n">
        <f aca="false">ROUND(E20+'INVEST ET FINANCEMENT'!F$47-'INVEST ET FINANCEMENT'!F$48,0)</f>
        <v>0</v>
      </c>
      <c r="J2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L20" s="37" t="s">
        <v>251</v>
      </c>
      <c r="M20" s="29" t="s">
        <v>252</v>
      </c>
    </row>
    <row r="21" customFormat="false" ht="15" hidden="false" customHeight="false" outlineLevel="0" collapsed="false">
      <c r="A21" s="30" t="n">
        <v>173060</v>
      </c>
      <c r="B21" s="12" t="s">
        <v>253</v>
      </c>
      <c r="C21" s="13" t="s">
        <v>175</v>
      </c>
      <c r="D21" s="15" t="n">
        <f aca="false">IF(LEFT(A21,1)&gt;="6",0,SUMIFS('BALANCE 2026'!$H:$H,'BALANCE 2026'!$A:$A,A21))</f>
        <v>0</v>
      </c>
      <c r="E21" s="15" t="n">
        <f aca="false">IF(LEFT(A21,1)&gt;="6",0,SUMIFS('BALANCE 2026'!$I:$I,'BALANCE 2026'!$A:$A,A21))</f>
        <v>0</v>
      </c>
      <c r="F21" s="15" t="n">
        <f aca="false">ROUND('INVEST ET FINANCEMENT'!F$49,0)</f>
        <v>0</v>
      </c>
      <c r="G21" s="15" t="n">
        <f aca="false">ROUND('INVEST ET FINANCEMENT'!F$49,0)+(D21-E21)-(H21-I21)</f>
        <v>0</v>
      </c>
      <c r="H21" s="20" t="n">
        <v>0</v>
      </c>
      <c r="I21" s="15" t="n">
        <f aca="false">ROUND(E21-'INVEST ET FINANCEMENT'!F$49,0)</f>
        <v>0</v>
      </c>
      <c r="J2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L21" s="37" t="s">
        <v>254</v>
      </c>
      <c r="M21" s="29" t="s">
        <v>255</v>
      </c>
    </row>
    <row r="22" customFormat="false" ht="15" hidden="false" customHeight="false" outlineLevel="0" collapsed="false">
      <c r="A22" s="30" t="n">
        <v>196100</v>
      </c>
      <c r="B22" s="12" t="s">
        <v>256</v>
      </c>
      <c r="C22" s="13" t="s">
        <v>257</v>
      </c>
      <c r="D22" s="15" t="n">
        <f aca="false">IF(LEFT(A22,1)&gt;="6",0,SUMIFS('BALANCE 2026'!$H:$H,'BALANCE 2026'!$A:$A,A22))</f>
        <v>0</v>
      </c>
      <c r="E22" s="15" t="n">
        <f aca="false">IF(LEFT(A22,1)&gt;="6",0,SUMIFS('BALANCE 2026'!$I:$I,'BALANCE 2026'!$A:$A,A22))</f>
        <v>33392488</v>
      </c>
      <c r="F22" s="15" t="n">
        <f aca="false">ROUND(HYPOTHESES!F$20,0)+(H22-I22)-(D22-E22)</f>
        <v>0</v>
      </c>
      <c r="G22" s="15" t="n">
        <f aca="false">ROUND(HYPOTHESES!F$20,0)</f>
        <v>6059296</v>
      </c>
      <c r="H22" s="20" t="n">
        <v>0</v>
      </c>
      <c r="I22" s="15" t="n">
        <f aca="false">ROUND(E22+HYPOTHESES!F$20,0)</f>
        <v>39451784</v>
      </c>
      <c r="J2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L22" s="37" t="s">
        <v>258</v>
      </c>
      <c r="M22" s="29" t="s">
        <v>259</v>
      </c>
    </row>
    <row r="23" customFormat="false" ht="15" hidden="false" customHeight="false" outlineLevel="0" collapsed="false">
      <c r="A23" s="38" t="n">
        <v>234100</v>
      </c>
      <c r="B23" s="39" t="s">
        <v>260</v>
      </c>
      <c r="C23" s="40" t="s">
        <v>261</v>
      </c>
      <c r="D23" s="43" t="n">
        <f aca="false">IF(LEFT(A23,1)&gt;="6",0,SUMIFS('BALANCE 2026'!$H:$H,'BALANCE 2026'!$A:$A,A23))</f>
        <v>103601492</v>
      </c>
      <c r="E23" s="43" t="n">
        <f aca="false">IF(LEFT(A23,1)&gt;="6",0,SUMIFS('BALANCE 2026'!$I:$I,'BALANCE 2026'!$A:$A,A23))</f>
        <v>0</v>
      </c>
      <c r="F23" s="43" t="n">
        <f aca="false">ROUND('INVEST ET FINANCEMENT'!F$9,0)</f>
        <v>0</v>
      </c>
      <c r="G23" s="43" t="n">
        <f aca="false">ROUND('INVEST ET FINANCEMENT'!F$9,0)+(D23-E23)-(H23-I23)</f>
        <v>0</v>
      </c>
      <c r="H23" s="43" t="n">
        <f aca="false">ROUND(D23+'INVEST ET FINANCEMENT'!F$9,0)</f>
        <v>103601492</v>
      </c>
      <c r="I23" s="42" t="n">
        <v>0</v>
      </c>
      <c r="J23" s="42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  <c r="L23" s="37" t="s">
        <v>262</v>
      </c>
      <c r="M23" s="29" t="s">
        <v>263</v>
      </c>
    </row>
    <row r="24" customFormat="false" ht="15" hidden="false" customHeight="false" outlineLevel="0" collapsed="false">
      <c r="A24" s="30" t="n">
        <v>241100</v>
      </c>
      <c r="B24" s="12" t="s">
        <v>264</v>
      </c>
      <c r="C24" s="13" t="s">
        <v>265</v>
      </c>
      <c r="D24" s="15" t="n">
        <f aca="false">IF(LEFT(A24,1)&gt;="6",0,SUMIFS('BALANCE 2026'!$H:$H,'BALANCE 2026'!$A:$A,A24))</f>
        <v>343845268</v>
      </c>
      <c r="E24" s="15" t="n">
        <f aca="false">IF(LEFT(A24,1)&gt;="6",0,SUMIFS('BALANCE 2026'!$I:$I,'BALANCE 2026'!$A:$A,A24))</f>
        <v>0</v>
      </c>
      <c r="F24" s="15" t="n">
        <f aca="false">ROUND('INVEST ET FINANCEMENT'!F$10,0)</f>
        <v>30000000</v>
      </c>
      <c r="G24" s="15" t="n">
        <f aca="false">ROUND('INVEST ET FINANCEMENT'!F$10,0)+(D24-E24)-(H24-I24)</f>
        <v>0</v>
      </c>
      <c r="H24" s="15" t="n">
        <f aca="false">ROUND(D24+'INVEST ET FINANCEMENT'!F$10,0)</f>
        <v>373845268</v>
      </c>
      <c r="I24" s="20" t="n">
        <v>0</v>
      </c>
      <c r="J2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25" customFormat="false" ht="15" hidden="false" customHeight="false" outlineLevel="0" collapsed="false">
      <c r="A25" s="30" t="n">
        <v>244100</v>
      </c>
      <c r="B25" s="12" t="s">
        <v>266</v>
      </c>
      <c r="C25" s="13" t="s">
        <v>265</v>
      </c>
      <c r="D25" s="15" t="n">
        <f aca="false">IF(LEFT(A25,1)&gt;="6",0,SUMIFS('BALANCE 2026'!$H:$H,'BALANCE 2026'!$A:$A,A25))</f>
        <v>9306956</v>
      </c>
      <c r="E25" s="15" t="n">
        <f aca="false">IF(LEFT(A25,1)&gt;="6",0,SUMIFS('BALANCE 2026'!$I:$I,'BALANCE 2026'!$A:$A,A25))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9306956</v>
      </c>
      <c r="I25" s="20" t="n">
        <v>0</v>
      </c>
      <c r="J2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26" customFormat="false" ht="15" hidden="false" customHeight="false" outlineLevel="0" collapsed="false">
      <c r="A26" s="30" t="n">
        <v>244200</v>
      </c>
      <c r="B26" s="12" t="s">
        <v>267</v>
      </c>
      <c r="C26" s="13" t="s">
        <v>265</v>
      </c>
      <c r="D26" s="15" t="n">
        <f aca="false">IF(LEFT(A26,1)&gt;="6",0,SUMIFS('BALANCE 2026'!$H:$H,'BALANCE 2026'!$A:$A,A26))</f>
        <v>18910459</v>
      </c>
      <c r="E26" s="15" t="n">
        <f aca="false">IF(LEFT(A26,1)&gt;="6",0,SUMIFS('BALANCE 2026'!$I:$I,'BALANCE 2026'!$A:$A,A26))</f>
        <v>0</v>
      </c>
      <c r="F26" s="15" t="n">
        <f aca="false">ROUND('INVEST ET FINANCEMENT'!F$11,0)</f>
        <v>5000000</v>
      </c>
      <c r="G26" s="15" t="n">
        <f aca="false">ROUND('INVEST ET FINANCEMENT'!F$11,0)+(D26-E26)-(H26-I26)</f>
        <v>0</v>
      </c>
      <c r="H26" s="15" t="n">
        <f aca="false">ROUND(D26+'INVEST ET FINANCEMENT'!F$11,0)</f>
        <v>23910459</v>
      </c>
      <c r="I26" s="20" t="n">
        <v>0</v>
      </c>
      <c r="J2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27" customFormat="false" ht="15" hidden="false" customHeight="false" outlineLevel="0" collapsed="false">
      <c r="A27" s="30" t="n">
        <v>245100</v>
      </c>
      <c r="B27" s="12" t="s">
        <v>268</v>
      </c>
      <c r="C27" s="13" t="s">
        <v>269</v>
      </c>
      <c r="D27" s="15" t="n">
        <f aca="false">IF(LEFT(A27,1)&gt;="6",0,SUMIFS('BALANCE 2026'!$H:$H,'BALANCE 2026'!$A:$A,A27))</f>
        <v>423638205</v>
      </c>
      <c r="E27" s="15" t="n">
        <f aca="false">IF(LEFT(A27,1)&gt;="6",0,SUMIFS('BALANCE 2026'!$I:$I,'BALANCE 2026'!$A:$A,A27))</f>
        <v>0</v>
      </c>
      <c r="F27" s="15" t="n">
        <f aca="false">ROUND('INVEST ET FINANCEMENT'!F$12,0)</f>
        <v>0</v>
      </c>
      <c r="G27" s="15" t="n">
        <f aca="false">ROUND('INVEST ET FINANCEMENT'!F$12,0)+(D27-E27)-(H27-I27)</f>
        <v>0</v>
      </c>
      <c r="H27" s="15" t="n">
        <f aca="false">ROUND(D27+'INVEST ET FINANCEMENT'!F$12,0)</f>
        <v>423638205</v>
      </c>
      <c r="I27" s="20" t="n">
        <v>0</v>
      </c>
      <c r="J2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28" customFormat="false" ht="15" hidden="false" customHeight="false" outlineLevel="0" collapsed="false">
      <c r="A28" s="30" t="n">
        <v>245600</v>
      </c>
      <c r="B28" s="12" t="s">
        <v>270</v>
      </c>
      <c r="C28" s="13" t="s">
        <v>269</v>
      </c>
      <c r="D28" s="15" t="n">
        <f aca="false">IF(LEFT(A28,1)&gt;="6",0,SUMIFS('BALANCE 2026'!$H:$H,'BALANCE 2026'!$A:$A,A28))</f>
        <v>28619694</v>
      </c>
      <c r="E28" s="15" t="n">
        <f aca="false">IF(LEFT(A28,1)&gt;="6",0,SUMIFS('BALANCE 2026'!$I:$I,'BALANCE 2026'!$A:$A,A28))</f>
        <v>0</v>
      </c>
      <c r="F28" s="20" t="n">
        <f aca="false">MAX(0,(H28-I28)-(D28-E28))</f>
        <v>0</v>
      </c>
      <c r="G28" s="20" t="n">
        <f aca="false">MAX(0,(D28-E28)-(H28-I28))</f>
        <v>0</v>
      </c>
      <c r="H28" s="20" t="n">
        <f aca="false">ROUND(D28,0)</f>
        <v>28619694</v>
      </c>
      <c r="I28" s="20" t="n">
        <v>0</v>
      </c>
      <c r="J2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29" customFormat="false" ht="15" hidden="false" customHeight="false" outlineLevel="0" collapsed="false">
      <c r="A29" s="30" t="n">
        <v>271800</v>
      </c>
      <c r="B29" s="12" t="s">
        <v>271</v>
      </c>
      <c r="C29" s="13" t="s">
        <v>272</v>
      </c>
      <c r="D29" s="15" t="n">
        <f aca="false">IF(LEFT(A29,1)&gt;="6",0,SUMIFS('BALANCE 2026'!$H:$H,'BALANCE 2026'!$A:$A,A29))</f>
        <v>25000000</v>
      </c>
      <c r="E29" s="15" t="n">
        <f aca="false">IF(LEFT(A29,1)&gt;="6",0,SUMIFS('BALANCE 2026'!$I:$I,'BALANCE 2026'!$A:$A,A29))</f>
        <v>0</v>
      </c>
      <c r="F29" s="20" t="n">
        <f aca="false">MAX(0,(H29-I29)-(D29-E29))</f>
        <v>0</v>
      </c>
      <c r="G29" s="20" t="n">
        <f aca="false">MAX(0,(D29-E29)-(H29-I29))</f>
        <v>0</v>
      </c>
      <c r="H29" s="20" t="n">
        <f aca="false">ROUND(D29,0)</f>
        <v>25000000</v>
      </c>
      <c r="I29" s="20" t="n">
        <v>0</v>
      </c>
      <c r="J2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0" customFormat="false" ht="15" hidden="false" customHeight="false" outlineLevel="0" collapsed="false">
      <c r="A30" s="30" t="n">
        <v>275100</v>
      </c>
      <c r="B30" s="12" t="s">
        <v>273</v>
      </c>
      <c r="C30" s="13" t="s">
        <v>272</v>
      </c>
      <c r="D30" s="15" t="n">
        <f aca="false">IF(LEFT(A30,1)&gt;="6",0,SUMIFS('BALANCE 2026'!$H:$H,'BALANCE 2026'!$A:$A,A30))</f>
        <v>231420138</v>
      </c>
      <c r="E30" s="15" t="n">
        <f aca="false">IF(LEFT(A30,1)&gt;="6",0,SUMIFS('BALANCE 2026'!$I:$I,'BALANCE 2026'!$A:$A,A30))</f>
        <v>0</v>
      </c>
      <c r="F30" s="15" t="n">
        <f aca="false">ROUND('INVEST ET FINANCEMENT'!F$13,0)</f>
        <v>0</v>
      </c>
      <c r="G30" s="15" t="n">
        <f aca="false">ROUND('INVEST ET FINANCEMENT'!F$13,0)+(D30-E30)-(H30-I30)</f>
        <v>0</v>
      </c>
      <c r="H30" s="15" t="n">
        <f aca="false">ROUND(D30+'INVEST ET FINANCEMENT'!F$13,0)</f>
        <v>231420138</v>
      </c>
      <c r="I30" s="20" t="n">
        <v>0</v>
      </c>
      <c r="J3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1" customFormat="false" ht="15" hidden="false" customHeight="false" outlineLevel="0" collapsed="false">
      <c r="A31" s="30" t="n">
        <v>283400</v>
      </c>
      <c r="B31" s="12" t="s">
        <v>274</v>
      </c>
      <c r="C31" s="13" t="s">
        <v>261</v>
      </c>
      <c r="D31" s="15" t="n">
        <f aca="false">IF(LEFT(A31,1)&gt;="6",0,SUMIFS('BALANCE 2026'!$H:$H,'BALANCE 2026'!$A:$A,A31))</f>
        <v>0</v>
      </c>
      <c r="E31" s="15" t="n">
        <f aca="false">IF(LEFT(A31,1)&gt;="6",0,SUMIFS('BALANCE 2026'!$I:$I,'BALANCE 2026'!$A:$A,A31))</f>
        <v>80502166</v>
      </c>
      <c r="F31" s="15" t="n">
        <f aca="false">ROUND('INVEST ET FINANCEMENT'!F$31,0)+(H31-I31)-(D31-E31)</f>
        <v>0</v>
      </c>
      <c r="G31" s="15" t="n">
        <f aca="false">ROUND('INVEST ET FINANCEMENT'!F$31,0)</f>
        <v>19282845</v>
      </c>
      <c r="H31" s="20" t="n">
        <v>0</v>
      </c>
      <c r="I31" s="15" t="n">
        <f aca="false">ROUND(E31+'INVEST ET FINANCEMENT'!F$31,0)</f>
        <v>99785011</v>
      </c>
      <c r="J3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2" customFormat="false" ht="15" hidden="false" customHeight="false" outlineLevel="0" collapsed="false">
      <c r="A32" s="30" t="n">
        <v>284100</v>
      </c>
      <c r="B32" s="12" t="s">
        <v>275</v>
      </c>
      <c r="C32" s="13" t="s">
        <v>265</v>
      </c>
      <c r="D32" s="15" t="n">
        <f aca="false">IF(LEFT(A32,1)&gt;="6",0,SUMIFS('BALANCE 2026'!$H:$H,'BALANCE 2026'!$A:$A,A32))</f>
        <v>0</v>
      </c>
      <c r="E32" s="15" t="n">
        <f aca="false">IF(LEFT(A32,1)&gt;="6",0,SUMIFS('BALANCE 2026'!$I:$I,'BALANCE 2026'!$A:$A,A32))</f>
        <v>135043749</v>
      </c>
      <c r="F32" s="15" t="n">
        <f aca="false">ROUND('INVEST ET FINANCEMENT'!F$34,0)+(H32-I32)-(D32-E32)</f>
        <v>0</v>
      </c>
      <c r="G32" s="15" t="n">
        <f aca="false">ROUND('INVEST ET FINANCEMENT'!F$34,0)</f>
        <v>56854932</v>
      </c>
      <c r="H32" s="20" t="n">
        <v>0</v>
      </c>
      <c r="I32" s="15" t="n">
        <f aca="false">ROUND(E32+'INVEST ET FINANCEMENT'!F$34,0)</f>
        <v>191898681</v>
      </c>
      <c r="J3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3" customFormat="false" ht="15" hidden="false" customHeight="false" outlineLevel="0" collapsed="false">
      <c r="A33" s="30" t="n">
        <v>284400</v>
      </c>
      <c r="B33" s="12" t="s">
        <v>276</v>
      </c>
      <c r="C33" s="13" t="s">
        <v>265</v>
      </c>
      <c r="D33" s="15" t="n">
        <f aca="false">IF(LEFT(A33,1)&gt;="6",0,SUMIFS('BALANCE 2026'!$H:$H,'BALANCE 2026'!$A:$A,A33))</f>
        <v>0</v>
      </c>
      <c r="E33" s="15" t="n">
        <f aca="false">IF(LEFT(A33,1)&gt;="6",0,SUMIFS('BALANCE 2026'!$I:$I,'BALANCE 2026'!$A:$A,A33))</f>
        <v>25717415</v>
      </c>
      <c r="F33" s="15" t="n">
        <f aca="false">ROUND('INVEST ET FINANCEMENT'!F$37,0)+(H33-I33)-(D33-E33)</f>
        <v>0</v>
      </c>
      <c r="G33" s="15" t="n">
        <f aca="false">ROUND('INVEST ET FINANCEMENT'!F$37,0)</f>
        <v>5000000</v>
      </c>
      <c r="H33" s="20" t="n">
        <v>0</v>
      </c>
      <c r="I33" s="15" t="n">
        <f aca="false">ROUND(E33+'INVEST ET FINANCEMENT'!F$37,0)</f>
        <v>30717415</v>
      </c>
      <c r="J3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4" customFormat="false" ht="15" hidden="false" customHeight="false" outlineLevel="0" collapsed="false">
      <c r="A34" s="30" t="n">
        <v>284500</v>
      </c>
      <c r="B34" s="12" t="s">
        <v>277</v>
      </c>
      <c r="C34" s="13" t="s">
        <v>269</v>
      </c>
      <c r="D34" s="15" t="n">
        <f aca="false">IF(LEFT(A34,1)&gt;="6",0,SUMIFS('BALANCE 2026'!$H:$H,'BALANCE 2026'!$A:$A,A34))</f>
        <v>0</v>
      </c>
      <c r="E34" s="15" t="n">
        <f aca="false">IF(LEFT(A34,1)&gt;="6",0,SUMIFS('BALANCE 2026'!$I:$I,'BALANCE 2026'!$A:$A,A34))</f>
        <v>397825832</v>
      </c>
      <c r="F34" s="15" t="n">
        <f aca="false">ROUND('INVEST ET FINANCEMENT'!F$40,0)+(H34-I34)-(D34-E34)</f>
        <v>0</v>
      </c>
      <c r="G34" s="15" t="n">
        <f aca="false">ROUND('INVEST ET FINANCEMENT'!F$40,0)</f>
        <v>15958378</v>
      </c>
      <c r="H34" s="20" t="n">
        <v>0</v>
      </c>
      <c r="I34" s="15" t="n">
        <f aca="false">ROUND(E34+'INVEST ET FINANCEMENT'!F$40,0)</f>
        <v>413784210</v>
      </c>
      <c r="J3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5" customFormat="false" ht="15" hidden="false" customHeight="false" outlineLevel="0" collapsed="false">
      <c r="A35" s="38" t="n">
        <v>401100</v>
      </c>
      <c r="B35" s="39" t="s">
        <v>278</v>
      </c>
      <c r="C35" s="40" t="s">
        <v>279</v>
      </c>
      <c r="D35" s="43" t="n">
        <f aca="false">IF(LEFT(A35,1)&gt;="6",0,SUMIFS('BALANCE 2026'!$H:$H,'BALANCE 2026'!$A:$A,A35))</f>
        <v>0</v>
      </c>
      <c r="E35" s="43" t="n">
        <f aca="false">IF(LEFT(A35,1)&gt;="6",0,SUMIFS('BALANCE 2026'!$I:$I,'BALANCE 2026'!$A:$A,A35))</f>
        <v>81595000</v>
      </c>
      <c r="F35" s="43" t="n">
        <f aca="false">ROUND(HYPOTHESES!F$49*(1+HYPOTHESES!F$10),0)+(H35-I35)-(D35-E35)</f>
        <v>537023933</v>
      </c>
      <c r="G35" s="43" t="n">
        <f aca="false">ROUND(HYPOTHESES!F$49*(1+HYPOTHESES!F$10),0)</f>
        <v>541103683</v>
      </c>
      <c r="H35" s="42" t="n">
        <v>0</v>
      </c>
      <c r="I35" s="43" t="n">
        <f aca="false">ROUND(HYPOTHESES!F$49*(1+HYPOTHESES!F$10)*HYPOTHESES!F$23/360,0)</f>
        <v>85674750</v>
      </c>
      <c r="J35" s="42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6" customFormat="false" ht="15" hidden="false" customHeight="false" outlineLevel="0" collapsed="false">
      <c r="A36" s="30" t="n">
        <v>409100</v>
      </c>
      <c r="B36" s="12" t="s">
        <v>280</v>
      </c>
      <c r="C36" s="13" t="s">
        <v>281</v>
      </c>
      <c r="D36" s="15" t="n">
        <f aca="false">IF(LEFT(A36,1)&gt;="6",0,SUMIFS('BALANCE 2026'!$H:$H,'BALANCE 2026'!$A:$A,A36))</f>
        <v>0</v>
      </c>
      <c r="E36" s="15" t="n">
        <f aca="false">IF(LEFT(A36,1)&gt;="6",0,SUMIFS('BALANCE 2026'!$I:$I,'BALANCE 2026'!$A:$A,A36))</f>
        <v>0</v>
      </c>
      <c r="F36" s="20" t="n">
        <f aca="false">MAX(0,(H36-I36)-(D36-E36))</f>
        <v>0</v>
      </c>
      <c r="G36" s="20" t="n">
        <f aca="false">MAX(0,(D36-E36)-(H36-I36))</f>
        <v>0</v>
      </c>
      <c r="H36" s="15" t="n">
        <f aca="false">ROUND(IF(LEFT(A36,1)&gt;="6",IF(C36="RE",IF(HYPOTHESES!$C$43=0,0,HYPOTHESES!F$43*SUMIFS('BALANCE 2024'!$H:$H,'BALANCE 2024'!$A:$A,A36)/HYPOTHESES!$C$43),IF(C36="RG",IF(HYPOTHESES!$C$44=0,0,HYPOTHESES!F$44*SUMIFS('BALANCE 2024'!$H:$H,'BALANCE 2024'!$A:$A,A36)/HYPOTHESES!$C$44),IF(C36="RH",IF(HYPOTHESES!$C$45=0,0,HYPOTHESES!F$45*SUMIFS('BALANCE 2024'!$H:$H,'BALANCE 2024'!$A:$A,A36)/HYPOTHESES!$C$45),IF(C36="RI",IF(HYPOTHESES!$C$46=0,0,HYPOTHESES!F$46*SUMIFS('BALANCE 2024'!$H:$H,'BALANCE 2024'!$A:$A,A36)/HYPOTHESES!$C$46),IF(C36="RJ",IF(HYPOTHESES!$C$47=0,0,HYPOTHESES!F$47*SUMIFS('BALANCE 2024'!$H:$H,'BALANCE 2024'!$A:$A,A36)/HYPOTHESES!$C$47),IF(C36="RK",IF(HYPOTHESES!$C$48=0,0,HYPOTHESES!F$48*SUMIFS('BALANCE 2024'!$H:$H,'BALANCE 2024'!$A:$A,A36)/HYPOTHESES!$C$48),0)))))),MAX(0,D36-E36)),0)</f>
        <v>0</v>
      </c>
      <c r="I36" s="20" t="n">
        <f aca="false">ROUND(IF(LEFT(A36,1)&gt;="6",0,MAX(0,E36-D36)),0)</f>
        <v>0</v>
      </c>
      <c r="J3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7" customFormat="false" ht="15" hidden="false" customHeight="false" outlineLevel="0" collapsed="false">
      <c r="A37" s="30" t="n">
        <v>411100</v>
      </c>
      <c r="B37" s="12" t="s">
        <v>282</v>
      </c>
      <c r="C37" s="13" t="s">
        <v>283</v>
      </c>
      <c r="D37" s="15" t="n">
        <f aca="false">IF(LEFT(A37,1)&gt;="6",0,SUMIFS('BALANCE 2026'!$H:$H,'BALANCE 2026'!$A:$A,A37))</f>
        <v>508573077</v>
      </c>
      <c r="E37" s="15" t="n">
        <f aca="false">IF(LEFT(A37,1)&gt;="6",0,SUMIFS('BALANCE 2026'!$I:$I,'BALANCE 2026'!$A:$A,A37))</f>
        <v>0</v>
      </c>
      <c r="F37" s="15" t="n">
        <f aca="false">ROUND(HYPOTHESES!F$42*(1+HYPOTHESES!F$10),0)</f>
        <v>975840727</v>
      </c>
      <c r="G37" s="15" t="n">
        <f aca="false">ROUND(HYPOTHESES!F$42*(1+HYPOTHESES!F$10),0)+(D37-E37)-(H37-I37)</f>
        <v>950412073</v>
      </c>
      <c r="H37" s="15" t="n">
        <f aca="false">ROUND(HYPOTHESES!F$42*(1+HYPOTHESES!F$10)*HYPOTHESES!F$22/360,0)</f>
        <v>534001731</v>
      </c>
      <c r="I37" s="20" t="n">
        <v>0</v>
      </c>
      <c r="J3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8" customFormat="false" ht="15" hidden="false" customHeight="false" outlineLevel="0" collapsed="false">
      <c r="A38" s="30" t="n">
        <v>422000</v>
      </c>
      <c r="B38" s="12" t="s">
        <v>284</v>
      </c>
      <c r="C38" s="13" t="s">
        <v>285</v>
      </c>
      <c r="D38" s="15" t="n">
        <f aca="false">IF(LEFT(A38,1)&gt;="6",0,SUMIFS('BALANCE 2026'!$H:$H,'BALANCE 2026'!$A:$A,A38))</f>
        <v>0</v>
      </c>
      <c r="E38" s="15" t="n">
        <f aca="false">IF(LEFT(A38,1)&gt;="6",0,SUMIFS('BALANCE 2026'!$I:$I,'BALANCE 2026'!$A:$A,A38))</f>
        <v>12520695</v>
      </c>
      <c r="F38" s="15" t="n">
        <f aca="false">ROUND(IF(HYPOTHESES!$C$48=0,0,'BALANCE 2024'!$G$38*HYPOTHESES!F$48/HYPOTHESES!$C$48),0)+(H38-I38)-(D38-E38)</f>
        <v>95221295</v>
      </c>
      <c r="G38" s="15" t="n">
        <f aca="false">ROUND(IF(HYPOTHESES!$C$48=0,0,'BALANCE 2024'!$G$38*HYPOTHESES!F$48/HYPOTHESES!$C$48),0)</f>
        <v>95847329</v>
      </c>
      <c r="H38" s="20" t="n">
        <v>0</v>
      </c>
      <c r="I38" s="15" t="n">
        <f aca="false">ROUND(IF(HYPOTHESES!$C$48=0,0,'BALANCE 2024'!$I$38*HYPOTHESES!F$48/HYPOTHESES!$C$48),0)</f>
        <v>13146729</v>
      </c>
      <c r="J3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39" customFormat="false" ht="15" hidden="false" customHeight="false" outlineLevel="0" collapsed="false">
      <c r="A39" s="30" t="n">
        <v>431301</v>
      </c>
      <c r="B39" s="12" t="s">
        <v>286</v>
      </c>
      <c r="C39" s="13" t="s">
        <v>285</v>
      </c>
      <c r="D39" s="15" t="n">
        <f aca="false">IF(LEFT(A39,1)&gt;="6",0,SUMIFS('BALANCE 2026'!$H:$H,'BALANCE 2026'!$A:$A,A39))</f>
        <v>0</v>
      </c>
      <c r="E39" s="15" t="n">
        <f aca="false">IF(LEFT(A39,1)&gt;="6",0,SUMIFS('BALANCE 2026'!$I:$I,'BALANCE 2026'!$A:$A,A39))</f>
        <v>5457951</v>
      </c>
      <c r="F39" s="15" t="n">
        <f aca="false">ROUND(IF(HYPOTHESES!$C$48=0,0,'BALANCE 2024'!$G$39*HYPOTHESES!F$48/HYPOTHESES!$C$48),0)+(H39-I39)-(D39-E39)</f>
        <v>7988688</v>
      </c>
      <c r="G39" s="15" t="n">
        <f aca="false">ROUND(IF(HYPOTHESES!$C$48=0,0,'BALANCE 2024'!$G$39*HYPOTHESES!F$48/HYPOTHESES!$C$48),0)</f>
        <v>8261585</v>
      </c>
      <c r="H39" s="20" t="n">
        <v>0</v>
      </c>
      <c r="I39" s="15" t="n">
        <f aca="false">ROUND(IF(HYPOTHESES!$C$48=0,0,'BALANCE 2024'!$I$39*HYPOTHESES!F$48/HYPOTHESES!$C$48),0)</f>
        <v>5730848</v>
      </c>
      <c r="J3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0" customFormat="false" ht="15" hidden="false" customHeight="false" outlineLevel="0" collapsed="false">
      <c r="A40" s="30" t="n">
        <v>431302</v>
      </c>
      <c r="B40" s="12" t="s">
        <v>287</v>
      </c>
      <c r="C40" s="13" t="s">
        <v>285</v>
      </c>
      <c r="D40" s="15" t="n">
        <f aca="false">IF(LEFT(A40,1)&gt;="6",0,SUMIFS('BALANCE 2026'!$H:$H,'BALANCE 2026'!$A:$A,A40))</f>
        <v>0</v>
      </c>
      <c r="E40" s="15" t="n">
        <f aca="false">IF(LEFT(A40,1)&gt;="6",0,SUMIFS('BALANCE 2026'!$I:$I,'BALANCE 2026'!$A:$A,A40))</f>
        <v>1350516</v>
      </c>
      <c r="F40" s="15" t="n">
        <f aca="false">ROUND(IF(HYPOTHESES!$C$48=0,0,'BALANCE 2024'!$G$40*HYPOTHESES!F$48/HYPOTHESES!$C$48),0)+(H40-I40)-(D40-E40)</f>
        <v>13446969</v>
      </c>
      <c r="G40" s="15" t="n">
        <f aca="false">ROUND(IF(HYPOTHESES!$C$48=0,0,'BALANCE 2024'!$G$40*HYPOTHESES!F$48/HYPOTHESES!$C$48),0)</f>
        <v>13514495</v>
      </c>
      <c r="H40" s="20" t="n">
        <v>0</v>
      </c>
      <c r="I40" s="15" t="n">
        <f aca="false">ROUND(IF(HYPOTHESES!$C$48=0,0,'BALANCE 2024'!$I$40*HYPOTHESES!F$48/HYPOTHESES!$C$48),0)</f>
        <v>1418042</v>
      </c>
      <c r="J4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1" customFormat="false" ht="15" hidden="false" customHeight="false" outlineLevel="0" collapsed="false">
      <c r="A41" s="30" t="n">
        <v>431802</v>
      </c>
      <c r="B41" s="12" t="s">
        <v>288</v>
      </c>
      <c r="C41" s="13" t="s">
        <v>285</v>
      </c>
      <c r="D41" s="15" t="n">
        <f aca="false">IF(LEFT(A41,1)&gt;="6",0,SUMIFS('BALANCE 2026'!$H:$H,'BALANCE 2026'!$A:$A,A41))</f>
        <v>0</v>
      </c>
      <c r="E41" s="15" t="n">
        <f aca="false">IF(LEFT(A41,1)&gt;="6",0,SUMIFS('BALANCE 2026'!$I:$I,'BALANCE 2026'!$A:$A,A41))</f>
        <v>181885</v>
      </c>
      <c r="F41" s="15" t="n">
        <f aca="false">ROUND(IF(HYPOTHESES!$C$48=0,0,'BALANCE 2024'!$G$41*HYPOTHESES!F$48/HYPOTHESES!$C$48),0)+(H41-I41)-(D41-E41)</f>
        <v>448040</v>
      </c>
      <c r="G41" s="15" t="n">
        <f aca="false">ROUND(IF(HYPOTHESES!$C$48=0,0,'BALANCE 2024'!$G$41*HYPOTHESES!F$48/HYPOTHESES!$C$48),0)</f>
        <v>457135</v>
      </c>
      <c r="H41" s="20" t="n">
        <v>0</v>
      </c>
      <c r="I41" s="15" t="n">
        <f aca="false">ROUND(IF(HYPOTHESES!$C$48=0,0,'BALANCE 2024'!$I$41*HYPOTHESES!F$48/HYPOTHESES!$C$48),0)</f>
        <v>190980</v>
      </c>
      <c r="J4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2" customFormat="false" ht="15" hidden="false" customHeight="false" outlineLevel="0" collapsed="false">
      <c r="A42" s="30" t="n">
        <v>433300</v>
      </c>
      <c r="B42" s="12" t="s">
        <v>289</v>
      </c>
      <c r="C42" s="13" t="s">
        <v>285</v>
      </c>
      <c r="D42" s="15" t="n">
        <f aca="false">IF(LEFT(A42,1)&gt;="6",0,SUMIFS('BALANCE 2026'!$H:$H,'BALANCE 2026'!$A:$A,A42))</f>
        <v>0</v>
      </c>
      <c r="E42" s="15" t="n">
        <f aca="false">IF(LEFT(A42,1)&gt;="6",0,SUMIFS('BALANCE 2026'!$I:$I,'BALANCE 2026'!$A:$A,A42))</f>
        <v>0</v>
      </c>
      <c r="F42" s="15" t="n">
        <f aca="false">ROUND(IF(HYPOTHESES!$C$48=0,0,'BALANCE 2024'!$G$42*HYPOTHESES!F$48/HYPOTHESES!$C$48),0)+(H42-I42)-(D42-E42)</f>
        <v>0</v>
      </c>
      <c r="G42" s="15" t="n">
        <f aca="false">ROUND(IF(HYPOTHESES!$C$48=0,0,'BALANCE 2024'!$G$42*HYPOTHESES!F$48/HYPOTHESES!$C$48),0)</f>
        <v>0</v>
      </c>
      <c r="H42" s="20" t="n">
        <v>0</v>
      </c>
      <c r="I42" s="15" t="n">
        <f aca="false">ROUND(IF(HYPOTHESES!$C$48=0,0,'BALANCE 2024'!$I$42*HYPOTHESES!F$48/HYPOTHESES!$C$48),0)</f>
        <v>0</v>
      </c>
      <c r="J4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3" customFormat="false" ht="15" hidden="false" customHeight="false" outlineLevel="0" collapsed="false">
      <c r="A43" s="30" t="n">
        <v>441000</v>
      </c>
      <c r="B43" s="12" t="s">
        <v>290</v>
      </c>
      <c r="C43" s="13" t="s">
        <v>285</v>
      </c>
      <c r="D43" s="15" t="n">
        <f aca="false">IF(LEFT(A43,1)&gt;="6",0,SUMIFS('BALANCE 2026'!$H:$H,'BALANCE 2026'!$A:$A,A43))</f>
        <v>0</v>
      </c>
      <c r="E43" s="15" t="n">
        <f aca="false">IF(LEFT(A43,1)&gt;="6",0,SUMIFS('BALANCE 2026'!$I:$I,'BALANCE 2026'!$A:$A,A43))</f>
        <v>28670509</v>
      </c>
      <c r="F43" s="15" t="n">
        <f aca="false">ROUND(HYPOTHESES!F$56,0)+(H43-I43)-(D43-E43)</f>
        <v>28670509</v>
      </c>
      <c r="G43" s="15" t="n">
        <f aca="false">ROUND(HYPOTHESES!F$56,0)</f>
        <v>30492779</v>
      </c>
      <c r="H43" s="20" t="n">
        <v>0</v>
      </c>
      <c r="I43" s="15" t="n">
        <f aca="false">ROUND(HYPOTHESES!F$56,0)</f>
        <v>30492779</v>
      </c>
      <c r="J4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4" customFormat="false" ht="15" hidden="false" customHeight="false" outlineLevel="0" collapsed="false">
      <c r="A44" s="30" t="n">
        <v>442800</v>
      </c>
      <c r="B44" s="12" t="s">
        <v>291</v>
      </c>
      <c r="C44" s="13" t="s">
        <v>285</v>
      </c>
      <c r="D44" s="15" t="n">
        <f aca="false">IF(LEFT(A44,1)&gt;="6",0,SUMIFS('BALANCE 2026'!$H:$H,'BALANCE 2026'!$A:$A,A44))</f>
        <v>0</v>
      </c>
      <c r="E44" s="15" t="n">
        <f aca="false">IF(LEFT(A44,1)&gt;="6",0,SUMIFS('BALANCE 2026'!$I:$I,'BALANCE 2026'!$A:$A,A44))</f>
        <v>814843</v>
      </c>
      <c r="F44" s="15" t="n">
        <f aca="false">ROUND(IF(HYPOTHESES!$C$46=0,0,'BALANCE 2024'!$G$44*HYPOTHESES!F$46/HYPOTHESES!$C$46),0)+(H44-I44)-(D44-E44)</f>
        <v>814843</v>
      </c>
      <c r="G44" s="15" t="n">
        <f aca="false">ROUND(IF(HYPOTHESES!$C$46=0,0,'BALANCE 2024'!$G$44*HYPOTHESES!F$46/HYPOTHESES!$C$46),0)</f>
        <v>855586</v>
      </c>
      <c r="H44" s="20" t="n">
        <v>0</v>
      </c>
      <c r="I44" s="15" t="n">
        <f aca="false">ROUND(IF(HYPOTHESES!$C$46=0,0,'BALANCE 2024'!$I$44*HYPOTHESES!F$46/HYPOTHESES!$C$46),0)</f>
        <v>855586</v>
      </c>
      <c r="J4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5" customFormat="false" ht="15" hidden="false" customHeight="false" outlineLevel="0" collapsed="false">
      <c r="A45" s="30" t="n">
        <v>442801</v>
      </c>
      <c r="B45" s="12" t="s">
        <v>292</v>
      </c>
      <c r="C45" s="13" t="s">
        <v>285</v>
      </c>
      <c r="D45" s="15" t="n">
        <f aca="false">IF(LEFT(A45,1)&gt;="6",0,SUMIFS('BALANCE 2026'!$H:$H,'BALANCE 2026'!$A:$A,A45))</f>
        <v>0</v>
      </c>
      <c r="E45" s="15" t="n">
        <f aca="false">IF(LEFT(A45,1)&gt;="6",0,SUMIFS('BALANCE 2026'!$I:$I,'BALANCE 2026'!$A:$A,A45))</f>
        <v>116856</v>
      </c>
      <c r="F45" s="15" t="n">
        <f aca="false">ROUND(IF(HYPOTHESES!$C$46=0,0,'BALANCE 2024'!$G$45*HYPOTHESES!F$46/HYPOTHESES!$C$46),0)+(H45-I45)-(D45-E45)</f>
        <v>116856</v>
      </c>
      <c r="G45" s="15" t="n">
        <f aca="false">ROUND(IF(HYPOTHESES!$C$46=0,0,'BALANCE 2024'!$G$45*HYPOTHESES!F$46/HYPOTHESES!$C$46),0)</f>
        <v>122699</v>
      </c>
      <c r="H45" s="20" t="n">
        <v>0</v>
      </c>
      <c r="I45" s="15" t="n">
        <f aca="false">ROUND(IF(HYPOTHESES!$C$46=0,0,'BALANCE 2024'!$I$45*HYPOTHESES!F$46/HYPOTHESES!$C$46),0)</f>
        <v>122699</v>
      </c>
      <c r="J4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6" customFormat="false" ht="15" hidden="false" customHeight="false" outlineLevel="0" collapsed="false">
      <c r="A46" s="30" t="n">
        <v>442802</v>
      </c>
      <c r="B46" s="12" t="s">
        <v>293</v>
      </c>
      <c r="C46" s="13" t="s">
        <v>285</v>
      </c>
      <c r="D46" s="15" t="n">
        <f aca="false">IF(LEFT(A46,1)&gt;="6",0,SUMIFS('BALANCE 2026'!$H:$H,'BALANCE 2026'!$A:$A,A46))</f>
        <v>0</v>
      </c>
      <c r="E46" s="15" t="n">
        <f aca="false">IF(LEFT(A46,1)&gt;="6",0,SUMIFS('BALANCE 2026'!$I:$I,'BALANCE 2026'!$A:$A,A46))</f>
        <v>175292</v>
      </c>
      <c r="F46" s="15" t="n">
        <f aca="false">ROUND(IF(HYPOTHESES!$C$46=0,0,'BALANCE 2024'!$G$46*HYPOTHESES!F$46/HYPOTHESES!$C$46),0)+(H46-I46)-(D46-E46)</f>
        <v>175292</v>
      </c>
      <c r="G46" s="15" t="n">
        <f aca="false">ROUND(IF(HYPOTHESES!$C$46=0,0,'BALANCE 2024'!$G$46*HYPOTHESES!F$46/HYPOTHESES!$C$46),0)</f>
        <v>184056</v>
      </c>
      <c r="H46" s="20" t="n">
        <v>0</v>
      </c>
      <c r="I46" s="15" t="n">
        <f aca="false">ROUND(IF(HYPOTHESES!$C$46=0,0,'BALANCE 2024'!$I$46*HYPOTHESES!F$46/HYPOTHESES!$C$46),0)</f>
        <v>184056</v>
      </c>
      <c r="J4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7" customFormat="false" ht="15" hidden="false" customHeight="false" outlineLevel="0" collapsed="false">
      <c r="A47" s="30" t="n">
        <v>442803</v>
      </c>
      <c r="B47" s="12" t="s">
        <v>294</v>
      </c>
      <c r="C47" s="13" t="s">
        <v>285</v>
      </c>
      <c r="D47" s="15" t="n">
        <f aca="false">IF(LEFT(A47,1)&gt;="6",0,SUMIFS('BALANCE 2026'!$H:$H,'BALANCE 2026'!$A:$A,A47))</f>
        <v>0</v>
      </c>
      <c r="E47" s="15" t="n">
        <f aca="false">IF(LEFT(A47,1)&gt;="6",0,SUMIFS('BALANCE 2026'!$I:$I,'BALANCE 2026'!$A:$A,A47))</f>
        <v>175291</v>
      </c>
      <c r="F47" s="15" t="n">
        <f aca="false">ROUND(IF(HYPOTHESES!$C$46=0,0,'BALANCE 2024'!$G$47*HYPOTHESES!F$46/HYPOTHESES!$C$46),0)+(H47-I47)-(D47-E47)</f>
        <v>175291</v>
      </c>
      <c r="G47" s="15" t="n">
        <f aca="false">ROUND(IF(HYPOTHESES!$C$46=0,0,'BALANCE 2024'!$G$47*HYPOTHESES!F$46/HYPOTHESES!$C$46),0)</f>
        <v>184055</v>
      </c>
      <c r="H47" s="20" t="n">
        <v>0</v>
      </c>
      <c r="I47" s="15" t="n">
        <f aca="false">ROUND(IF(HYPOTHESES!$C$46=0,0,'BALANCE 2024'!$I$47*HYPOTHESES!F$46/HYPOTHESES!$C$46),0)</f>
        <v>184055</v>
      </c>
      <c r="J4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8" customFormat="false" ht="15" hidden="false" customHeight="false" outlineLevel="0" collapsed="false">
      <c r="A48" s="30" t="n">
        <v>442820</v>
      </c>
      <c r="B48" s="12" t="s">
        <v>295</v>
      </c>
      <c r="C48" s="13" t="s">
        <v>285</v>
      </c>
      <c r="D48" s="15" t="n">
        <f aca="false">IF(LEFT(A48,1)&gt;="6",0,SUMIFS('BALANCE 2026'!$H:$H,'BALANCE 2026'!$A:$A,A48))</f>
        <v>0</v>
      </c>
      <c r="E48" s="15" t="n">
        <f aca="false">IF(LEFT(A48,1)&gt;="6",0,SUMIFS('BALANCE 2026'!$I:$I,'BALANCE 2026'!$A:$A,A48))</f>
        <v>412790</v>
      </c>
      <c r="F48" s="15" t="n">
        <f aca="false">ROUND(IF(HYPOTHESES!$C$46=0,0,'BALANCE 2024'!$G$48*HYPOTHESES!F$46/HYPOTHESES!$C$46),0)+(H48-I48)-(D48-E48)</f>
        <v>953932</v>
      </c>
      <c r="G48" s="15" t="n">
        <f aca="false">ROUND(IF(HYPOTHESES!$C$46=0,0,'BALANCE 2024'!$G$48*HYPOTHESES!F$46/HYPOTHESES!$C$46),0)</f>
        <v>974572</v>
      </c>
      <c r="H48" s="20" t="n">
        <v>0</v>
      </c>
      <c r="I48" s="15" t="n">
        <f aca="false">ROUND(IF(HYPOTHESES!$C$46=0,0,'BALANCE 2024'!$I$48*HYPOTHESES!F$46/HYPOTHESES!$C$46),0)</f>
        <v>433430</v>
      </c>
      <c r="J4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49" customFormat="false" ht="15" hidden="false" customHeight="false" outlineLevel="0" collapsed="false">
      <c r="A49" s="30" t="n">
        <v>442840</v>
      </c>
      <c r="B49" s="12" t="s">
        <v>296</v>
      </c>
      <c r="C49" s="13" t="s">
        <v>285</v>
      </c>
      <c r="D49" s="15" t="n">
        <f aca="false">IF(LEFT(A49,1)&gt;="6",0,SUMIFS('BALANCE 2026'!$H:$H,'BALANCE 2026'!$A:$A,A49))</f>
        <v>0</v>
      </c>
      <c r="E49" s="15" t="n">
        <f aca="false">IF(LEFT(A49,1)&gt;="6",0,SUMIFS('BALANCE 2026'!$I:$I,'BALANCE 2026'!$A:$A,A49))</f>
        <v>5614514</v>
      </c>
      <c r="F49" s="15" t="n">
        <f aca="false">ROUND(IF(HYPOTHESES!$C$46=0,0,'BALANCE 2024'!$G$49*HYPOTHESES!F$46/HYPOTHESES!$C$46),0)+(H49-I49)-(D49-E49)</f>
        <v>10395710</v>
      </c>
      <c r="G49" s="15" t="n">
        <f aca="false">ROUND(IF(HYPOTHESES!$C$46=0,0,'BALANCE 2024'!$G$49*HYPOTHESES!F$46/HYPOTHESES!$C$46),0)</f>
        <v>10676436</v>
      </c>
      <c r="H49" s="20" t="n">
        <v>0</v>
      </c>
      <c r="I49" s="15" t="n">
        <f aca="false">ROUND(IF(HYPOTHESES!$C$46=0,0,'BALANCE 2024'!$I$49*HYPOTHESES!F$46/HYPOTHESES!$C$46),0)</f>
        <v>5895240</v>
      </c>
      <c r="J4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0" customFormat="false" ht="15" hidden="false" customHeight="false" outlineLevel="0" collapsed="false">
      <c r="A50" s="30" t="n">
        <v>443300</v>
      </c>
      <c r="B50" s="12" t="s">
        <v>297</v>
      </c>
      <c r="C50" s="13" t="s">
        <v>285</v>
      </c>
      <c r="D50" s="15" t="n">
        <f aca="false">IF(LEFT(A50,1)&gt;="6",0,SUMIFS('BALANCE 2026'!$H:$H,'BALANCE 2026'!$A:$A,A50))</f>
        <v>0</v>
      </c>
      <c r="E50" s="15" t="n">
        <f aca="false">IF(LEFT(A50,1)&gt;="6",0,SUMIFS('BALANCE 2026'!$I:$I,'BALANCE 2026'!$A:$A,A50))</f>
        <v>58637133</v>
      </c>
      <c r="F50" s="15" t="n">
        <f aca="false">ROUND(HYPOTHESES!F$42*HYPOTHESES!F$10,0)+(H50-I50)-(D50-E50)</f>
        <v>145925203</v>
      </c>
      <c r="G50" s="15" t="n">
        <f aca="false">ROUND(HYPOTHESES!F$42*HYPOTHESES!F$10,0)</f>
        <v>148857060</v>
      </c>
      <c r="H50" s="20" t="n">
        <v>0</v>
      </c>
      <c r="I50" s="15" t="n">
        <f aca="false">ROUND(IF('BALANCE 2024'!$H$37=0,0,'BALANCE 2024'!$I$50*H37/'BALANCE 2024'!$H$37),0)</f>
        <v>61568990</v>
      </c>
      <c r="J5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1" customFormat="false" ht="15" hidden="false" customHeight="false" outlineLevel="0" collapsed="false">
      <c r="A51" s="30" t="n">
        <v>446000</v>
      </c>
      <c r="B51" s="12" t="s">
        <v>298</v>
      </c>
      <c r="C51" s="13" t="s">
        <v>285</v>
      </c>
      <c r="D51" s="15" t="n">
        <f aca="false">IF(LEFT(A51,1)&gt;="6",0,SUMIFS('BALANCE 2026'!$H:$H,'BALANCE 2026'!$A:$A,A51))</f>
        <v>0</v>
      </c>
      <c r="E51" s="15" t="n">
        <f aca="false">IF(LEFT(A51,1)&gt;="6",0,SUMIFS('BALANCE 2026'!$I:$I,'BALANCE 2026'!$A:$A,A51))</f>
        <v>224581</v>
      </c>
      <c r="F51" s="15" t="n">
        <f aca="false">ROUND(IF(HYPOTHESES!$C$46=0,0,'BALANCE 2024'!$G$51*HYPOTHESES!F$46/HYPOTHESES!$C$46),0)+(H51-I51)-(D51-E51)</f>
        <v>238358</v>
      </c>
      <c r="G51" s="15" t="n">
        <f aca="false">ROUND(IF(HYPOTHESES!$C$46=0,0,'BALANCE 2024'!$G$51*HYPOTHESES!F$46/HYPOTHESES!$C$46),0)</f>
        <v>249587</v>
      </c>
      <c r="H51" s="20" t="n">
        <v>0</v>
      </c>
      <c r="I51" s="15" t="n">
        <f aca="false">ROUND(IF(HYPOTHESES!$C$46=0,0,'BALANCE 2024'!$I$51*HYPOTHESES!F$46/HYPOTHESES!$C$46),0)</f>
        <v>235810</v>
      </c>
      <c r="J5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2" customFormat="false" ht="15" hidden="false" customHeight="false" outlineLevel="0" collapsed="false">
      <c r="A52" s="30" t="n">
        <v>447201</v>
      </c>
      <c r="B52" s="12" t="s">
        <v>299</v>
      </c>
      <c r="C52" s="13" t="s">
        <v>285</v>
      </c>
      <c r="D52" s="15" t="n">
        <f aca="false">IF(LEFT(A52,1)&gt;="6",0,SUMIFS('BALANCE 2026'!$H:$H,'BALANCE 2026'!$A:$A,A52))</f>
        <v>0</v>
      </c>
      <c r="E52" s="15" t="n">
        <f aca="false">IF(LEFT(A52,1)&gt;="6",0,SUMIFS('BALANCE 2026'!$I:$I,'BALANCE 2026'!$A:$A,A52))</f>
        <v>1832622</v>
      </c>
      <c r="F52" s="15" t="n">
        <f aca="false">ROUND(IF(HYPOTHESES!$C$48=0,0,'BALANCE 2024'!$G$52*HYPOTHESES!F$48/HYPOTHESES!$C$48),0)+(H52-I52)-(D52-E52)</f>
        <v>6867754</v>
      </c>
      <c r="G52" s="15" t="n">
        <f aca="false">ROUND(IF(HYPOTHESES!$C$48=0,0,'BALANCE 2024'!$G$52*HYPOTHESES!F$48/HYPOTHESES!$C$48),0)</f>
        <v>6959385</v>
      </c>
      <c r="H52" s="20" t="n">
        <v>0</v>
      </c>
      <c r="I52" s="15" t="n">
        <f aca="false">ROUND(IF(HYPOTHESES!$C$48=0,0,'BALANCE 2024'!$I$52*HYPOTHESES!F$48/HYPOTHESES!$C$48),0)</f>
        <v>1924253</v>
      </c>
      <c r="J5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3" customFormat="false" ht="15" hidden="false" customHeight="false" outlineLevel="0" collapsed="false">
      <c r="A53" s="30" t="n">
        <v>462100</v>
      </c>
      <c r="B53" s="12" t="s">
        <v>300</v>
      </c>
      <c r="C53" s="13" t="s">
        <v>301</v>
      </c>
      <c r="D53" s="15" t="n">
        <f aca="false">IF(LEFT(A53,1)&gt;="6",0,SUMIFS('BALANCE 2026'!$H:$H,'BALANCE 2026'!$A:$A,A53))</f>
        <v>0</v>
      </c>
      <c r="E53" s="15" t="n">
        <f aca="false">IF(LEFT(A53,1)&gt;="6",0,SUMIFS('BALANCE 2026'!$I:$I,'BALANCE 2026'!$A:$A,A53))</f>
        <v>0</v>
      </c>
      <c r="F53" s="15" t="n">
        <f aca="false">ROUND('INVEST ET FINANCEMENT'!F$53,0)+(H53-I53)-(D53-E53)</f>
        <v>0</v>
      </c>
      <c r="G53" s="15" t="n">
        <f aca="false">ROUND('INVEST ET FINANCEMENT'!F$53,0)</f>
        <v>0</v>
      </c>
      <c r="H53" s="20" t="n">
        <v>0</v>
      </c>
      <c r="I53" s="15" t="n">
        <f aca="false">ROUND('INVEST ET FINANCEMENT'!F$54,0)</f>
        <v>0</v>
      </c>
      <c r="J5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4" customFormat="false" ht="15" hidden="false" customHeight="false" outlineLevel="0" collapsed="false">
      <c r="A54" s="30" t="n">
        <v>471200</v>
      </c>
      <c r="B54" s="12" t="s">
        <v>302</v>
      </c>
      <c r="C54" s="13" t="s">
        <v>303</v>
      </c>
      <c r="D54" s="15" t="n">
        <f aca="false">IF(LEFT(A54,1)&gt;="6",0,SUMIFS('BALANCE 2026'!$H:$H,'BALANCE 2026'!$A:$A,A54))</f>
        <v>0</v>
      </c>
      <c r="E54" s="15" t="n">
        <f aca="false">IF(LEFT(A54,1)&gt;="6",0,SUMIFS('BALANCE 2026'!$I:$I,'BALANCE 2026'!$A:$A,A54))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ROUND(MAX(0,-(E54-D54+HYPOTHESES!F$31)),0)</f>
        <v>-0</v>
      </c>
      <c r="I54" s="15" t="n">
        <f aca="false">ROUND(MAX(0,(E54-D54+HYPOTHESES!F$31)),0)</f>
        <v>0</v>
      </c>
      <c r="J5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5" customFormat="false" ht="15" hidden="false" customHeight="false" outlineLevel="0" collapsed="false">
      <c r="A55" s="30" t="n">
        <v>481200</v>
      </c>
      <c r="B55" s="12" t="s">
        <v>304</v>
      </c>
      <c r="C55" s="13" t="s">
        <v>305</v>
      </c>
      <c r="D55" s="15" t="n">
        <f aca="false">IF(LEFT(A55,1)&gt;="6",0,SUMIFS('BALANCE 2026'!$H:$H,'BALANCE 2026'!$A:$A,A55))</f>
        <v>0</v>
      </c>
      <c r="E55" s="15" t="n">
        <f aca="false">IF(LEFT(A55,1)&gt;="6",0,SUMIFS('BALANCE 2026'!$I:$I,'BALANCE 2026'!$A:$A,A55))</f>
        <v>12736111</v>
      </c>
      <c r="F55" s="15" t="n">
        <f aca="false">ROUND('INVEST ET FINANCEMENT'!F$41,0)+(H55-I55)-(D55-E55)</f>
        <v>35000000</v>
      </c>
      <c r="G55" s="15" t="n">
        <f aca="false">ROUND('INVEST ET FINANCEMENT'!F$41,0)</f>
        <v>35000000</v>
      </c>
      <c r="H55" s="20" t="n">
        <v>0</v>
      </c>
      <c r="I55" s="15" t="n">
        <f aca="false">ROUND(HYPOTHESES!F$28,0)</f>
        <v>12736111</v>
      </c>
      <c r="J5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6" customFormat="false" ht="15" hidden="false" customHeight="false" outlineLevel="0" collapsed="false">
      <c r="A56" s="38" t="n">
        <v>604300</v>
      </c>
      <c r="B56" s="39" t="s">
        <v>306</v>
      </c>
      <c r="C56" s="40" t="s">
        <v>307</v>
      </c>
      <c r="D56" s="43" t="n">
        <f aca="false">IF(LEFT(A56,1)&gt;="6",0,SUMIFS('BALANCE 2026'!$H:$H,'BALANCE 2026'!$A:$A,A56))</f>
        <v>0</v>
      </c>
      <c r="E56" s="43" t="n">
        <f aca="false">IF(LEFT(A56,1)&gt;="6",0,SUMIFS('BALANCE 2026'!$I:$I,'BALANCE 2026'!$A:$A,A56))</f>
        <v>0</v>
      </c>
      <c r="F56" s="42" t="n">
        <f aca="false">MAX(0,(H56-I56)-(D56-E56))</f>
        <v>1475201</v>
      </c>
      <c r="G56" s="42" t="n">
        <f aca="false">MAX(0,(D56-E56)-(H56-I56))</f>
        <v>0</v>
      </c>
      <c r="H56" s="43" t="n">
        <f aca="false">ROUND(IF(LEFT(A56,1)&gt;="6",IF(C56="RE",IF(HYPOTHESES!$C$43=0,0,HYPOTHESES!F$43*SUMIFS('BALANCE 2024'!$H:$H,'BALANCE 2024'!$A:$A,A56)/HYPOTHESES!$C$43),IF(C56="RG",IF(HYPOTHESES!$C$44=0,0,HYPOTHESES!F$44*SUMIFS('BALANCE 2024'!$H:$H,'BALANCE 2024'!$A:$A,A56)/HYPOTHESES!$C$44),IF(C56="RH",IF(HYPOTHESES!$C$45=0,0,HYPOTHESES!F$45*SUMIFS('BALANCE 2024'!$H:$H,'BALANCE 2024'!$A:$A,A56)/HYPOTHESES!$C$45),IF(C56="RI",IF(HYPOTHESES!$C$46=0,0,HYPOTHESES!F$46*SUMIFS('BALANCE 2024'!$H:$H,'BALANCE 2024'!$A:$A,A56)/HYPOTHESES!$C$46),IF(C56="RJ",IF(HYPOTHESES!$C$47=0,0,HYPOTHESES!F$47*SUMIFS('BALANCE 2024'!$H:$H,'BALANCE 2024'!$A:$A,A56)/HYPOTHESES!$C$47),IF(C56="RK",IF(HYPOTHESES!$C$48=0,0,HYPOTHESES!F$48*SUMIFS('BALANCE 2024'!$H:$H,'BALANCE 2024'!$A:$A,A56)/HYPOTHESES!$C$48),0)))))),MAX(0,D56-E56)),0)</f>
        <v>1475201</v>
      </c>
      <c r="I56" s="42" t="n">
        <v>0</v>
      </c>
      <c r="J56" s="42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7" customFormat="false" ht="15" hidden="false" customHeight="false" outlineLevel="0" collapsed="false">
      <c r="A57" s="30" t="n">
        <v>605100</v>
      </c>
      <c r="B57" s="12" t="s">
        <v>308</v>
      </c>
      <c r="C57" s="13" t="s">
        <v>307</v>
      </c>
      <c r="D57" s="15" t="n">
        <f aca="false">IF(LEFT(A57,1)&gt;="6",0,SUMIFS('BALANCE 2026'!$H:$H,'BALANCE 2026'!$A:$A,A57))</f>
        <v>0</v>
      </c>
      <c r="E57" s="15" t="n">
        <f aca="false">IF(LEFT(A57,1)&gt;="6",0,SUMIFS('BALANCE 2026'!$I:$I,'BALANCE 2026'!$A:$A,A57))</f>
        <v>0</v>
      </c>
      <c r="F57" s="20" t="n">
        <f aca="false">MAX(0,(H57-I57)-(D57-E57))</f>
        <v>146973</v>
      </c>
      <c r="G57" s="20" t="n">
        <f aca="false">MAX(0,(D57-E57)-(H57-I57))</f>
        <v>0</v>
      </c>
      <c r="H57" s="15" t="n">
        <f aca="false">ROUND(IF(LEFT(A57,1)&gt;="6",IF(C57="RE",IF(HYPOTHESES!$C$43=0,0,HYPOTHESES!F$43*SUMIFS('BALANCE 2024'!$H:$H,'BALANCE 2024'!$A:$A,A57)/HYPOTHESES!$C$43),IF(C57="RG",IF(HYPOTHESES!$C$44=0,0,HYPOTHESES!F$44*SUMIFS('BALANCE 2024'!$H:$H,'BALANCE 2024'!$A:$A,A57)/HYPOTHESES!$C$44),IF(C57="RH",IF(HYPOTHESES!$C$45=0,0,HYPOTHESES!F$45*SUMIFS('BALANCE 2024'!$H:$H,'BALANCE 2024'!$A:$A,A57)/HYPOTHESES!$C$45),IF(C57="RI",IF(HYPOTHESES!$C$46=0,0,HYPOTHESES!F$46*SUMIFS('BALANCE 2024'!$H:$H,'BALANCE 2024'!$A:$A,A57)/HYPOTHESES!$C$46),IF(C57="RJ",IF(HYPOTHESES!$C$47=0,0,HYPOTHESES!F$47*SUMIFS('BALANCE 2024'!$H:$H,'BALANCE 2024'!$A:$A,A57)/HYPOTHESES!$C$47),IF(C57="RK",IF(HYPOTHESES!$C$48=0,0,HYPOTHESES!F$48*SUMIFS('BALANCE 2024'!$H:$H,'BALANCE 2024'!$A:$A,A57)/HYPOTHESES!$C$48),0)))))),MAX(0,D57-E57)),0)</f>
        <v>146973</v>
      </c>
      <c r="I57" s="20" t="n">
        <v>0</v>
      </c>
      <c r="J5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8" customFormat="false" ht="15" hidden="false" customHeight="false" outlineLevel="0" collapsed="false">
      <c r="A58" s="30" t="n">
        <v>605200</v>
      </c>
      <c r="B58" s="12" t="s">
        <v>309</v>
      </c>
      <c r="C58" s="13" t="s">
        <v>307</v>
      </c>
      <c r="D58" s="15" t="n">
        <f aca="false">IF(LEFT(A58,1)&gt;="6",0,SUMIFS('BALANCE 2026'!$H:$H,'BALANCE 2026'!$A:$A,A58))</f>
        <v>0</v>
      </c>
      <c r="E58" s="15" t="n">
        <f aca="false">IF(LEFT(A58,1)&gt;="6",0,SUMIFS('BALANCE 2026'!$I:$I,'BALANCE 2026'!$A:$A,A58))</f>
        <v>0</v>
      </c>
      <c r="F58" s="20" t="n">
        <f aca="false">MAX(0,(H58-I58)-(D58-E58))</f>
        <v>47145846</v>
      </c>
      <c r="G58" s="20" t="n">
        <f aca="false">MAX(0,(D58-E58)-(H58-I58))</f>
        <v>0</v>
      </c>
      <c r="H58" s="15" t="n">
        <f aca="false">ROUND(IF(LEFT(A58,1)&gt;="6",IF(C58="RE",IF(HYPOTHESES!$C$43=0,0,HYPOTHESES!F$43*SUMIFS('BALANCE 2024'!$H:$H,'BALANCE 2024'!$A:$A,A58)/HYPOTHESES!$C$43),IF(C58="RG",IF(HYPOTHESES!$C$44=0,0,HYPOTHESES!F$44*SUMIFS('BALANCE 2024'!$H:$H,'BALANCE 2024'!$A:$A,A58)/HYPOTHESES!$C$44),IF(C58="RH",IF(HYPOTHESES!$C$45=0,0,HYPOTHESES!F$45*SUMIFS('BALANCE 2024'!$H:$H,'BALANCE 2024'!$A:$A,A58)/HYPOTHESES!$C$45),IF(C58="RI",IF(HYPOTHESES!$C$46=0,0,HYPOTHESES!F$46*SUMIFS('BALANCE 2024'!$H:$H,'BALANCE 2024'!$A:$A,A58)/HYPOTHESES!$C$46),IF(C58="RJ",IF(HYPOTHESES!$C$47=0,0,HYPOTHESES!F$47*SUMIFS('BALANCE 2024'!$H:$H,'BALANCE 2024'!$A:$A,A58)/HYPOTHESES!$C$47),IF(C58="RK",IF(HYPOTHESES!$C$48=0,0,HYPOTHESES!F$48*SUMIFS('BALANCE 2024'!$H:$H,'BALANCE 2024'!$A:$A,A58)/HYPOTHESES!$C$48),0)))))),MAX(0,D58-E58)),0)</f>
        <v>47145846</v>
      </c>
      <c r="I58" s="20" t="n">
        <v>0</v>
      </c>
      <c r="J5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59" customFormat="false" ht="15" hidden="false" customHeight="false" outlineLevel="0" collapsed="false">
      <c r="A59" s="30" t="n">
        <v>605300</v>
      </c>
      <c r="B59" s="12" t="s">
        <v>310</v>
      </c>
      <c r="C59" s="13" t="s">
        <v>307</v>
      </c>
      <c r="D59" s="15" t="n">
        <f aca="false">IF(LEFT(A59,1)&gt;="6",0,SUMIFS('BALANCE 2026'!$H:$H,'BALANCE 2026'!$A:$A,A59))</f>
        <v>0</v>
      </c>
      <c r="E59" s="15" t="n">
        <f aca="false">IF(LEFT(A59,1)&gt;="6",0,SUMIFS('BALANCE 2026'!$I:$I,'BALANCE 2026'!$A:$A,A59))</f>
        <v>0</v>
      </c>
      <c r="F59" s="20" t="n">
        <f aca="false">MAX(0,(H59-I59)-(D59-E59))</f>
        <v>23405818</v>
      </c>
      <c r="G59" s="20" t="n">
        <f aca="false">MAX(0,(D59-E59)-(H59-I59))</f>
        <v>0</v>
      </c>
      <c r="H59" s="15" t="n">
        <f aca="false">ROUND(IF(LEFT(A59,1)&gt;="6",IF(C59="RE",IF(HYPOTHESES!$C$43=0,0,HYPOTHESES!F$43*SUMIFS('BALANCE 2024'!$H:$H,'BALANCE 2024'!$A:$A,A59)/HYPOTHESES!$C$43),IF(C59="RG",IF(HYPOTHESES!$C$44=0,0,HYPOTHESES!F$44*SUMIFS('BALANCE 2024'!$H:$H,'BALANCE 2024'!$A:$A,A59)/HYPOTHESES!$C$44),IF(C59="RH",IF(HYPOTHESES!$C$45=0,0,HYPOTHESES!F$45*SUMIFS('BALANCE 2024'!$H:$H,'BALANCE 2024'!$A:$A,A59)/HYPOTHESES!$C$45),IF(C59="RI",IF(HYPOTHESES!$C$46=0,0,HYPOTHESES!F$46*SUMIFS('BALANCE 2024'!$H:$H,'BALANCE 2024'!$A:$A,A59)/HYPOTHESES!$C$46),IF(C59="RJ",IF(HYPOTHESES!$C$47=0,0,HYPOTHESES!F$47*SUMIFS('BALANCE 2024'!$H:$H,'BALANCE 2024'!$A:$A,A59)/HYPOTHESES!$C$47),IF(C59="RK",IF(HYPOTHESES!$C$48=0,0,HYPOTHESES!F$48*SUMIFS('BALANCE 2024'!$H:$H,'BALANCE 2024'!$A:$A,A59)/HYPOTHESES!$C$48),0)))))),MAX(0,D59-E59)),0)</f>
        <v>23405818</v>
      </c>
      <c r="I59" s="20" t="n">
        <v>0</v>
      </c>
      <c r="J5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0" customFormat="false" ht="15" hidden="false" customHeight="false" outlineLevel="0" collapsed="false">
      <c r="A60" s="30" t="n">
        <v>605500</v>
      </c>
      <c r="B60" s="12" t="s">
        <v>311</v>
      </c>
      <c r="C60" s="13" t="s">
        <v>307</v>
      </c>
      <c r="D60" s="15" t="n">
        <f aca="false">IF(LEFT(A60,1)&gt;="6",0,SUMIFS('BALANCE 2026'!$H:$H,'BALANCE 2026'!$A:$A,A60))</f>
        <v>0</v>
      </c>
      <c r="E60" s="15" t="n">
        <f aca="false">IF(LEFT(A60,1)&gt;="6",0,SUMIFS('BALANCE 2026'!$I:$I,'BALANCE 2026'!$A:$A,A60))</f>
        <v>0</v>
      </c>
      <c r="F60" s="20" t="n">
        <f aca="false">MAX(0,(H60-I60)-(D60-E60))</f>
        <v>15188094</v>
      </c>
      <c r="G60" s="20" t="n">
        <f aca="false">MAX(0,(D60-E60)-(H60-I60))</f>
        <v>0</v>
      </c>
      <c r="H60" s="15" t="n">
        <f aca="false">ROUND(IF(LEFT(A60,1)&gt;="6",IF(C60="RE",IF(HYPOTHESES!$C$43=0,0,HYPOTHESES!F$43*SUMIFS('BALANCE 2024'!$H:$H,'BALANCE 2024'!$A:$A,A60)/HYPOTHESES!$C$43),IF(C60="RG",IF(HYPOTHESES!$C$44=0,0,HYPOTHESES!F$44*SUMIFS('BALANCE 2024'!$H:$H,'BALANCE 2024'!$A:$A,A60)/HYPOTHESES!$C$44),IF(C60="RH",IF(HYPOTHESES!$C$45=0,0,HYPOTHESES!F$45*SUMIFS('BALANCE 2024'!$H:$H,'BALANCE 2024'!$A:$A,A60)/HYPOTHESES!$C$45),IF(C60="RI",IF(HYPOTHESES!$C$46=0,0,HYPOTHESES!F$46*SUMIFS('BALANCE 2024'!$H:$H,'BALANCE 2024'!$A:$A,A60)/HYPOTHESES!$C$46),IF(C60="RJ",IF(HYPOTHESES!$C$47=0,0,HYPOTHESES!F$47*SUMIFS('BALANCE 2024'!$H:$H,'BALANCE 2024'!$A:$A,A60)/HYPOTHESES!$C$47),IF(C60="RK",IF(HYPOTHESES!$C$48=0,0,HYPOTHESES!F$48*SUMIFS('BALANCE 2024'!$H:$H,'BALANCE 2024'!$A:$A,A60)/HYPOTHESES!$C$48),0)))))),MAX(0,D60-E60)),0)</f>
        <v>15188094</v>
      </c>
      <c r="I60" s="20" t="n">
        <v>0</v>
      </c>
      <c r="J6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1" customFormat="false" ht="15" hidden="false" customHeight="false" outlineLevel="0" collapsed="false">
      <c r="A61" s="30" t="n">
        <v>605600</v>
      </c>
      <c r="B61" s="12" t="s">
        <v>312</v>
      </c>
      <c r="C61" s="13" t="s">
        <v>307</v>
      </c>
      <c r="D61" s="15" t="n">
        <f aca="false">IF(LEFT(A61,1)&gt;="6",0,SUMIFS('BALANCE 2026'!$H:$H,'BALANCE 2026'!$A:$A,A61))</f>
        <v>0</v>
      </c>
      <c r="E61" s="15" t="n">
        <f aca="false">IF(LEFT(A61,1)&gt;="6",0,SUMIFS('BALANCE 2026'!$I:$I,'BALANCE 2026'!$A:$A,A61))</f>
        <v>0</v>
      </c>
      <c r="F61" s="20" t="n">
        <f aca="false">MAX(0,(H61-I61)-(D61-E61))</f>
        <v>4355324</v>
      </c>
      <c r="G61" s="20" t="n">
        <f aca="false">MAX(0,(D61-E61)-(H61-I61))</f>
        <v>0</v>
      </c>
      <c r="H61" s="15" t="n">
        <f aca="false">ROUND(IF(LEFT(A61,1)&gt;="6",IF(C61="RE",IF(HYPOTHESES!$C$43=0,0,HYPOTHESES!F$43*SUMIFS('BALANCE 2024'!$H:$H,'BALANCE 2024'!$A:$A,A61)/HYPOTHESES!$C$43),IF(C61="RG",IF(HYPOTHESES!$C$44=0,0,HYPOTHESES!F$44*SUMIFS('BALANCE 2024'!$H:$H,'BALANCE 2024'!$A:$A,A61)/HYPOTHESES!$C$44),IF(C61="RH",IF(HYPOTHESES!$C$45=0,0,HYPOTHESES!F$45*SUMIFS('BALANCE 2024'!$H:$H,'BALANCE 2024'!$A:$A,A61)/HYPOTHESES!$C$45),IF(C61="RI",IF(HYPOTHESES!$C$46=0,0,HYPOTHESES!F$46*SUMIFS('BALANCE 2024'!$H:$H,'BALANCE 2024'!$A:$A,A61)/HYPOTHESES!$C$46),IF(C61="RJ",IF(HYPOTHESES!$C$47=0,0,HYPOTHESES!F$47*SUMIFS('BALANCE 2024'!$H:$H,'BALANCE 2024'!$A:$A,A61)/HYPOTHESES!$C$47),IF(C61="RK",IF(HYPOTHESES!$C$48=0,0,HYPOTHESES!F$48*SUMIFS('BALANCE 2024'!$H:$H,'BALANCE 2024'!$A:$A,A61)/HYPOTHESES!$C$48),0)))))),MAX(0,D61-E61)),0)</f>
        <v>4355324</v>
      </c>
      <c r="I61" s="20" t="n">
        <v>0</v>
      </c>
      <c r="J6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2" customFormat="false" ht="15" hidden="false" customHeight="false" outlineLevel="0" collapsed="false">
      <c r="A62" s="30" t="n">
        <v>605700</v>
      </c>
      <c r="B62" s="12" t="s">
        <v>313</v>
      </c>
      <c r="C62" s="13" t="s">
        <v>307</v>
      </c>
      <c r="D62" s="15" t="n">
        <f aca="false">IF(LEFT(A62,1)&gt;="6",0,SUMIFS('BALANCE 2026'!$H:$H,'BALANCE 2026'!$A:$A,A62))</f>
        <v>0</v>
      </c>
      <c r="E62" s="15" t="n">
        <f aca="false">IF(LEFT(A62,1)&gt;="6",0,SUMIFS('BALANCE 2026'!$I:$I,'BALANCE 2026'!$A:$A,A62))</f>
        <v>0</v>
      </c>
      <c r="F62" s="20" t="n">
        <f aca="false">MAX(0,(H62-I62)-(D62-E62))</f>
        <v>94571946</v>
      </c>
      <c r="G62" s="20" t="n">
        <f aca="false">MAX(0,(D62-E62)-(H62-I62))</f>
        <v>0</v>
      </c>
      <c r="H62" s="15" t="n">
        <f aca="false">ROUND(IF(LEFT(A62,1)&gt;="6",IF(C62="RE",IF(HYPOTHESES!$C$43=0,0,HYPOTHESES!F$43*SUMIFS('BALANCE 2024'!$H:$H,'BALANCE 2024'!$A:$A,A62)/HYPOTHESES!$C$43),IF(C62="RG",IF(HYPOTHESES!$C$44=0,0,HYPOTHESES!F$44*SUMIFS('BALANCE 2024'!$H:$H,'BALANCE 2024'!$A:$A,A62)/HYPOTHESES!$C$44),IF(C62="RH",IF(HYPOTHESES!$C$45=0,0,HYPOTHESES!F$45*SUMIFS('BALANCE 2024'!$H:$H,'BALANCE 2024'!$A:$A,A62)/HYPOTHESES!$C$45),IF(C62="RI",IF(HYPOTHESES!$C$46=0,0,HYPOTHESES!F$46*SUMIFS('BALANCE 2024'!$H:$H,'BALANCE 2024'!$A:$A,A62)/HYPOTHESES!$C$46),IF(C62="RJ",IF(HYPOTHESES!$C$47=0,0,HYPOTHESES!F$47*SUMIFS('BALANCE 2024'!$H:$H,'BALANCE 2024'!$A:$A,A62)/HYPOTHESES!$C$47),IF(C62="RK",IF(HYPOTHESES!$C$48=0,0,HYPOTHESES!F$48*SUMIFS('BALANCE 2024'!$H:$H,'BALANCE 2024'!$A:$A,A62)/HYPOTHESES!$C$48),0)))))),MAX(0,D62-E62)),0)</f>
        <v>94571946</v>
      </c>
      <c r="I62" s="20" t="n">
        <v>0</v>
      </c>
      <c r="J6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3" customFormat="false" ht="15" hidden="false" customHeight="false" outlineLevel="0" collapsed="false">
      <c r="A63" s="30" t="n">
        <v>605800</v>
      </c>
      <c r="B63" s="12" t="s">
        <v>314</v>
      </c>
      <c r="C63" s="13" t="s">
        <v>307</v>
      </c>
      <c r="D63" s="15" t="n">
        <f aca="false">IF(LEFT(A63,1)&gt;="6",0,SUMIFS('BALANCE 2026'!$H:$H,'BALANCE 2026'!$A:$A,A63))</f>
        <v>0</v>
      </c>
      <c r="E63" s="15" t="n">
        <f aca="false">IF(LEFT(A63,1)&gt;="6",0,SUMIFS('BALANCE 2026'!$I:$I,'BALANCE 2026'!$A:$A,A63))</f>
        <v>0</v>
      </c>
      <c r="F63" s="20" t="n">
        <f aca="false">MAX(0,(H63-I63)-(D63-E63))</f>
        <v>141857917</v>
      </c>
      <c r="G63" s="20" t="n">
        <f aca="false">MAX(0,(D63-E63)-(H63-I63))</f>
        <v>0</v>
      </c>
      <c r="H63" s="15" t="n">
        <f aca="false">ROUND(IF(HYPOTHESES!$C$43=0,0,HYPOTHESES!F$43-SUMPRODUCT((T_BAL_2027[Poste]="RE")*(T_BAL_2027[Compte]&lt;&gt;605800)*ROUND(HYPOTHESES!F$43*SUMIFS('BALANCE 2024'!$H:$H,'BALANCE 2024'!$A:$A,T_BAL_2027[Compte])/HYPOTHESES!$C$43,0))),0)</f>
        <v>141857917</v>
      </c>
      <c r="I63" s="20" t="n">
        <v>0</v>
      </c>
      <c r="J6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4" customFormat="false" ht="15" hidden="false" customHeight="false" outlineLevel="0" collapsed="false">
      <c r="A64" s="30" t="n">
        <v>616000</v>
      </c>
      <c r="B64" s="12" t="s">
        <v>315</v>
      </c>
      <c r="C64" s="13" t="s">
        <v>316</v>
      </c>
      <c r="D64" s="15" t="n">
        <f aca="false">IF(LEFT(A64,1)&gt;="6",0,SUMIFS('BALANCE 2026'!$H:$H,'BALANCE 2026'!$A:$A,A64))</f>
        <v>0</v>
      </c>
      <c r="E64" s="15" t="n">
        <f aca="false">IF(LEFT(A64,1)&gt;="6",0,SUMIFS('BALANCE 2026'!$I:$I,'BALANCE 2026'!$A:$A,A64))</f>
        <v>0</v>
      </c>
      <c r="F64" s="20" t="n">
        <f aca="false">MAX(0,(H64-I64)-(D64-E64))</f>
        <v>109775</v>
      </c>
      <c r="G64" s="20" t="n">
        <f aca="false">MAX(0,(D64-E64)-(H64-I64))</f>
        <v>0</v>
      </c>
      <c r="H64" s="15" t="n">
        <f aca="false">ROUND(IF(LEFT(A64,1)&gt;="6",IF(C64="RE",IF(HYPOTHESES!$C$43=0,0,HYPOTHESES!F$43*SUMIFS('BALANCE 2024'!$H:$H,'BALANCE 2024'!$A:$A,A64)/HYPOTHESES!$C$43),IF(C64="RG",IF(HYPOTHESES!$C$44=0,0,HYPOTHESES!F$44*SUMIFS('BALANCE 2024'!$H:$H,'BALANCE 2024'!$A:$A,A64)/HYPOTHESES!$C$44),IF(C64="RH",IF(HYPOTHESES!$C$45=0,0,HYPOTHESES!F$45*SUMIFS('BALANCE 2024'!$H:$H,'BALANCE 2024'!$A:$A,A64)/HYPOTHESES!$C$45),IF(C64="RI",IF(HYPOTHESES!$C$46=0,0,HYPOTHESES!F$46*SUMIFS('BALANCE 2024'!$H:$H,'BALANCE 2024'!$A:$A,A64)/HYPOTHESES!$C$46),IF(C64="RJ",IF(HYPOTHESES!$C$47=0,0,HYPOTHESES!F$47*SUMIFS('BALANCE 2024'!$H:$H,'BALANCE 2024'!$A:$A,A64)/HYPOTHESES!$C$47),IF(C64="RK",IF(HYPOTHESES!$C$48=0,0,HYPOTHESES!F$48*SUMIFS('BALANCE 2024'!$H:$H,'BALANCE 2024'!$A:$A,A64)/HYPOTHESES!$C$48),0)))))),MAX(0,D64-E64)),0)</f>
        <v>109775</v>
      </c>
      <c r="I64" s="20" t="n">
        <v>0</v>
      </c>
      <c r="J6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5" customFormat="false" ht="15" hidden="false" customHeight="false" outlineLevel="0" collapsed="false">
      <c r="A65" s="30" t="n">
        <v>618200</v>
      </c>
      <c r="B65" s="12" t="s">
        <v>317</v>
      </c>
      <c r="C65" s="13" t="s">
        <v>316</v>
      </c>
      <c r="D65" s="15" t="n">
        <f aca="false">IF(LEFT(A65,1)&gt;="6",0,SUMIFS('BALANCE 2026'!$H:$H,'BALANCE 2026'!$A:$A,A65))</f>
        <v>0</v>
      </c>
      <c r="E65" s="15" t="n">
        <f aca="false">IF(LEFT(A65,1)&gt;="6",0,SUMIFS('BALANCE 2026'!$I:$I,'BALANCE 2026'!$A:$A,A65))</f>
        <v>0</v>
      </c>
      <c r="F65" s="20" t="n">
        <f aca="false">MAX(0,(H65-I65)-(D65-E65))</f>
        <v>1831765</v>
      </c>
      <c r="G65" s="20" t="n">
        <f aca="false">MAX(0,(D65-E65)-(H65-I65))</f>
        <v>0</v>
      </c>
      <c r="H65" s="15" t="n">
        <f aca="false">ROUND(IF(LEFT(A65,1)&gt;="6",IF(C65="RE",IF(HYPOTHESES!$C$43=0,0,HYPOTHESES!F$43*SUMIFS('BALANCE 2024'!$H:$H,'BALANCE 2024'!$A:$A,A65)/HYPOTHESES!$C$43),IF(C65="RG",IF(HYPOTHESES!$C$44=0,0,HYPOTHESES!F$44*SUMIFS('BALANCE 2024'!$H:$H,'BALANCE 2024'!$A:$A,A65)/HYPOTHESES!$C$44),IF(C65="RH",IF(HYPOTHESES!$C$45=0,0,HYPOTHESES!F$45*SUMIFS('BALANCE 2024'!$H:$H,'BALANCE 2024'!$A:$A,A65)/HYPOTHESES!$C$45),IF(C65="RI",IF(HYPOTHESES!$C$46=0,0,HYPOTHESES!F$46*SUMIFS('BALANCE 2024'!$H:$H,'BALANCE 2024'!$A:$A,A65)/HYPOTHESES!$C$46),IF(C65="RJ",IF(HYPOTHESES!$C$47=0,0,HYPOTHESES!F$47*SUMIFS('BALANCE 2024'!$H:$H,'BALANCE 2024'!$A:$A,A65)/HYPOTHESES!$C$47),IF(C65="RK",IF(HYPOTHESES!$C$48=0,0,HYPOTHESES!F$48*SUMIFS('BALANCE 2024'!$H:$H,'BALANCE 2024'!$A:$A,A65)/HYPOTHESES!$C$48),0)))))),MAX(0,D65-E65)),0)</f>
        <v>1831765</v>
      </c>
      <c r="I65" s="20" t="n">
        <v>0</v>
      </c>
      <c r="J6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6" customFormat="false" ht="15" hidden="false" customHeight="false" outlineLevel="0" collapsed="false">
      <c r="A66" s="30" t="n">
        <v>618300</v>
      </c>
      <c r="B66" s="12" t="s">
        <v>318</v>
      </c>
      <c r="C66" s="13" t="s">
        <v>316</v>
      </c>
      <c r="D66" s="15" t="n">
        <f aca="false">IF(LEFT(A66,1)&gt;="6",0,SUMIFS('BALANCE 2026'!$H:$H,'BALANCE 2026'!$A:$A,A66))</f>
        <v>0</v>
      </c>
      <c r="E66" s="15" t="n">
        <f aca="false">IF(LEFT(A66,1)&gt;="6",0,SUMIFS('BALANCE 2026'!$I:$I,'BALANCE 2026'!$A:$A,A66))</f>
        <v>0</v>
      </c>
      <c r="F66" s="20" t="n">
        <f aca="false">MAX(0,(H66-I66)-(D66-E66))</f>
        <v>2524172</v>
      </c>
      <c r="G66" s="20" t="n">
        <f aca="false">MAX(0,(D66-E66)-(H66-I66))</f>
        <v>0</v>
      </c>
      <c r="H66" s="15" t="n">
        <f aca="false">ROUND(IF(HYPOTHESES!$C$44=0,0,HYPOTHESES!F$44-SUMPRODUCT((T_BAL_2027[Poste]="RG")*(T_BAL_2027[Compte]&lt;&gt;618300)*ROUND(HYPOTHESES!F$44*SUMIFS('BALANCE 2024'!$H:$H,'BALANCE 2024'!$A:$A,T_BAL_2027[Compte])/HYPOTHESES!$C$44,0))),0)</f>
        <v>2524172</v>
      </c>
      <c r="I66" s="20" t="n">
        <v>0</v>
      </c>
      <c r="J6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7" customFormat="false" ht="15" hidden="false" customHeight="false" outlineLevel="0" collapsed="false">
      <c r="A67" s="30" t="n">
        <v>622200</v>
      </c>
      <c r="B67" s="12" t="s">
        <v>319</v>
      </c>
      <c r="C67" s="13" t="s">
        <v>320</v>
      </c>
      <c r="D67" s="15" t="n">
        <f aca="false">IF(LEFT(A67,1)&gt;="6",0,SUMIFS('BALANCE 2026'!$H:$H,'BALANCE 2026'!$A:$A,A67))</f>
        <v>0</v>
      </c>
      <c r="E67" s="15" t="n">
        <f aca="false">IF(LEFT(A67,1)&gt;="6",0,SUMIFS('BALANCE 2026'!$I:$I,'BALANCE 2026'!$A:$A,A67))</f>
        <v>0</v>
      </c>
      <c r="F67" s="20" t="n">
        <f aca="false">MAX(0,(H67-I67)-(D67-E67))</f>
        <v>19623501</v>
      </c>
      <c r="G67" s="20" t="n">
        <f aca="false">MAX(0,(D67-E67)-(H67-I67))</f>
        <v>0</v>
      </c>
      <c r="H67" s="15" t="n">
        <f aca="false">ROUND(IF(LEFT(A67,1)&gt;="6",IF(C67="RE",IF(HYPOTHESES!$C$43=0,0,HYPOTHESES!F$43*SUMIFS('BALANCE 2024'!$H:$H,'BALANCE 2024'!$A:$A,A67)/HYPOTHESES!$C$43),IF(C67="RG",IF(HYPOTHESES!$C$44=0,0,HYPOTHESES!F$44*SUMIFS('BALANCE 2024'!$H:$H,'BALANCE 2024'!$A:$A,A67)/HYPOTHESES!$C$44),IF(C67="RH",IF(HYPOTHESES!$C$45=0,0,HYPOTHESES!F$45*SUMIFS('BALANCE 2024'!$H:$H,'BALANCE 2024'!$A:$A,A67)/HYPOTHESES!$C$45),IF(C67="RI",IF(HYPOTHESES!$C$46=0,0,HYPOTHESES!F$46*SUMIFS('BALANCE 2024'!$H:$H,'BALANCE 2024'!$A:$A,A67)/HYPOTHESES!$C$46),IF(C67="RJ",IF(HYPOTHESES!$C$47=0,0,HYPOTHESES!F$47*SUMIFS('BALANCE 2024'!$H:$H,'BALANCE 2024'!$A:$A,A67)/HYPOTHESES!$C$47),IF(C67="RK",IF(HYPOTHESES!$C$48=0,0,HYPOTHESES!F$48*SUMIFS('BALANCE 2024'!$H:$H,'BALANCE 2024'!$A:$A,A67)/HYPOTHESES!$C$48),0)))))),MAX(0,D67-E67)),0)</f>
        <v>19623501</v>
      </c>
      <c r="I67" s="20" t="n">
        <v>0</v>
      </c>
      <c r="J6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8" customFormat="false" ht="15" hidden="false" customHeight="false" outlineLevel="0" collapsed="false">
      <c r="A68" s="30" t="n">
        <v>624200</v>
      </c>
      <c r="B68" s="12" t="s">
        <v>321</v>
      </c>
      <c r="C68" s="13" t="s">
        <v>320</v>
      </c>
      <c r="D68" s="15" t="n">
        <f aca="false">IF(LEFT(A68,1)&gt;="6",0,SUMIFS('BALANCE 2026'!$H:$H,'BALANCE 2026'!$A:$A,A68))</f>
        <v>0</v>
      </c>
      <c r="E68" s="15" t="n">
        <f aca="false">IF(LEFT(A68,1)&gt;="6",0,SUMIFS('BALANCE 2026'!$I:$I,'BALANCE 2026'!$A:$A,A68))</f>
        <v>0</v>
      </c>
      <c r="F68" s="20" t="n">
        <f aca="false">MAX(0,(H68-I68)-(D68-E68))</f>
        <v>40347964</v>
      </c>
      <c r="G68" s="20" t="n">
        <f aca="false">MAX(0,(D68-E68)-(H68-I68))</f>
        <v>0</v>
      </c>
      <c r="H68" s="15" t="n">
        <f aca="false">ROUND(IF(HYPOTHESES!$C$45=0,0,HYPOTHESES!F$45-SUMPRODUCT((T_BAL_2027[Poste]="RH")*(T_BAL_2027[Compte]&lt;&gt;624200)*ROUND(HYPOTHESES!F$45*SUMIFS('BALANCE 2024'!$H:$H,'BALANCE 2024'!$A:$A,T_BAL_2027[Compte])/HYPOTHESES!$C$45,0))),0)</f>
        <v>40347964</v>
      </c>
      <c r="I68" s="20" t="n">
        <v>0</v>
      </c>
      <c r="J6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69" customFormat="false" ht="15" hidden="false" customHeight="false" outlineLevel="0" collapsed="false">
      <c r="A69" s="30" t="n">
        <v>625800</v>
      </c>
      <c r="B69" s="12" t="s">
        <v>322</v>
      </c>
      <c r="C69" s="13" t="s">
        <v>320</v>
      </c>
      <c r="D69" s="15" t="n">
        <f aca="false">IF(LEFT(A69,1)&gt;="6",0,SUMIFS('BALANCE 2026'!$H:$H,'BALANCE 2026'!$A:$A,A69))</f>
        <v>0</v>
      </c>
      <c r="E69" s="15" t="n">
        <f aca="false">IF(LEFT(A69,1)&gt;="6",0,SUMIFS('BALANCE 2026'!$I:$I,'BALANCE 2026'!$A:$A,A69))</f>
        <v>0</v>
      </c>
      <c r="F69" s="20" t="n">
        <f aca="false">MAX(0,(H69-I69)-(D69-E69))</f>
        <v>5414160</v>
      </c>
      <c r="G69" s="20" t="n">
        <f aca="false">MAX(0,(D69-E69)-(H69-I69))</f>
        <v>0</v>
      </c>
      <c r="H69" s="15" t="n">
        <f aca="false">ROUND(IF(LEFT(A69,1)&gt;="6",IF(C69="RE",IF(HYPOTHESES!$C$43=0,0,HYPOTHESES!F$43*SUMIFS('BALANCE 2024'!$H:$H,'BALANCE 2024'!$A:$A,A69)/HYPOTHESES!$C$43),IF(C69="RG",IF(HYPOTHESES!$C$44=0,0,HYPOTHESES!F$44*SUMIFS('BALANCE 2024'!$H:$H,'BALANCE 2024'!$A:$A,A69)/HYPOTHESES!$C$44),IF(C69="RH",IF(HYPOTHESES!$C$45=0,0,HYPOTHESES!F$45*SUMIFS('BALANCE 2024'!$H:$H,'BALANCE 2024'!$A:$A,A69)/HYPOTHESES!$C$45),IF(C69="RI",IF(HYPOTHESES!$C$46=0,0,HYPOTHESES!F$46*SUMIFS('BALANCE 2024'!$H:$H,'BALANCE 2024'!$A:$A,A69)/HYPOTHESES!$C$46),IF(C69="RJ",IF(HYPOTHESES!$C$47=0,0,HYPOTHESES!F$47*SUMIFS('BALANCE 2024'!$H:$H,'BALANCE 2024'!$A:$A,A69)/HYPOTHESES!$C$47),IF(C69="RK",IF(HYPOTHESES!$C$48=0,0,HYPOTHESES!F$48*SUMIFS('BALANCE 2024'!$H:$H,'BALANCE 2024'!$A:$A,A69)/HYPOTHESES!$C$48),0)))))),MAX(0,D69-E69)),0)</f>
        <v>5414160</v>
      </c>
      <c r="I69" s="20" t="n">
        <v>0</v>
      </c>
      <c r="J6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0" customFormat="false" ht="15" hidden="false" customHeight="false" outlineLevel="0" collapsed="false">
      <c r="A70" s="30" t="n">
        <v>626600</v>
      </c>
      <c r="B70" s="12" t="s">
        <v>323</v>
      </c>
      <c r="C70" s="13" t="s">
        <v>320</v>
      </c>
      <c r="D70" s="15" t="n">
        <f aca="false">IF(LEFT(A70,1)&gt;="6",0,SUMIFS('BALANCE 2026'!$H:$H,'BALANCE 2026'!$A:$A,A70))</f>
        <v>0</v>
      </c>
      <c r="E70" s="15" t="n">
        <f aca="false">IF(LEFT(A70,1)&gt;="6",0,SUMIFS('BALANCE 2026'!$I:$I,'BALANCE 2026'!$A:$A,A70))</f>
        <v>0</v>
      </c>
      <c r="F70" s="20" t="n">
        <f aca="false">MAX(0,(H70-I70)-(D70-E70))</f>
        <v>37749</v>
      </c>
      <c r="G70" s="20" t="n">
        <f aca="false">MAX(0,(D70-E70)-(H70-I70))</f>
        <v>0</v>
      </c>
      <c r="H70" s="15" t="n">
        <f aca="false">ROUND(IF(LEFT(A70,1)&gt;="6",IF(C70="RE",IF(HYPOTHESES!$C$43=0,0,HYPOTHESES!F$43*SUMIFS('BALANCE 2024'!$H:$H,'BALANCE 2024'!$A:$A,A70)/HYPOTHESES!$C$43),IF(C70="RG",IF(HYPOTHESES!$C$44=0,0,HYPOTHESES!F$44*SUMIFS('BALANCE 2024'!$H:$H,'BALANCE 2024'!$A:$A,A70)/HYPOTHESES!$C$44),IF(C70="RH",IF(HYPOTHESES!$C$45=0,0,HYPOTHESES!F$45*SUMIFS('BALANCE 2024'!$H:$H,'BALANCE 2024'!$A:$A,A70)/HYPOTHESES!$C$45),IF(C70="RI",IF(HYPOTHESES!$C$46=0,0,HYPOTHESES!F$46*SUMIFS('BALANCE 2024'!$H:$H,'BALANCE 2024'!$A:$A,A70)/HYPOTHESES!$C$46),IF(C70="RJ",IF(HYPOTHESES!$C$47=0,0,HYPOTHESES!F$47*SUMIFS('BALANCE 2024'!$H:$H,'BALANCE 2024'!$A:$A,A70)/HYPOTHESES!$C$47),IF(C70="RK",IF(HYPOTHESES!$C$48=0,0,HYPOTHESES!F$48*SUMIFS('BALANCE 2024'!$H:$H,'BALANCE 2024'!$A:$A,A70)/HYPOTHESES!$C$48),0)))))),MAX(0,D70-E70)),0)</f>
        <v>37749</v>
      </c>
      <c r="I70" s="20" t="n">
        <v>0</v>
      </c>
      <c r="J7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1" customFormat="false" ht="15" hidden="false" customHeight="false" outlineLevel="0" collapsed="false">
      <c r="A71" s="30" t="n">
        <v>627700</v>
      </c>
      <c r="B71" s="12" t="s">
        <v>324</v>
      </c>
      <c r="C71" s="13" t="s">
        <v>320</v>
      </c>
      <c r="D71" s="15" t="n">
        <f aca="false">IF(LEFT(A71,1)&gt;="6",0,SUMIFS('BALANCE 2026'!$H:$H,'BALANCE 2026'!$A:$A,A71))</f>
        <v>0</v>
      </c>
      <c r="E71" s="15" t="n">
        <f aca="false">IF(LEFT(A71,1)&gt;="6",0,SUMIFS('BALANCE 2026'!$I:$I,'BALANCE 2026'!$A:$A,A71))</f>
        <v>0</v>
      </c>
      <c r="F71" s="20" t="n">
        <f aca="false">MAX(0,(H71-I71)-(D71-E71))</f>
        <v>69009</v>
      </c>
      <c r="G71" s="20" t="n">
        <f aca="false">MAX(0,(D71-E71)-(H71-I71))</f>
        <v>0</v>
      </c>
      <c r="H71" s="15" t="n">
        <f aca="false">ROUND(IF(LEFT(A71,1)&gt;="6",IF(C71="RE",IF(HYPOTHESES!$C$43=0,0,HYPOTHESES!F$43*SUMIFS('BALANCE 2024'!$H:$H,'BALANCE 2024'!$A:$A,A71)/HYPOTHESES!$C$43),IF(C71="RG",IF(HYPOTHESES!$C$44=0,0,HYPOTHESES!F$44*SUMIFS('BALANCE 2024'!$H:$H,'BALANCE 2024'!$A:$A,A71)/HYPOTHESES!$C$44),IF(C71="RH",IF(HYPOTHESES!$C$45=0,0,HYPOTHESES!F$45*SUMIFS('BALANCE 2024'!$H:$H,'BALANCE 2024'!$A:$A,A71)/HYPOTHESES!$C$45),IF(C71="RI",IF(HYPOTHESES!$C$46=0,0,HYPOTHESES!F$46*SUMIFS('BALANCE 2024'!$H:$H,'BALANCE 2024'!$A:$A,A71)/HYPOTHESES!$C$46),IF(C71="RJ",IF(HYPOTHESES!$C$47=0,0,HYPOTHESES!F$47*SUMIFS('BALANCE 2024'!$H:$H,'BALANCE 2024'!$A:$A,A71)/HYPOTHESES!$C$47),IF(C71="RK",IF(HYPOTHESES!$C$48=0,0,HYPOTHESES!F$48*SUMIFS('BALANCE 2024'!$H:$H,'BALANCE 2024'!$A:$A,A71)/HYPOTHESES!$C$48),0)))))),MAX(0,D71-E71)),0)</f>
        <v>69009</v>
      </c>
      <c r="I71" s="20" t="n">
        <v>0</v>
      </c>
      <c r="J7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2" customFormat="false" ht="15" hidden="false" customHeight="false" outlineLevel="0" collapsed="false">
      <c r="A72" s="30" t="n">
        <v>628800</v>
      </c>
      <c r="B72" s="12" t="s">
        <v>325</v>
      </c>
      <c r="C72" s="13" t="s">
        <v>320</v>
      </c>
      <c r="D72" s="15" t="n">
        <f aca="false">IF(LEFT(A72,1)&gt;="6",0,SUMIFS('BALANCE 2026'!$H:$H,'BALANCE 2026'!$A:$A,A72))</f>
        <v>0</v>
      </c>
      <c r="E72" s="15" t="n">
        <f aca="false">IF(LEFT(A72,1)&gt;="6",0,SUMIFS('BALANCE 2026'!$I:$I,'BALANCE 2026'!$A:$A,A72))</f>
        <v>0</v>
      </c>
      <c r="F72" s="20" t="n">
        <f aca="false">MAX(0,(H72-I72)-(D72-E72))</f>
        <v>936690</v>
      </c>
      <c r="G72" s="20" t="n">
        <f aca="false">MAX(0,(D72-E72)-(H72-I72))</f>
        <v>0</v>
      </c>
      <c r="H72" s="15" t="n">
        <f aca="false">ROUND(IF(LEFT(A72,1)&gt;="6",IF(C72="RE",IF(HYPOTHESES!$C$43=0,0,HYPOTHESES!F$43*SUMIFS('BALANCE 2024'!$H:$H,'BALANCE 2024'!$A:$A,A72)/HYPOTHESES!$C$43),IF(C72="RG",IF(HYPOTHESES!$C$44=0,0,HYPOTHESES!F$44*SUMIFS('BALANCE 2024'!$H:$H,'BALANCE 2024'!$A:$A,A72)/HYPOTHESES!$C$44),IF(C72="RH",IF(HYPOTHESES!$C$45=0,0,HYPOTHESES!F$45*SUMIFS('BALANCE 2024'!$H:$H,'BALANCE 2024'!$A:$A,A72)/HYPOTHESES!$C$45),IF(C72="RI",IF(HYPOTHESES!$C$46=0,0,HYPOTHESES!F$46*SUMIFS('BALANCE 2024'!$H:$H,'BALANCE 2024'!$A:$A,A72)/HYPOTHESES!$C$46),IF(C72="RJ",IF(HYPOTHESES!$C$47=0,0,HYPOTHESES!F$47*SUMIFS('BALANCE 2024'!$H:$H,'BALANCE 2024'!$A:$A,A72)/HYPOTHESES!$C$47),IF(C72="RK",IF(HYPOTHESES!$C$48=0,0,HYPOTHESES!F$48*SUMIFS('BALANCE 2024'!$H:$H,'BALANCE 2024'!$A:$A,A72)/HYPOTHESES!$C$48),0)))))),MAX(0,D72-E72)),0)</f>
        <v>936690</v>
      </c>
      <c r="I72" s="20" t="n">
        <v>0</v>
      </c>
      <c r="J7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3" customFormat="false" ht="15" hidden="false" customHeight="false" outlineLevel="0" collapsed="false">
      <c r="A73" s="30" t="n">
        <v>631800</v>
      </c>
      <c r="B73" s="12" t="s">
        <v>326</v>
      </c>
      <c r="C73" s="13" t="s">
        <v>320</v>
      </c>
      <c r="D73" s="15" t="n">
        <f aca="false">IF(LEFT(A73,1)&gt;="6",0,SUMIFS('BALANCE 2026'!$H:$H,'BALANCE 2026'!$A:$A,A73))</f>
        <v>0</v>
      </c>
      <c r="E73" s="15" t="n">
        <f aca="false">IF(LEFT(A73,1)&gt;="6",0,SUMIFS('BALANCE 2026'!$I:$I,'BALANCE 2026'!$A:$A,A73))</f>
        <v>0</v>
      </c>
      <c r="F73" s="20" t="n">
        <f aca="false">MAX(0,(H73-I73)-(D73-E73))</f>
        <v>26648373</v>
      </c>
      <c r="G73" s="20" t="n">
        <f aca="false">MAX(0,(D73-E73)-(H73-I73))</f>
        <v>0</v>
      </c>
      <c r="H73" s="15" t="n">
        <f aca="false">ROUND(IF(LEFT(A73,1)&gt;="6",IF(C73="RE",IF(HYPOTHESES!$C$43=0,0,HYPOTHESES!F$43*SUMIFS('BALANCE 2024'!$H:$H,'BALANCE 2024'!$A:$A,A73)/HYPOTHESES!$C$43),IF(C73="RG",IF(HYPOTHESES!$C$44=0,0,HYPOTHESES!F$44*SUMIFS('BALANCE 2024'!$H:$H,'BALANCE 2024'!$A:$A,A73)/HYPOTHESES!$C$44),IF(C73="RH",IF(HYPOTHESES!$C$45=0,0,HYPOTHESES!F$45*SUMIFS('BALANCE 2024'!$H:$H,'BALANCE 2024'!$A:$A,A73)/HYPOTHESES!$C$45),IF(C73="RI",IF(HYPOTHESES!$C$46=0,0,HYPOTHESES!F$46*SUMIFS('BALANCE 2024'!$H:$H,'BALANCE 2024'!$A:$A,A73)/HYPOTHESES!$C$46),IF(C73="RJ",IF(HYPOTHESES!$C$47=0,0,HYPOTHESES!F$47*SUMIFS('BALANCE 2024'!$H:$H,'BALANCE 2024'!$A:$A,A73)/HYPOTHESES!$C$47),IF(C73="RK",IF(HYPOTHESES!$C$48=0,0,HYPOTHESES!F$48*SUMIFS('BALANCE 2024'!$H:$H,'BALANCE 2024'!$A:$A,A73)/HYPOTHESES!$C$48),0)))))),MAX(0,D73-E73)),0)</f>
        <v>26648373</v>
      </c>
      <c r="I73" s="20" t="n">
        <v>0</v>
      </c>
      <c r="J7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4" customFormat="false" ht="15" hidden="false" customHeight="false" outlineLevel="0" collapsed="false">
      <c r="A74" s="30" t="n">
        <v>632800</v>
      </c>
      <c r="B74" s="12" t="s">
        <v>327</v>
      </c>
      <c r="C74" s="13" t="s">
        <v>320</v>
      </c>
      <c r="D74" s="15" t="n">
        <f aca="false">IF(LEFT(A74,1)&gt;="6",0,SUMIFS('BALANCE 2026'!$H:$H,'BALANCE 2026'!$A:$A,A74))</f>
        <v>0</v>
      </c>
      <c r="E74" s="15" t="n">
        <f aca="false">IF(LEFT(A74,1)&gt;="6",0,SUMIFS('BALANCE 2026'!$I:$I,'BALANCE 2026'!$A:$A,A74))</f>
        <v>0</v>
      </c>
      <c r="F74" s="20" t="n">
        <f aca="false">MAX(0,(H74-I74)-(D74-E74))</f>
        <v>5606900</v>
      </c>
      <c r="G74" s="20" t="n">
        <f aca="false">MAX(0,(D74-E74)-(H74-I74))</f>
        <v>0</v>
      </c>
      <c r="H74" s="15" t="n">
        <f aca="false">ROUND(IF(LEFT(A74,1)&gt;="6",IF(C74="RE",IF(HYPOTHESES!$C$43=0,0,HYPOTHESES!F$43*SUMIFS('BALANCE 2024'!$H:$H,'BALANCE 2024'!$A:$A,A74)/HYPOTHESES!$C$43),IF(C74="RG",IF(HYPOTHESES!$C$44=0,0,HYPOTHESES!F$44*SUMIFS('BALANCE 2024'!$H:$H,'BALANCE 2024'!$A:$A,A74)/HYPOTHESES!$C$44),IF(C74="RH",IF(HYPOTHESES!$C$45=0,0,HYPOTHESES!F$45*SUMIFS('BALANCE 2024'!$H:$H,'BALANCE 2024'!$A:$A,A74)/HYPOTHESES!$C$45),IF(C74="RI",IF(HYPOTHESES!$C$46=0,0,HYPOTHESES!F$46*SUMIFS('BALANCE 2024'!$H:$H,'BALANCE 2024'!$A:$A,A74)/HYPOTHESES!$C$46),IF(C74="RJ",IF(HYPOTHESES!$C$47=0,0,HYPOTHESES!F$47*SUMIFS('BALANCE 2024'!$H:$H,'BALANCE 2024'!$A:$A,A74)/HYPOTHESES!$C$47),IF(C74="RK",IF(HYPOTHESES!$C$48=0,0,HYPOTHESES!F$48*SUMIFS('BALANCE 2024'!$H:$H,'BALANCE 2024'!$A:$A,A74)/HYPOTHESES!$C$48),0)))))),MAX(0,D74-E74)),0)</f>
        <v>5606900</v>
      </c>
      <c r="I74" s="20" t="n">
        <v>0</v>
      </c>
      <c r="J7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5" customFormat="false" ht="15" hidden="false" customHeight="false" outlineLevel="0" collapsed="false">
      <c r="A75" s="30" t="n">
        <v>638800</v>
      </c>
      <c r="B75" s="12" t="s">
        <v>328</v>
      </c>
      <c r="C75" s="13" t="s">
        <v>320</v>
      </c>
      <c r="D75" s="15" t="n">
        <f aca="false">IF(LEFT(A75,1)&gt;="6",0,SUMIFS('BALANCE 2026'!$H:$H,'BALANCE 2026'!$A:$A,A75))</f>
        <v>0</v>
      </c>
      <c r="E75" s="15" t="n">
        <f aca="false">IF(LEFT(A75,1)&gt;="6",0,SUMIFS('BALANCE 2026'!$I:$I,'BALANCE 2026'!$A:$A,A75))</f>
        <v>0</v>
      </c>
      <c r="F75" s="20" t="n">
        <f aca="false">MAX(0,(H75-I75)-(D75-E75))</f>
        <v>27265266</v>
      </c>
      <c r="G75" s="20" t="n">
        <f aca="false">MAX(0,(D75-E75)-(H75-I75))</f>
        <v>0</v>
      </c>
      <c r="H75" s="15" t="n">
        <f aca="false">ROUND(IF(LEFT(A75,1)&gt;="6",IF(C75="RE",IF(HYPOTHESES!$C$43=0,0,HYPOTHESES!F$43*SUMIFS('BALANCE 2024'!$H:$H,'BALANCE 2024'!$A:$A,A75)/HYPOTHESES!$C$43),IF(C75="RG",IF(HYPOTHESES!$C$44=0,0,HYPOTHESES!F$44*SUMIFS('BALANCE 2024'!$H:$H,'BALANCE 2024'!$A:$A,A75)/HYPOTHESES!$C$44),IF(C75="RH",IF(HYPOTHESES!$C$45=0,0,HYPOTHESES!F$45*SUMIFS('BALANCE 2024'!$H:$H,'BALANCE 2024'!$A:$A,A75)/HYPOTHESES!$C$45),IF(C75="RI",IF(HYPOTHESES!$C$46=0,0,HYPOTHESES!F$46*SUMIFS('BALANCE 2024'!$H:$H,'BALANCE 2024'!$A:$A,A75)/HYPOTHESES!$C$46),IF(C75="RJ",IF(HYPOTHESES!$C$47=0,0,HYPOTHESES!F$47*SUMIFS('BALANCE 2024'!$H:$H,'BALANCE 2024'!$A:$A,A75)/HYPOTHESES!$C$47),IF(C75="RK",IF(HYPOTHESES!$C$48=0,0,HYPOTHESES!F$48*SUMIFS('BALANCE 2024'!$H:$H,'BALANCE 2024'!$A:$A,A75)/HYPOTHESES!$C$48),0)))))),MAX(0,D75-E75)),0)</f>
        <v>27265266</v>
      </c>
      <c r="I75" s="20" t="n">
        <v>0</v>
      </c>
      <c r="J7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6" customFormat="false" ht="15" hidden="false" customHeight="false" outlineLevel="0" collapsed="false">
      <c r="A76" s="30" t="n">
        <v>641100</v>
      </c>
      <c r="B76" s="12" t="s">
        <v>329</v>
      </c>
      <c r="C76" s="13" t="s">
        <v>330</v>
      </c>
      <c r="D76" s="15" t="n">
        <f aca="false">IF(LEFT(A76,1)&gt;="6",0,SUMIFS('BALANCE 2026'!$H:$H,'BALANCE 2026'!$A:$A,A76))</f>
        <v>0</v>
      </c>
      <c r="E76" s="15" t="n">
        <f aca="false">IF(LEFT(A76,1)&gt;="6",0,SUMIFS('BALANCE 2026'!$I:$I,'BALANCE 2026'!$A:$A,A76))</f>
        <v>0</v>
      </c>
      <c r="F76" s="20" t="n">
        <f aca="false">MAX(0,(H76-I76)-(D76-E76))</f>
        <v>424457</v>
      </c>
      <c r="G76" s="20" t="n">
        <f aca="false">MAX(0,(D76-E76)-(H76-I76))</f>
        <v>0</v>
      </c>
      <c r="H76" s="15" t="n">
        <f aca="false">ROUND(IF(LEFT(A76,1)&gt;="6",IF(C76="RE",IF(HYPOTHESES!$C$43=0,0,HYPOTHESES!F$43*SUMIFS('BALANCE 2024'!$H:$H,'BALANCE 2024'!$A:$A,A76)/HYPOTHESES!$C$43),IF(C76="RG",IF(HYPOTHESES!$C$44=0,0,HYPOTHESES!F$44*SUMIFS('BALANCE 2024'!$H:$H,'BALANCE 2024'!$A:$A,A76)/HYPOTHESES!$C$44),IF(C76="RH",IF(HYPOTHESES!$C$45=0,0,HYPOTHESES!F$45*SUMIFS('BALANCE 2024'!$H:$H,'BALANCE 2024'!$A:$A,A76)/HYPOTHESES!$C$45),IF(C76="RI",IF(HYPOTHESES!$C$46=0,0,HYPOTHESES!F$46*SUMIFS('BALANCE 2024'!$H:$H,'BALANCE 2024'!$A:$A,A76)/HYPOTHESES!$C$46),IF(C76="RJ",IF(HYPOTHESES!$C$47=0,0,HYPOTHESES!F$47*SUMIFS('BALANCE 2024'!$H:$H,'BALANCE 2024'!$A:$A,A76)/HYPOTHESES!$C$47),IF(C76="RK",IF(HYPOTHESES!$C$48=0,0,HYPOTHESES!F$48*SUMIFS('BALANCE 2024'!$H:$H,'BALANCE 2024'!$A:$A,A76)/HYPOTHESES!$C$48),0)))))),MAX(0,D76-E76)),0)</f>
        <v>424457</v>
      </c>
      <c r="I76" s="20" t="n">
        <v>0</v>
      </c>
      <c r="J7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7" customFormat="false" ht="15" hidden="false" customHeight="false" outlineLevel="0" collapsed="false">
      <c r="A77" s="30" t="n">
        <v>641201</v>
      </c>
      <c r="B77" s="12" t="s">
        <v>331</v>
      </c>
      <c r="C77" s="13" t="s">
        <v>330</v>
      </c>
      <c r="D77" s="15" t="n">
        <f aca="false">IF(LEFT(A77,1)&gt;="6",0,SUMIFS('BALANCE 2026'!$H:$H,'BALANCE 2026'!$A:$A,A77))</f>
        <v>0</v>
      </c>
      <c r="E77" s="15" t="n">
        <f aca="false">IF(LEFT(A77,1)&gt;="6",0,SUMIFS('BALANCE 2026'!$I:$I,'BALANCE 2026'!$A:$A,A77))</f>
        <v>0</v>
      </c>
      <c r="F77" s="20" t="n">
        <f aca="false">MAX(0,(H77-I77)-(D77-E77))</f>
        <v>10676434</v>
      </c>
      <c r="G77" s="20" t="n">
        <f aca="false">MAX(0,(D77-E77)-(H77-I77))</f>
        <v>0</v>
      </c>
      <c r="H77" s="15" t="n">
        <f aca="false">ROUND(IF(HYPOTHESES!$C$46=0,0,HYPOTHESES!F$46-SUMPRODUCT((T_BAL_2027[Poste]="RI")*(T_BAL_2027[Compte]&lt;&gt;641201)*ROUND(HYPOTHESES!F$46*SUMIFS('BALANCE 2024'!$H:$H,'BALANCE 2024'!$A:$A,T_BAL_2027[Compte])/HYPOTHESES!$C$46,0))),0)</f>
        <v>10676434</v>
      </c>
      <c r="I77" s="20" t="n">
        <v>0</v>
      </c>
      <c r="J7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8" customFormat="false" ht="15" hidden="false" customHeight="false" outlineLevel="0" collapsed="false">
      <c r="A78" s="30" t="n">
        <v>641202</v>
      </c>
      <c r="B78" s="12" t="s">
        <v>332</v>
      </c>
      <c r="C78" s="13" t="s">
        <v>330</v>
      </c>
      <c r="D78" s="15" t="n">
        <f aca="false">IF(LEFT(A78,1)&gt;="6",0,SUMIFS('BALANCE 2026'!$H:$H,'BALANCE 2026'!$A:$A,A78))</f>
        <v>0</v>
      </c>
      <c r="E78" s="15" t="n">
        <f aca="false">IF(LEFT(A78,1)&gt;="6",0,SUMIFS('BALANCE 2026'!$I:$I,'BALANCE 2026'!$A:$A,A78))</f>
        <v>0</v>
      </c>
      <c r="F78" s="20" t="n">
        <f aca="false">MAX(0,(H78-I78)-(D78-E78))</f>
        <v>1825986</v>
      </c>
      <c r="G78" s="20" t="n">
        <f aca="false">MAX(0,(D78-E78)-(H78-I78))</f>
        <v>0</v>
      </c>
      <c r="H78" s="15" t="n">
        <f aca="false">ROUND(IF(LEFT(A78,1)&gt;="6",IF(C78="RE",IF(HYPOTHESES!$C$43=0,0,HYPOTHESES!F$43*SUMIFS('BALANCE 2024'!$H:$H,'BALANCE 2024'!$A:$A,A78)/HYPOTHESES!$C$43),IF(C78="RG",IF(HYPOTHESES!$C$44=0,0,HYPOTHESES!F$44*SUMIFS('BALANCE 2024'!$H:$H,'BALANCE 2024'!$A:$A,A78)/HYPOTHESES!$C$44),IF(C78="RH",IF(HYPOTHESES!$C$45=0,0,HYPOTHESES!F$45*SUMIFS('BALANCE 2024'!$H:$H,'BALANCE 2024'!$A:$A,A78)/HYPOTHESES!$C$45),IF(C78="RI",IF(HYPOTHESES!$C$46=0,0,HYPOTHESES!F$46*SUMIFS('BALANCE 2024'!$H:$H,'BALANCE 2024'!$A:$A,A78)/HYPOTHESES!$C$46),IF(C78="RJ",IF(HYPOTHESES!$C$47=0,0,HYPOTHESES!F$47*SUMIFS('BALANCE 2024'!$H:$H,'BALANCE 2024'!$A:$A,A78)/HYPOTHESES!$C$47),IF(C78="RK",IF(HYPOTHESES!$C$48=0,0,HYPOTHESES!F$48*SUMIFS('BALANCE 2024'!$H:$H,'BALANCE 2024'!$A:$A,A78)/HYPOTHESES!$C$48),0)))))),MAX(0,D78-E78)),0)</f>
        <v>1825986</v>
      </c>
      <c r="I78" s="20" t="n">
        <v>0</v>
      </c>
      <c r="J7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79" customFormat="false" ht="15" hidden="false" customHeight="false" outlineLevel="0" collapsed="false">
      <c r="A79" s="30" t="n">
        <v>641300</v>
      </c>
      <c r="B79" s="12" t="s">
        <v>333</v>
      </c>
      <c r="C79" s="13" t="s">
        <v>330</v>
      </c>
      <c r="D79" s="15" t="n">
        <f aca="false">IF(LEFT(A79,1)&gt;="6",0,SUMIFS('BALANCE 2026'!$H:$H,'BALANCE 2026'!$A:$A,A79))</f>
        <v>0</v>
      </c>
      <c r="E79" s="15" t="n">
        <f aca="false">IF(LEFT(A79,1)&gt;="6",0,SUMIFS('BALANCE 2026'!$I:$I,'BALANCE 2026'!$A:$A,A79))</f>
        <v>0</v>
      </c>
      <c r="F79" s="20" t="n">
        <f aca="false">MAX(0,(H79-I79)-(D79-E79))</f>
        <v>974572</v>
      </c>
      <c r="G79" s="20" t="n">
        <f aca="false">MAX(0,(D79-E79)-(H79-I79))</f>
        <v>0</v>
      </c>
      <c r="H79" s="15" t="n">
        <f aca="false">ROUND(IF(LEFT(A79,1)&gt;="6",IF(C79="RE",IF(HYPOTHESES!$C$43=0,0,HYPOTHESES!F$43*SUMIFS('BALANCE 2024'!$H:$H,'BALANCE 2024'!$A:$A,A79)/HYPOTHESES!$C$43),IF(C79="RG",IF(HYPOTHESES!$C$44=0,0,HYPOTHESES!F$44*SUMIFS('BALANCE 2024'!$H:$H,'BALANCE 2024'!$A:$A,A79)/HYPOTHESES!$C$44),IF(C79="RH",IF(HYPOTHESES!$C$45=0,0,HYPOTHESES!F$45*SUMIFS('BALANCE 2024'!$H:$H,'BALANCE 2024'!$A:$A,A79)/HYPOTHESES!$C$45),IF(C79="RI",IF(HYPOTHESES!$C$46=0,0,HYPOTHESES!F$46*SUMIFS('BALANCE 2024'!$H:$H,'BALANCE 2024'!$A:$A,A79)/HYPOTHESES!$C$46),IF(C79="RJ",IF(HYPOTHESES!$C$47=0,0,HYPOTHESES!F$47*SUMIFS('BALANCE 2024'!$H:$H,'BALANCE 2024'!$A:$A,A79)/HYPOTHESES!$C$47),IF(C79="RK",IF(HYPOTHESES!$C$48=0,0,HYPOTHESES!F$48*SUMIFS('BALANCE 2024'!$H:$H,'BALANCE 2024'!$A:$A,A79)/HYPOTHESES!$C$48),0)))))),MAX(0,D79-E79)),0)</f>
        <v>974572</v>
      </c>
      <c r="I79" s="20" t="n">
        <v>0</v>
      </c>
      <c r="J7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0" customFormat="false" ht="15" hidden="false" customHeight="false" outlineLevel="0" collapsed="false">
      <c r="A80" s="30" t="n">
        <v>641400</v>
      </c>
      <c r="B80" s="12" t="s">
        <v>334</v>
      </c>
      <c r="C80" s="13" t="s">
        <v>330</v>
      </c>
      <c r="D80" s="15" t="n">
        <f aca="false">IF(LEFT(A80,1)&gt;="6",0,SUMIFS('BALANCE 2026'!$H:$H,'BALANCE 2026'!$A:$A,A80))</f>
        <v>0</v>
      </c>
      <c r="E80" s="15" t="n">
        <f aca="false">IF(LEFT(A80,1)&gt;="6",0,SUMIFS('BALANCE 2026'!$I:$I,'BALANCE 2026'!$A:$A,A80))</f>
        <v>0</v>
      </c>
      <c r="F80" s="20" t="n">
        <f aca="false">MAX(0,(H80-I80)-(D80-E80))</f>
        <v>122699</v>
      </c>
      <c r="G80" s="20" t="n">
        <f aca="false">MAX(0,(D80-E80)-(H80-I80))</f>
        <v>0</v>
      </c>
      <c r="H80" s="15" t="n">
        <f aca="false">ROUND(IF(LEFT(A80,1)&gt;="6",IF(C80="RE",IF(HYPOTHESES!$C$43=0,0,HYPOTHESES!F$43*SUMIFS('BALANCE 2024'!$H:$H,'BALANCE 2024'!$A:$A,A80)/HYPOTHESES!$C$43),IF(C80="RG",IF(HYPOTHESES!$C$44=0,0,HYPOTHESES!F$44*SUMIFS('BALANCE 2024'!$H:$H,'BALANCE 2024'!$A:$A,A80)/HYPOTHESES!$C$44),IF(C80="RH",IF(HYPOTHESES!$C$45=0,0,HYPOTHESES!F$45*SUMIFS('BALANCE 2024'!$H:$H,'BALANCE 2024'!$A:$A,A80)/HYPOTHESES!$C$45),IF(C80="RI",IF(HYPOTHESES!$C$46=0,0,HYPOTHESES!F$46*SUMIFS('BALANCE 2024'!$H:$H,'BALANCE 2024'!$A:$A,A80)/HYPOTHESES!$C$46),IF(C80="RJ",IF(HYPOTHESES!$C$47=0,0,HYPOTHESES!F$47*SUMIFS('BALANCE 2024'!$H:$H,'BALANCE 2024'!$A:$A,A80)/HYPOTHESES!$C$47),IF(C80="RK",IF(HYPOTHESES!$C$48=0,0,HYPOTHESES!F$48*SUMIFS('BALANCE 2024'!$H:$H,'BALANCE 2024'!$A:$A,A80)/HYPOTHESES!$C$48),0)))))),MAX(0,D80-E80)),0)</f>
        <v>122699</v>
      </c>
      <c r="I80" s="20" t="n">
        <v>0</v>
      </c>
      <c r="J8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1" customFormat="false" ht="15" hidden="false" customHeight="false" outlineLevel="0" collapsed="false">
      <c r="A81" s="30" t="n">
        <v>641500</v>
      </c>
      <c r="B81" s="12" t="s">
        <v>335</v>
      </c>
      <c r="C81" s="13" t="s">
        <v>330</v>
      </c>
      <c r="D81" s="15" t="n">
        <f aca="false">IF(LEFT(A81,1)&gt;="6",0,SUMIFS('BALANCE 2026'!$H:$H,'BALANCE 2026'!$A:$A,A81))</f>
        <v>0</v>
      </c>
      <c r="E81" s="15" t="n">
        <f aca="false">IF(LEFT(A81,1)&gt;="6",0,SUMIFS('BALANCE 2026'!$I:$I,'BALANCE 2026'!$A:$A,A81))</f>
        <v>0</v>
      </c>
      <c r="F81" s="20" t="n">
        <f aca="false">MAX(0,(H81-I81)-(D81-E81))</f>
        <v>368112</v>
      </c>
      <c r="G81" s="20" t="n">
        <f aca="false">MAX(0,(D81-E81)-(H81-I81))</f>
        <v>0</v>
      </c>
      <c r="H81" s="15" t="n">
        <f aca="false">ROUND(IF(LEFT(A81,1)&gt;="6",IF(C81="RE",IF(HYPOTHESES!$C$43=0,0,HYPOTHESES!F$43*SUMIFS('BALANCE 2024'!$H:$H,'BALANCE 2024'!$A:$A,A81)/HYPOTHESES!$C$43),IF(C81="RG",IF(HYPOTHESES!$C$44=0,0,HYPOTHESES!F$44*SUMIFS('BALANCE 2024'!$H:$H,'BALANCE 2024'!$A:$A,A81)/HYPOTHESES!$C$44),IF(C81="RH",IF(HYPOTHESES!$C$45=0,0,HYPOTHESES!F$45*SUMIFS('BALANCE 2024'!$H:$H,'BALANCE 2024'!$A:$A,A81)/HYPOTHESES!$C$45),IF(C81="RI",IF(HYPOTHESES!$C$46=0,0,HYPOTHESES!F$46*SUMIFS('BALANCE 2024'!$H:$H,'BALANCE 2024'!$A:$A,A81)/HYPOTHESES!$C$46),IF(C81="RJ",IF(HYPOTHESES!$C$47=0,0,HYPOTHESES!F$47*SUMIFS('BALANCE 2024'!$H:$H,'BALANCE 2024'!$A:$A,A81)/HYPOTHESES!$C$47),IF(C81="RK",IF(HYPOTHESES!$C$48=0,0,HYPOTHESES!F$48*SUMIFS('BALANCE 2024'!$H:$H,'BALANCE 2024'!$A:$A,A81)/HYPOTHESES!$C$48),0)))))),MAX(0,D81-E81)),0)</f>
        <v>368112</v>
      </c>
      <c r="I81" s="20" t="n">
        <v>0</v>
      </c>
      <c r="J8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2" customFormat="false" ht="15" hidden="false" customHeight="false" outlineLevel="0" collapsed="false">
      <c r="A82" s="30" t="n">
        <v>641830</v>
      </c>
      <c r="B82" s="12" t="s">
        <v>336</v>
      </c>
      <c r="C82" s="13" t="s">
        <v>330</v>
      </c>
      <c r="D82" s="15" t="n">
        <f aca="false">IF(LEFT(A82,1)&gt;="6",0,SUMIFS('BALANCE 2026'!$H:$H,'BALANCE 2026'!$A:$A,A82))</f>
        <v>0</v>
      </c>
      <c r="E82" s="15" t="n">
        <f aca="false">IF(LEFT(A82,1)&gt;="6",0,SUMIFS('BALANCE 2026'!$I:$I,'BALANCE 2026'!$A:$A,A82))</f>
        <v>0</v>
      </c>
      <c r="F82" s="20" t="n">
        <f aca="false">MAX(0,(H82-I82)-(D82-E82))</f>
        <v>249587</v>
      </c>
      <c r="G82" s="20" t="n">
        <f aca="false">MAX(0,(D82-E82)-(H82-I82))</f>
        <v>0</v>
      </c>
      <c r="H82" s="15" t="n">
        <f aca="false">ROUND(IF(LEFT(A82,1)&gt;="6",IF(C82="RE",IF(HYPOTHESES!$C$43=0,0,HYPOTHESES!F$43*SUMIFS('BALANCE 2024'!$H:$H,'BALANCE 2024'!$A:$A,A82)/HYPOTHESES!$C$43),IF(C82="RG",IF(HYPOTHESES!$C$44=0,0,HYPOTHESES!F$44*SUMIFS('BALANCE 2024'!$H:$H,'BALANCE 2024'!$A:$A,A82)/HYPOTHESES!$C$44),IF(C82="RH",IF(HYPOTHESES!$C$45=0,0,HYPOTHESES!F$45*SUMIFS('BALANCE 2024'!$H:$H,'BALANCE 2024'!$A:$A,A82)/HYPOTHESES!$C$45),IF(C82="RI",IF(HYPOTHESES!$C$46=0,0,HYPOTHESES!F$46*SUMIFS('BALANCE 2024'!$H:$H,'BALANCE 2024'!$A:$A,A82)/HYPOTHESES!$C$46),IF(C82="RJ",IF(HYPOTHESES!$C$47=0,0,HYPOTHESES!F$47*SUMIFS('BALANCE 2024'!$H:$H,'BALANCE 2024'!$A:$A,A82)/HYPOTHESES!$C$47),IF(C82="RK",IF(HYPOTHESES!$C$48=0,0,HYPOTHESES!F$48*SUMIFS('BALANCE 2024'!$H:$H,'BALANCE 2024'!$A:$A,A82)/HYPOTHESES!$C$48),0)))))),MAX(0,D82-E82)),0)</f>
        <v>249587</v>
      </c>
      <c r="I82" s="20" t="n">
        <v>0</v>
      </c>
      <c r="J8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3" customFormat="false" ht="15" hidden="false" customHeight="false" outlineLevel="0" collapsed="false">
      <c r="A83" s="30" t="n">
        <v>646200</v>
      </c>
      <c r="B83" s="12" t="s">
        <v>337</v>
      </c>
      <c r="C83" s="13" t="s">
        <v>330</v>
      </c>
      <c r="D83" s="15" t="n">
        <f aca="false">IF(LEFT(A83,1)&gt;="6",0,SUMIFS('BALANCE 2026'!$H:$H,'BALANCE 2026'!$A:$A,A83))</f>
        <v>0</v>
      </c>
      <c r="E83" s="15" t="n">
        <f aca="false">IF(LEFT(A83,1)&gt;="6",0,SUMIFS('BALANCE 2026'!$I:$I,'BALANCE 2026'!$A:$A,A83))</f>
        <v>0</v>
      </c>
      <c r="F83" s="20" t="n">
        <f aca="false">MAX(0,(H83-I83)-(D83-E83))</f>
        <v>2034621</v>
      </c>
      <c r="G83" s="20" t="n">
        <f aca="false">MAX(0,(D83-E83)-(H83-I83))</f>
        <v>0</v>
      </c>
      <c r="H83" s="15" t="n">
        <f aca="false">ROUND(IF(LEFT(A83,1)&gt;="6",IF(C83="RE",IF(HYPOTHESES!$C$43=0,0,HYPOTHESES!F$43*SUMIFS('BALANCE 2024'!$H:$H,'BALANCE 2024'!$A:$A,A83)/HYPOTHESES!$C$43),IF(C83="RG",IF(HYPOTHESES!$C$44=0,0,HYPOTHESES!F$44*SUMIFS('BALANCE 2024'!$H:$H,'BALANCE 2024'!$A:$A,A83)/HYPOTHESES!$C$44),IF(C83="RH",IF(HYPOTHESES!$C$45=0,0,HYPOTHESES!F$45*SUMIFS('BALANCE 2024'!$H:$H,'BALANCE 2024'!$A:$A,A83)/HYPOTHESES!$C$45),IF(C83="RI",IF(HYPOTHESES!$C$46=0,0,HYPOTHESES!F$46*SUMIFS('BALANCE 2024'!$H:$H,'BALANCE 2024'!$A:$A,A83)/HYPOTHESES!$C$46),IF(C83="RJ",IF(HYPOTHESES!$C$47=0,0,HYPOTHESES!F$47*SUMIFS('BALANCE 2024'!$H:$H,'BALANCE 2024'!$A:$A,A83)/HYPOTHESES!$C$47),IF(C83="RK",IF(HYPOTHESES!$C$48=0,0,HYPOTHESES!F$48*SUMIFS('BALANCE 2024'!$H:$H,'BALANCE 2024'!$A:$A,A83)/HYPOTHESES!$C$48),0)))))),MAX(0,D83-E83)),0)</f>
        <v>2034621</v>
      </c>
      <c r="I83" s="20" t="n">
        <v>0</v>
      </c>
      <c r="J8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4" customFormat="false" ht="15" hidden="false" customHeight="false" outlineLevel="0" collapsed="false">
      <c r="A84" s="30" t="n">
        <v>648000</v>
      </c>
      <c r="B84" s="12" t="s">
        <v>338</v>
      </c>
      <c r="C84" s="13" t="s">
        <v>330</v>
      </c>
      <c r="D84" s="15" t="n">
        <f aca="false">IF(LEFT(A84,1)&gt;="6",0,SUMIFS('BALANCE 2026'!$H:$H,'BALANCE 2026'!$A:$A,A84))</f>
        <v>0</v>
      </c>
      <c r="E84" s="15" t="n">
        <f aca="false">IF(LEFT(A84,1)&gt;="6",0,SUMIFS('BALANCE 2026'!$I:$I,'BALANCE 2026'!$A:$A,A84))</f>
        <v>0</v>
      </c>
      <c r="F84" s="20" t="n">
        <f aca="false">MAX(0,(H84-I84)-(D84-E84))</f>
        <v>855586</v>
      </c>
      <c r="G84" s="20" t="n">
        <f aca="false">MAX(0,(D84-E84)-(H84-I84))</f>
        <v>0</v>
      </c>
      <c r="H84" s="15" t="n">
        <f aca="false">ROUND(IF(LEFT(A84,1)&gt;="6",IF(C84="RE",IF(HYPOTHESES!$C$43=0,0,HYPOTHESES!F$43*SUMIFS('BALANCE 2024'!$H:$H,'BALANCE 2024'!$A:$A,A84)/HYPOTHESES!$C$43),IF(C84="RG",IF(HYPOTHESES!$C$44=0,0,HYPOTHESES!F$44*SUMIFS('BALANCE 2024'!$H:$H,'BALANCE 2024'!$A:$A,A84)/HYPOTHESES!$C$44),IF(C84="RH",IF(HYPOTHESES!$C$45=0,0,HYPOTHESES!F$45*SUMIFS('BALANCE 2024'!$H:$H,'BALANCE 2024'!$A:$A,A84)/HYPOTHESES!$C$45),IF(C84="RI",IF(HYPOTHESES!$C$46=0,0,HYPOTHESES!F$46*SUMIFS('BALANCE 2024'!$H:$H,'BALANCE 2024'!$A:$A,A84)/HYPOTHESES!$C$46),IF(C84="RJ",IF(HYPOTHESES!$C$47=0,0,HYPOTHESES!F$47*SUMIFS('BALANCE 2024'!$H:$H,'BALANCE 2024'!$A:$A,A84)/HYPOTHESES!$C$47),IF(C84="RK",IF(HYPOTHESES!$C$48=0,0,HYPOTHESES!F$48*SUMIFS('BALANCE 2024'!$H:$H,'BALANCE 2024'!$A:$A,A84)/HYPOTHESES!$C$48),0)))))),MAX(0,D84-E84)),0)</f>
        <v>855586</v>
      </c>
      <c r="I84" s="20" t="n">
        <v>0</v>
      </c>
      <c r="J8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5" customFormat="false" ht="15" hidden="false" customHeight="false" outlineLevel="0" collapsed="false">
      <c r="A85" s="30" t="n">
        <v>658800</v>
      </c>
      <c r="B85" s="12" t="s">
        <v>339</v>
      </c>
      <c r="C85" s="13" t="s">
        <v>340</v>
      </c>
      <c r="D85" s="15" t="n">
        <f aca="false">IF(LEFT(A85,1)&gt;="6",0,SUMIFS('BALANCE 2026'!$H:$H,'BALANCE 2026'!$A:$A,A85))</f>
        <v>0</v>
      </c>
      <c r="E85" s="15" t="n">
        <f aca="false">IF(LEFT(A85,1)&gt;="6",0,SUMIFS('BALANCE 2026'!$I:$I,'BALANCE 2026'!$A:$A,A85))</f>
        <v>0</v>
      </c>
      <c r="F85" s="20" t="n">
        <f aca="false">MAX(0,(H85-I85)-(D85-E85))</f>
        <v>1571269</v>
      </c>
      <c r="G85" s="20" t="n">
        <f aca="false">MAX(0,(D85-E85)-(H85-I85))</f>
        <v>0</v>
      </c>
      <c r="H85" s="15" t="n">
        <f aca="false">ROUND(IF(HYPOTHESES!$C$47=0,0,HYPOTHESES!F$47-SUMPRODUCT((T_BAL_2027[Poste]="RJ")*(T_BAL_2027[Compte]&lt;&gt;658800)*ROUND(HYPOTHESES!F$47*SUMIFS('BALANCE 2024'!$H:$H,'BALANCE 2024'!$A:$A,T_BAL_2027[Compte])/HYPOTHESES!$C$47,0))),0)</f>
        <v>1571269</v>
      </c>
      <c r="I85" s="20" t="n">
        <v>0</v>
      </c>
      <c r="J8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6" customFormat="false" ht="15" hidden="false" customHeight="false" outlineLevel="0" collapsed="false">
      <c r="A86" s="30" t="n">
        <v>661100</v>
      </c>
      <c r="B86" s="12" t="s">
        <v>341</v>
      </c>
      <c r="C86" s="13" t="s">
        <v>342</v>
      </c>
      <c r="D86" s="15" t="n">
        <f aca="false">IF(LEFT(A86,1)&gt;="6",0,SUMIFS('BALANCE 2026'!$H:$H,'BALANCE 2026'!$A:$A,A86))</f>
        <v>0</v>
      </c>
      <c r="E86" s="15" t="n">
        <f aca="false">IF(LEFT(A86,1)&gt;="6",0,SUMIFS('BALANCE 2026'!$I:$I,'BALANCE 2026'!$A:$A,A86))</f>
        <v>0</v>
      </c>
      <c r="F86" s="20" t="n">
        <f aca="false">MAX(0,(H86-I86)-(D86-E86))</f>
        <v>69556600</v>
      </c>
      <c r="G86" s="20" t="n">
        <f aca="false">MAX(0,(D86-E86)-(H86-I86))</f>
        <v>0</v>
      </c>
      <c r="H86" s="15" t="n">
        <f aca="false">ROUND(IF(HYPOTHESES!$C$48=0,0,HYPOTHESES!F$48-SUMPRODUCT((T_BAL_2027[Poste]="RK")*(T_BAL_2027[Compte]&lt;&gt;661100)*ROUND(HYPOTHESES!F$48*SUMIFS('BALANCE 2024'!$H:$H,'BALANCE 2024'!$A:$A,T_BAL_2027[Compte])/HYPOTHESES!$C$48,0))),0)</f>
        <v>69556600</v>
      </c>
      <c r="I86" s="20" t="n">
        <v>0</v>
      </c>
      <c r="J8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7" customFormat="false" ht="15" hidden="false" customHeight="false" outlineLevel="0" collapsed="false">
      <c r="A87" s="30" t="n">
        <v>661200</v>
      </c>
      <c r="B87" s="12" t="s">
        <v>343</v>
      </c>
      <c r="C87" s="13" t="s">
        <v>342</v>
      </c>
      <c r="D87" s="15" t="n">
        <f aca="false">IF(LEFT(A87,1)&gt;="6",0,SUMIFS('BALANCE 2026'!$H:$H,'BALANCE 2026'!$A:$A,A87))</f>
        <v>0</v>
      </c>
      <c r="E87" s="15" t="n">
        <f aca="false">IF(LEFT(A87,1)&gt;="6",0,SUMIFS('BALANCE 2026'!$I:$I,'BALANCE 2026'!$A:$A,A87))</f>
        <v>0</v>
      </c>
      <c r="F87" s="20" t="n">
        <f aca="false">MAX(0,(H87-I87)-(D87-E87))</f>
        <v>23513642</v>
      </c>
      <c r="G87" s="20" t="n">
        <f aca="false">MAX(0,(D87-E87)-(H87-I87))</f>
        <v>0</v>
      </c>
      <c r="H87" s="15" t="n">
        <f aca="false">ROUND(IF(LEFT(A87,1)&gt;="6",IF(C87="RE",IF(HYPOTHESES!$C$43=0,0,HYPOTHESES!F$43*SUMIFS('BALANCE 2024'!$H:$H,'BALANCE 2024'!$A:$A,A87)/HYPOTHESES!$C$43),IF(C87="RG",IF(HYPOTHESES!$C$44=0,0,HYPOTHESES!F$44*SUMIFS('BALANCE 2024'!$H:$H,'BALANCE 2024'!$A:$A,A87)/HYPOTHESES!$C$44),IF(C87="RH",IF(HYPOTHESES!$C$45=0,0,HYPOTHESES!F$45*SUMIFS('BALANCE 2024'!$H:$H,'BALANCE 2024'!$A:$A,A87)/HYPOTHESES!$C$45),IF(C87="RI",IF(HYPOTHESES!$C$46=0,0,HYPOTHESES!F$46*SUMIFS('BALANCE 2024'!$H:$H,'BALANCE 2024'!$A:$A,A87)/HYPOTHESES!$C$46),IF(C87="RJ",IF(HYPOTHESES!$C$47=0,0,HYPOTHESES!F$47*SUMIFS('BALANCE 2024'!$H:$H,'BALANCE 2024'!$A:$A,A87)/HYPOTHESES!$C$47),IF(C87="RK",IF(HYPOTHESES!$C$48=0,0,HYPOTHESES!F$48*SUMIFS('BALANCE 2024'!$H:$H,'BALANCE 2024'!$A:$A,A87)/HYPOTHESES!$C$48),0)))))),MAX(0,D87-E87)),0)</f>
        <v>23513642</v>
      </c>
      <c r="I87" s="20" t="n">
        <v>0</v>
      </c>
      <c r="J8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8" customFormat="false" ht="15" hidden="false" customHeight="false" outlineLevel="0" collapsed="false">
      <c r="A88" s="30" t="n">
        <v>661300</v>
      </c>
      <c r="B88" s="12" t="s">
        <v>344</v>
      </c>
      <c r="C88" s="13" t="s">
        <v>342</v>
      </c>
      <c r="D88" s="15" t="n">
        <f aca="false">IF(LEFT(A88,1)&gt;="6",0,SUMIFS('BALANCE 2026'!$H:$H,'BALANCE 2026'!$A:$A,A88))</f>
        <v>0</v>
      </c>
      <c r="E88" s="15" t="n">
        <f aca="false">IF(LEFT(A88,1)&gt;="6",0,SUMIFS('BALANCE 2026'!$I:$I,'BALANCE 2026'!$A:$A,A88))</f>
        <v>0</v>
      </c>
      <c r="F88" s="20" t="n">
        <f aca="false">MAX(0,(H88-I88)-(D88-E88))</f>
        <v>7758368</v>
      </c>
      <c r="G88" s="20" t="n">
        <f aca="false">MAX(0,(D88-E88)-(H88-I88))</f>
        <v>0</v>
      </c>
      <c r="H88" s="15" t="n">
        <f aca="false">ROUND(IF(LEFT(A88,1)&gt;="6",IF(C88="RE",IF(HYPOTHESES!$C$43=0,0,HYPOTHESES!F$43*SUMIFS('BALANCE 2024'!$H:$H,'BALANCE 2024'!$A:$A,A88)/HYPOTHESES!$C$43),IF(C88="RG",IF(HYPOTHESES!$C$44=0,0,HYPOTHESES!F$44*SUMIFS('BALANCE 2024'!$H:$H,'BALANCE 2024'!$A:$A,A88)/HYPOTHESES!$C$44),IF(C88="RH",IF(HYPOTHESES!$C$45=0,0,HYPOTHESES!F$45*SUMIFS('BALANCE 2024'!$H:$H,'BALANCE 2024'!$A:$A,A88)/HYPOTHESES!$C$45),IF(C88="RI",IF(HYPOTHESES!$C$46=0,0,HYPOTHESES!F$46*SUMIFS('BALANCE 2024'!$H:$H,'BALANCE 2024'!$A:$A,A88)/HYPOTHESES!$C$46),IF(C88="RJ",IF(HYPOTHESES!$C$47=0,0,HYPOTHESES!F$47*SUMIFS('BALANCE 2024'!$H:$H,'BALANCE 2024'!$A:$A,A88)/HYPOTHESES!$C$47),IF(C88="RK",IF(HYPOTHESES!$C$48=0,0,HYPOTHESES!F$48*SUMIFS('BALANCE 2024'!$H:$H,'BALANCE 2024'!$A:$A,A88)/HYPOTHESES!$C$48),0)))))),MAX(0,D88-E88)),0)</f>
        <v>7758368</v>
      </c>
      <c r="I88" s="20" t="n">
        <v>0</v>
      </c>
      <c r="J8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89" customFormat="false" ht="15" hidden="false" customHeight="false" outlineLevel="0" collapsed="false">
      <c r="A89" s="30" t="n">
        <v>661400</v>
      </c>
      <c r="B89" s="12" t="s">
        <v>345</v>
      </c>
      <c r="C89" s="13" t="s">
        <v>342</v>
      </c>
      <c r="D89" s="15" t="n">
        <f aca="false">IF(LEFT(A89,1)&gt;="6",0,SUMIFS('BALANCE 2026'!$H:$H,'BALANCE 2026'!$A:$A,A89))</f>
        <v>0</v>
      </c>
      <c r="E89" s="15" t="n">
        <f aca="false">IF(LEFT(A89,1)&gt;="6",0,SUMIFS('BALANCE 2026'!$I:$I,'BALANCE 2026'!$A:$A,A89))</f>
        <v>0</v>
      </c>
      <c r="F89" s="20" t="n">
        <f aca="false">MAX(0,(H89-I89)-(D89-E89))</f>
        <v>7834949</v>
      </c>
      <c r="G89" s="20" t="n">
        <f aca="false">MAX(0,(D89-E89)-(H89-I89))</f>
        <v>0</v>
      </c>
      <c r="H89" s="15" t="n">
        <f aca="false">ROUND(IF(LEFT(A89,1)&gt;="6",IF(C89="RE",IF(HYPOTHESES!$C$43=0,0,HYPOTHESES!F$43*SUMIFS('BALANCE 2024'!$H:$H,'BALANCE 2024'!$A:$A,A89)/HYPOTHESES!$C$43),IF(C89="RG",IF(HYPOTHESES!$C$44=0,0,HYPOTHESES!F$44*SUMIFS('BALANCE 2024'!$H:$H,'BALANCE 2024'!$A:$A,A89)/HYPOTHESES!$C$44),IF(C89="RH",IF(HYPOTHESES!$C$45=0,0,HYPOTHESES!F$45*SUMIFS('BALANCE 2024'!$H:$H,'BALANCE 2024'!$A:$A,A89)/HYPOTHESES!$C$45),IF(C89="RI",IF(HYPOTHESES!$C$46=0,0,HYPOTHESES!F$46*SUMIFS('BALANCE 2024'!$H:$H,'BALANCE 2024'!$A:$A,A89)/HYPOTHESES!$C$46),IF(C89="RJ",IF(HYPOTHESES!$C$47=0,0,HYPOTHESES!F$47*SUMIFS('BALANCE 2024'!$H:$H,'BALANCE 2024'!$A:$A,A89)/HYPOTHESES!$C$47),IF(C89="RK",IF(HYPOTHESES!$C$48=0,0,HYPOTHESES!F$48*SUMIFS('BALANCE 2024'!$H:$H,'BALANCE 2024'!$A:$A,A89)/HYPOTHESES!$C$48),0)))))),MAX(0,D89-E89)),0)</f>
        <v>7834949</v>
      </c>
      <c r="I89" s="20" t="n">
        <v>0</v>
      </c>
      <c r="J89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0" customFormat="false" ht="15" hidden="false" customHeight="false" outlineLevel="0" collapsed="false">
      <c r="A90" s="30" t="n">
        <v>663400</v>
      </c>
      <c r="B90" s="12" t="s">
        <v>346</v>
      </c>
      <c r="C90" s="13" t="s">
        <v>342</v>
      </c>
      <c r="D90" s="15" t="n">
        <f aca="false">IF(LEFT(A90,1)&gt;="6",0,SUMIFS('BALANCE 2026'!$H:$H,'BALANCE 2026'!$A:$A,A90))</f>
        <v>0</v>
      </c>
      <c r="E90" s="15" t="n">
        <f aca="false">IF(LEFT(A90,1)&gt;="6",0,SUMIFS('BALANCE 2026'!$I:$I,'BALANCE 2026'!$A:$A,A90))</f>
        <v>0</v>
      </c>
      <c r="F90" s="20" t="n">
        <f aca="false">MAX(0,(H90-I90)-(D90-E90))</f>
        <v>8114786</v>
      </c>
      <c r="G90" s="20" t="n">
        <f aca="false">MAX(0,(D90-E90)-(H90-I90))</f>
        <v>0</v>
      </c>
      <c r="H90" s="15" t="n">
        <f aca="false">ROUND(IF(LEFT(A90,1)&gt;="6",IF(C90="RE",IF(HYPOTHESES!$C$43=0,0,HYPOTHESES!F$43*SUMIFS('BALANCE 2024'!$H:$H,'BALANCE 2024'!$A:$A,A90)/HYPOTHESES!$C$43),IF(C90="RG",IF(HYPOTHESES!$C$44=0,0,HYPOTHESES!F$44*SUMIFS('BALANCE 2024'!$H:$H,'BALANCE 2024'!$A:$A,A90)/HYPOTHESES!$C$44),IF(C90="RH",IF(HYPOTHESES!$C$45=0,0,HYPOTHESES!F$45*SUMIFS('BALANCE 2024'!$H:$H,'BALANCE 2024'!$A:$A,A90)/HYPOTHESES!$C$45),IF(C90="RI",IF(HYPOTHESES!$C$46=0,0,HYPOTHESES!F$46*SUMIFS('BALANCE 2024'!$H:$H,'BALANCE 2024'!$A:$A,A90)/HYPOTHESES!$C$46),IF(C90="RJ",IF(HYPOTHESES!$C$47=0,0,HYPOTHESES!F$47*SUMIFS('BALANCE 2024'!$H:$H,'BALANCE 2024'!$A:$A,A90)/HYPOTHESES!$C$47),IF(C90="RK",IF(HYPOTHESES!$C$48=0,0,HYPOTHESES!F$48*SUMIFS('BALANCE 2024'!$H:$H,'BALANCE 2024'!$A:$A,A90)/HYPOTHESES!$C$48),0)))))),MAX(0,D90-E90)),0)</f>
        <v>8114786</v>
      </c>
      <c r="I90" s="20" t="n">
        <v>0</v>
      </c>
      <c r="J9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1" customFormat="false" ht="15" hidden="false" customHeight="false" outlineLevel="0" collapsed="false">
      <c r="A91" s="30" t="n">
        <v>664104</v>
      </c>
      <c r="B91" s="12" t="s">
        <v>347</v>
      </c>
      <c r="C91" s="13" t="s">
        <v>342</v>
      </c>
      <c r="D91" s="15" t="n">
        <f aca="false">IF(LEFT(A91,1)&gt;="6",0,SUMIFS('BALANCE 2026'!$H:$H,'BALANCE 2026'!$A:$A,A91))</f>
        <v>0</v>
      </c>
      <c r="E91" s="15" t="n">
        <f aca="false">IF(LEFT(A91,1)&gt;="6",0,SUMIFS('BALANCE 2026'!$I:$I,'BALANCE 2026'!$A:$A,A91))</f>
        <v>0</v>
      </c>
      <c r="F91" s="20" t="n">
        <f aca="false">MAX(0,(H91-I91)-(D91-E91))</f>
        <v>8261585</v>
      </c>
      <c r="G91" s="20" t="n">
        <f aca="false">MAX(0,(D91-E91)-(H91-I91))</f>
        <v>0</v>
      </c>
      <c r="H91" s="15" t="n">
        <f aca="false">ROUND(IF(LEFT(A91,1)&gt;="6",IF(C91="RE",IF(HYPOTHESES!$C$43=0,0,HYPOTHESES!F$43*SUMIFS('BALANCE 2024'!$H:$H,'BALANCE 2024'!$A:$A,A91)/HYPOTHESES!$C$43),IF(C91="RG",IF(HYPOTHESES!$C$44=0,0,HYPOTHESES!F$44*SUMIFS('BALANCE 2024'!$H:$H,'BALANCE 2024'!$A:$A,A91)/HYPOTHESES!$C$44),IF(C91="RH",IF(HYPOTHESES!$C$45=0,0,HYPOTHESES!F$45*SUMIFS('BALANCE 2024'!$H:$H,'BALANCE 2024'!$A:$A,A91)/HYPOTHESES!$C$45),IF(C91="RI",IF(HYPOTHESES!$C$46=0,0,HYPOTHESES!F$46*SUMIFS('BALANCE 2024'!$H:$H,'BALANCE 2024'!$A:$A,A91)/HYPOTHESES!$C$46),IF(C91="RJ",IF(HYPOTHESES!$C$47=0,0,HYPOTHESES!F$47*SUMIFS('BALANCE 2024'!$H:$H,'BALANCE 2024'!$A:$A,A91)/HYPOTHESES!$C$47),IF(C91="RK",IF(HYPOTHESES!$C$48=0,0,HYPOTHESES!F$48*SUMIFS('BALANCE 2024'!$H:$H,'BALANCE 2024'!$A:$A,A91)/HYPOTHESES!$C$48),0)))))),MAX(0,D91-E91)),0)</f>
        <v>8261585</v>
      </c>
      <c r="I91" s="20" t="n">
        <v>0</v>
      </c>
      <c r="J91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2" customFormat="false" ht="15" hidden="false" customHeight="false" outlineLevel="0" collapsed="false">
      <c r="A92" s="30" t="n">
        <v>671201</v>
      </c>
      <c r="B92" s="12" t="s">
        <v>348</v>
      </c>
      <c r="C92" s="13" t="s">
        <v>349</v>
      </c>
      <c r="D92" s="15" t="n">
        <f aca="false">IF(LEFT(A92,1)&gt;="6",0,SUMIFS('BALANCE 2026'!$H:$H,'BALANCE 2026'!$A:$A,A92))</f>
        <v>0</v>
      </c>
      <c r="E92" s="15" t="n">
        <f aca="false">IF(LEFT(A92,1)&gt;="6",0,SUMIFS('BALANCE 2026'!$I:$I,'BALANCE 2026'!$A:$A,A92))</f>
        <v>0</v>
      </c>
      <c r="F92" s="20" t="n">
        <f aca="false">MAX(0,(H92-I92)-(D92-E92))</f>
        <v>0</v>
      </c>
      <c r="G92" s="20" t="n">
        <f aca="false">MAX(0,(D92-E92)-(H92-I92))</f>
        <v>0</v>
      </c>
      <c r="H92" s="15" t="n">
        <f aca="false">ROUND('INVEST ET FINANCEMENT'!F$64,0)</f>
        <v>0</v>
      </c>
      <c r="I92" s="20" t="n">
        <v>0</v>
      </c>
      <c r="J9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3" customFormat="false" ht="15" hidden="false" customHeight="false" outlineLevel="0" collapsed="false">
      <c r="A93" s="30" t="n">
        <v>672301</v>
      </c>
      <c r="B93" s="12" t="s">
        <v>350</v>
      </c>
      <c r="C93" s="13" t="s">
        <v>349</v>
      </c>
      <c r="D93" s="15" t="n">
        <f aca="false">IF(LEFT(A93,1)&gt;="6",0,SUMIFS('BALANCE 2026'!$H:$H,'BALANCE 2026'!$A:$A,A93))</f>
        <v>0</v>
      </c>
      <c r="E93" s="15" t="n">
        <f aca="false">IF(LEFT(A93,1)&gt;="6",0,SUMIFS('BALANCE 2026'!$I:$I,'BALANCE 2026'!$A:$A,A93))</f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ROUND('INVEST ET FINANCEMENT'!F$65,0)</f>
        <v>0</v>
      </c>
      <c r="I93" s="20" t="n">
        <v>0</v>
      </c>
      <c r="J93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4" customFormat="false" ht="15" hidden="false" customHeight="false" outlineLevel="0" collapsed="false">
      <c r="A94" s="30" t="n">
        <v>681301</v>
      </c>
      <c r="B94" s="12" t="s">
        <v>351</v>
      </c>
      <c r="C94" s="13" t="s">
        <v>352</v>
      </c>
      <c r="D94" s="15" t="n">
        <f aca="false">IF(LEFT(A94,1)&gt;="6",0,SUMIFS('BALANCE 2026'!$H:$H,'BALANCE 2026'!$A:$A,A94))</f>
        <v>0</v>
      </c>
      <c r="E94" s="15" t="n">
        <f aca="false">IF(LEFT(A94,1)&gt;="6",0,SUMIFS('BALANCE 2026'!$I:$I,'BALANCE 2026'!$A:$A,A94))</f>
        <v>0</v>
      </c>
      <c r="F94" s="20" t="n">
        <f aca="false">MAX(0,(H94-I94)-(D94-E94))</f>
        <v>19282845</v>
      </c>
      <c r="G94" s="20" t="n">
        <f aca="false">MAX(0,(D94-E94)-(H94-I94))</f>
        <v>0</v>
      </c>
      <c r="H94" s="15" t="n">
        <f aca="false">ROUND('INVEST ET FINANCEMENT'!F$31,0)</f>
        <v>19282845</v>
      </c>
      <c r="I94" s="20" t="n">
        <v>0</v>
      </c>
      <c r="J94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5" customFormat="false" ht="15" hidden="false" customHeight="false" outlineLevel="0" collapsed="false">
      <c r="A95" s="30" t="n">
        <v>681302</v>
      </c>
      <c r="B95" s="12" t="s">
        <v>353</v>
      </c>
      <c r="C95" s="13" t="s">
        <v>352</v>
      </c>
      <c r="D95" s="15" t="n">
        <f aca="false">IF(LEFT(A95,1)&gt;="6",0,SUMIFS('BALANCE 2026'!$H:$H,'BALANCE 2026'!$A:$A,A95))</f>
        <v>0</v>
      </c>
      <c r="E95" s="15" t="n">
        <f aca="false">IF(LEFT(A95,1)&gt;="6",0,SUMIFS('BALANCE 2026'!$I:$I,'BALANCE 2026'!$A:$A,A95))</f>
        <v>0</v>
      </c>
      <c r="F95" s="20" t="n">
        <f aca="false">MAX(0,(H95-I95)-(D95-E95))</f>
        <v>56854932</v>
      </c>
      <c r="G95" s="20" t="n">
        <f aca="false">MAX(0,(D95-E95)-(H95-I95))</f>
        <v>0</v>
      </c>
      <c r="H95" s="15" t="n">
        <f aca="false">ROUND('INVEST ET FINANCEMENT'!F$34,0)</f>
        <v>56854932</v>
      </c>
      <c r="I95" s="20" t="n">
        <v>0</v>
      </c>
      <c r="J95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6" customFormat="false" ht="15" hidden="false" customHeight="false" outlineLevel="0" collapsed="false">
      <c r="A96" s="30" t="n">
        <v>681303</v>
      </c>
      <c r="B96" s="12" t="s">
        <v>354</v>
      </c>
      <c r="C96" s="13" t="s">
        <v>352</v>
      </c>
      <c r="D96" s="15" t="n">
        <f aca="false">IF(LEFT(A96,1)&gt;="6",0,SUMIFS('BALANCE 2026'!$H:$H,'BALANCE 2026'!$A:$A,A96))</f>
        <v>0</v>
      </c>
      <c r="E96" s="15" t="n">
        <f aca="false">IF(LEFT(A96,1)&gt;="6",0,SUMIFS('BALANCE 2026'!$I:$I,'BALANCE 2026'!$A:$A,A96))</f>
        <v>0</v>
      </c>
      <c r="F96" s="20" t="n">
        <f aca="false">MAX(0,(H96-I96)-(D96-E96))</f>
        <v>5000000</v>
      </c>
      <c r="G96" s="20" t="n">
        <f aca="false">MAX(0,(D96-E96)-(H96-I96))</f>
        <v>0</v>
      </c>
      <c r="H96" s="15" t="n">
        <f aca="false">ROUND('INVEST ET FINANCEMENT'!F$37,0)</f>
        <v>5000000</v>
      </c>
      <c r="I96" s="20" t="n">
        <v>0</v>
      </c>
      <c r="J96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7" customFormat="false" ht="15" hidden="false" customHeight="false" outlineLevel="0" collapsed="false">
      <c r="A97" s="30" t="n">
        <v>681304</v>
      </c>
      <c r="B97" s="12" t="s">
        <v>355</v>
      </c>
      <c r="C97" s="13" t="s">
        <v>352</v>
      </c>
      <c r="D97" s="15" t="n">
        <f aca="false">IF(LEFT(A97,1)&gt;="6",0,SUMIFS('BALANCE 2026'!$H:$H,'BALANCE 2026'!$A:$A,A97))</f>
        <v>0</v>
      </c>
      <c r="E97" s="15" t="n">
        <f aca="false">IF(LEFT(A97,1)&gt;="6",0,SUMIFS('BALANCE 2026'!$I:$I,'BALANCE 2026'!$A:$A,A97))</f>
        <v>0</v>
      </c>
      <c r="F97" s="20" t="n">
        <f aca="false">MAX(0,(H97-I97)-(D97-E97))</f>
        <v>15958378</v>
      </c>
      <c r="G97" s="20" t="n">
        <f aca="false">MAX(0,(D97-E97)-(H97-I97))</f>
        <v>0</v>
      </c>
      <c r="H97" s="15" t="n">
        <f aca="false">ROUND('INVEST ET FINANCEMENT'!F$40,0)</f>
        <v>15958378</v>
      </c>
      <c r="I97" s="20" t="n">
        <v>0</v>
      </c>
      <c r="J97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8" customFormat="false" ht="15" hidden="false" customHeight="false" outlineLevel="0" collapsed="false">
      <c r="A98" s="30" t="n">
        <v>691100</v>
      </c>
      <c r="B98" s="12" t="s">
        <v>356</v>
      </c>
      <c r="C98" s="13" t="s">
        <v>352</v>
      </c>
      <c r="D98" s="15" t="n">
        <f aca="false">IF(LEFT(A98,1)&gt;="6",0,SUMIFS('BALANCE 2026'!$H:$H,'BALANCE 2026'!$A:$A,A98))</f>
        <v>0</v>
      </c>
      <c r="E98" s="15" t="n">
        <f aca="false">IF(LEFT(A98,1)&gt;="6",0,SUMIFS('BALANCE 2026'!$I:$I,'BALANCE 2026'!$A:$A,A98))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ROUND(HYPOTHESES!F$50,0)</f>
        <v>6059296</v>
      </c>
      <c r="I98" s="20" t="n">
        <v>0</v>
      </c>
      <c r="J98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99" customFormat="false" ht="15" hidden="false" customHeight="false" outlineLevel="0" collapsed="false">
      <c r="A99" s="38" t="n">
        <v>705100</v>
      </c>
      <c r="B99" s="39" t="s">
        <v>357</v>
      </c>
      <c r="C99" s="40" t="s">
        <v>358</v>
      </c>
      <c r="D99" s="43" t="n">
        <f aca="false">IF(LEFT(A99,1)&gt;="6",0,SUMIFS('BALANCE 2026'!$H:$H,'BALANCE 2026'!$A:$A,A99))</f>
        <v>0</v>
      </c>
      <c r="E99" s="43" t="n">
        <f aca="false">IF(LEFT(A99,1)&gt;="6",0,SUMIFS('BALANCE 2026'!$I:$I,'BALANCE 2026'!$A:$A,A99))</f>
        <v>0</v>
      </c>
      <c r="F99" s="42" t="n">
        <f aca="false">MAX(0,(H99-I99)-(D99-E99))</f>
        <v>0</v>
      </c>
      <c r="G99" s="42" t="n">
        <f aca="false">MAX(0,(D99-E99)-(H99-I99))</f>
        <v>826983667</v>
      </c>
      <c r="H99" s="42" t="n">
        <v>0</v>
      </c>
      <c r="I99" s="43" t="n">
        <f aca="false">ROUND(HYPOTHESES!F$42,0)</f>
        <v>826983667</v>
      </c>
      <c r="J99" s="42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100" customFormat="false" ht="15" hidden="false" customHeight="false" outlineLevel="0" collapsed="false">
      <c r="A100" s="30" t="n">
        <v>771200</v>
      </c>
      <c r="B100" s="12" t="s">
        <v>359</v>
      </c>
      <c r="C100" s="13" t="s">
        <v>360</v>
      </c>
      <c r="D100" s="15" t="n">
        <f aca="false">IF(LEFT(A100,1)&gt;="6",0,SUMIFS('BALANCE 2026'!$H:$H,'BALANCE 2026'!$A:$A,A100))</f>
        <v>0</v>
      </c>
      <c r="E100" s="15" t="n">
        <f aca="false">IF(LEFT(A100,1)&gt;="6",0,SUMIFS('BALANCE 2026'!$I:$I,'BALANCE 2026'!$A:$A,A100))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ROUND(HYPOTHESES!F$51,0)</f>
        <v>848594</v>
      </c>
      <c r="J100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101" customFormat="false" ht="15" hidden="false" customHeight="false" outlineLevel="0" collapsed="false">
      <c r="A101" s="38" t="n">
        <v>891100</v>
      </c>
      <c r="B101" s="39" t="s">
        <v>361</v>
      </c>
      <c r="C101" s="40" t="s">
        <v>362</v>
      </c>
      <c r="D101" s="43" t="n">
        <f aca="false">IF(LEFT(A101,1)&gt;="6",0,SUMIFS('BALANCE 2026'!$H:$H,'BALANCE 2026'!$A:$A,A101))</f>
        <v>0</v>
      </c>
      <c r="E101" s="43" t="n">
        <f aca="false">IF(LEFT(A101,1)&gt;="6",0,SUMIFS('BALANCE 2026'!$I:$I,'BALANCE 2026'!$A:$A,A101))</f>
        <v>0</v>
      </c>
      <c r="F101" s="42" t="n">
        <f aca="false">MAX(0,(H101-I101)-(D101-E101))</f>
        <v>30492779</v>
      </c>
      <c r="G101" s="42" t="n">
        <f aca="false">MAX(0,(D101-E101)-(H101-I101))</f>
        <v>0</v>
      </c>
      <c r="H101" s="43" t="n">
        <f aca="false">ROUND(IF(HYPOTHESES!F$54&gt;=HYPOTHESES!F$55,HYPOTHESES!F$56,0),0)</f>
        <v>30492779</v>
      </c>
      <c r="I101" s="42" t="n">
        <v>0</v>
      </c>
      <c r="J101" s="42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  <row r="102" customFormat="false" ht="15" hidden="false" customHeight="false" outlineLevel="0" collapsed="false">
      <c r="A102" s="30" t="n">
        <v>895000</v>
      </c>
      <c r="B102" s="12" t="s">
        <v>363</v>
      </c>
      <c r="C102" s="13" t="s">
        <v>362</v>
      </c>
      <c r="D102" s="15" t="n">
        <f aca="false">IF(LEFT(A102,1)&gt;="6",0,SUMIFS('BALANCE 2026'!$H:$H,'BALANCE 2026'!$A:$A,A102))</f>
        <v>0</v>
      </c>
      <c r="E102" s="15" t="n">
        <f aca="false">IF(LEFT(A102,1)&gt;="6",0,SUMIFS('BALANCE 2026'!$I:$I,'BALANCE 2026'!$A:$A,A102))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ROUND(IF(HYPOTHESES!F$54&lt;HYPOTHESES!F$55,HYPOTHESES!F$56,0),0)</f>
        <v>0</v>
      </c>
      <c r="I102" s="20" t="n">
        <v>0</v>
      </c>
      <c r="J102" s="20" t="n">
        <f aca="false">(T_BAL_2027[[#This Row],[Ouverture Débit]]-T_BAL_2027[[#This Row],[Ouverture Crédit]])+(T_BAL_2027[[#This Row],[Mouvements Débit]]-T_BAL_2027[[#This Row],[Mouvements Crédit]])-(T_BAL_2027[[#This Row],[Clôture Débit]]-T_BAL_2027[[#This Row],[Clôture Crédit]])</f>
        <v>0</v>
      </c>
    </row>
  </sheetData>
  <mergeCells count="8">
    <mergeCell ref="A1:J1"/>
    <mergeCell ref="D3:E3"/>
    <mergeCell ref="F3:G3"/>
    <mergeCell ref="H3:I3"/>
    <mergeCell ref="L3:M3"/>
    <mergeCell ref="D14:E14"/>
    <mergeCell ref="F14:G14"/>
    <mergeCell ref="H14:I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70"/>
  </cols>
  <sheetData>
    <row r="1" customFormat="false" ht="24" hidden="false" customHeight="true" outlineLevel="0" collapsed="false">
      <c r="A1" s="1" t="s">
        <v>371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365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L3" s="28" t="s">
        <v>200</v>
      </c>
      <c r="M3" s="28"/>
    </row>
    <row r="4" customFormat="false" ht="15" hidden="false" customHeight="fals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205</v>
      </c>
      <c r="F4" s="8" t="s">
        <v>204</v>
      </c>
      <c r="G4" s="8" t="s">
        <v>205</v>
      </c>
      <c r="H4" s="8" t="s">
        <v>204</v>
      </c>
      <c r="I4" s="8" t="s">
        <v>205</v>
      </c>
      <c r="J4" s="8" t="s">
        <v>206</v>
      </c>
      <c r="L4" s="29" t="s">
        <v>207</v>
      </c>
    </row>
    <row r="5" customFormat="false" ht="15" hidden="false" customHeight="false" outlineLevel="0" collapsed="false">
      <c r="A5" s="30" t="n">
        <v>521101</v>
      </c>
      <c r="B5" s="12" t="s">
        <v>208</v>
      </c>
      <c r="C5" s="13" t="s">
        <v>209</v>
      </c>
      <c r="D5" s="15" t="n">
        <f aca="false">IF(LEFT(A5,1)&gt;="6",0,SUMIFS('BALANCE 2027'!$H:$H,'BALANCE 2027'!$A:$A,A5))</f>
        <v>358986998</v>
      </c>
      <c r="E5" s="15" t="n">
        <f aca="false">IF(LEFT(A5,1)&gt;="6",0,SUMIFS('BALANCE 2027'!$I:$I,'BALANCE 2027'!$A:$A,A5))</f>
        <v>0</v>
      </c>
      <c r="F5" s="15" t="n">
        <f aca="false">ROUND(G37+HYPOTHESES!G$51+'INVEST ET FINANCEMENT'!G$47+'INVEST ET FINANCEMENT'!G$51,0)</f>
        <v>998781270</v>
      </c>
      <c r="G5" s="15" t="n">
        <f aca="false">ROUND(G37+HYPOTHESES!G$51+'INVEST ET FINANCEMENT'!G$47+'INVEST ET FINANCEMENT'!G$51,0)+(D5-E5)-(H5-I5)</f>
        <v>872945734</v>
      </c>
      <c r="H5" s="20" t="n">
        <f aca="false">ROUND(MAX(0,(H11-(H6-I6))),0)</f>
        <v>484822534</v>
      </c>
      <c r="I5" s="20" t="n">
        <f aca="false">ROUND(MAX(0,-(H11-(H6-I6))),0)</f>
        <v>0</v>
      </c>
      <c r="J5" s="20" t="n">
        <f aca="false">(D5-E5)+(F5-G5)-(H5-I5)</f>
        <v>0</v>
      </c>
      <c r="L5" s="29" t="s">
        <v>210</v>
      </c>
    </row>
    <row r="6" customFormat="false" ht="15" hidden="false" customHeight="false" outlineLevel="0" collapsed="false">
      <c r="A6" s="30" t="n">
        <v>571101</v>
      </c>
      <c r="B6" s="12" t="s">
        <v>211</v>
      </c>
      <c r="C6" s="13" t="s">
        <v>212</v>
      </c>
      <c r="D6" s="15" t="n">
        <f aca="false">IF(LEFT(A6,1)&gt;="6",0,SUMIFS('BALANCE 2027'!$H:$H,'BALANCE 2027'!$A:$A,A6))</f>
        <v>10603976</v>
      </c>
      <c r="E6" s="15" t="n">
        <f aca="false">IF(LEFT(A6,1)&gt;="6",0,SUMIFS('BALANCE 2027'!$I:$I,'BALANCE 2027'!$A:$A,A6))</f>
        <v>0</v>
      </c>
      <c r="F6" s="20" t="n">
        <f aca="false">ROUND(H13,0)</f>
        <v>174589147</v>
      </c>
      <c r="G6" s="20" t="n">
        <f aca="false">ROUND(H13,0)+(D6-E6)-(H6-I6)</f>
        <v>172843256</v>
      </c>
      <c r="H6" s="15" t="n">
        <f aca="false">ROUND(MAX(0,((D6-E6)+H13*(1-HYPOTHESES!G$30))),0)</f>
        <v>12349867</v>
      </c>
      <c r="I6" s="15" t="n">
        <f aca="false">ROUND(MAX(0,-((D6-E6)+H13*(1-HYPOTHESES!G$30))),0)</f>
        <v>0</v>
      </c>
      <c r="J6" s="20" t="n">
        <f aca="false">(D6-E6)+(F6-G6)-(H6-I6)</f>
        <v>0</v>
      </c>
      <c r="L6" s="29" t="s">
        <v>213</v>
      </c>
    </row>
    <row r="7" customFormat="false" ht="15" hidden="false" customHeight="false" outlineLevel="0" collapsed="false">
      <c r="A7" s="30" t="n">
        <v>585000</v>
      </c>
      <c r="B7" s="12" t="s">
        <v>214</v>
      </c>
      <c r="C7" s="13" t="s">
        <v>212</v>
      </c>
      <c r="D7" s="15" t="n">
        <f aca="false">IF(LEFT(A7,1)&gt;="6",0,SUMIFS('BALANCE 2027'!$H:$H,'BALANCE 2027'!$A:$A,A7))</f>
        <v>0</v>
      </c>
      <c r="E7" s="15" t="n">
        <f aca="false">IF(LEFT(A7,1)&gt;="6",0,SUMIFS('BALANCE 2027'!$I:$I,'BALANCE 2027'!$A:$A,A7))</f>
        <v>0</v>
      </c>
      <c r="F7" s="20" t="n">
        <f aca="false">ROUND(H13,0)</f>
        <v>174589147</v>
      </c>
      <c r="G7" s="20" t="n">
        <f aca="false">ROUND(H13,0)+(D7-E7)-(H7-I7)</f>
        <v>174589147</v>
      </c>
      <c r="H7" s="15" t="n">
        <f aca="false">ROUND(IF(LEFT(A7,1)&gt;="6",IF(C7="RE",IF(HYPOTHESES!$C$43=0,0,HYPOTHESES!G$43*SUMIFS('BALANCE 2024'!$H:$H,'BALANCE 2024'!$A:$A,A7)/HYPOTHESES!$C$43),IF(C7="RG",IF(HYPOTHESES!$C$44=0,0,HYPOTHESES!G$44*SUMIFS('BALANCE 2024'!$H:$H,'BALANCE 2024'!$A:$A,A7)/HYPOTHESES!$C$44),IF(C7="RH",IF(HYPOTHESES!$C$45=0,0,HYPOTHESES!G$45*SUMIFS('BALANCE 2024'!$H:$H,'BALANCE 2024'!$A:$A,A7)/HYPOTHESES!$C$45),IF(C7="RI",IF(HYPOTHESES!$C$46=0,0,HYPOTHESES!G$46*SUMIFS('BALANCE 2024'!$H:$H,'BALANCE 2024'!$A:$A,A7)/HYPOTHESES!$C$46),IF(C7="RJ",IF(HYPOTHESES!$C$47=0,0,HYPOTHESES!G$47*SUMIFS('BALANCE 2024'!$H:$H,'BALANCE 2024'!$A:$A,A7)/HYPOTHESES!$C$47),IF(C7="RK",IF(HYPOTHESES!$C$48=0,0,HYPOTHESES!G$48*SUMIFS('BALANCE 2024'!$H:$H,'BALANCE 2024'!$A:$A,A7)/HYPOTHESES!$C$48),0)))))),MAX(0,D7-E7)),0)</f>
        <v>0</v>
      </c>
      <c r="I7" s="20" t="n">
        <f aca="false">ROUND(IF(LEFT(A7,1)&gt;="6",0,MAX(0,E7-D7)),0)</f>
        <v>0</v>
      </c>
      <c r="J7" s="20" t="n">
        <f aca="false">(D7-E7)+(F7-G7)-(H7-I7)</f>
        <v>0</v>
      </c>
      <c r="L7" s="29" t="s">
        <v>215</v>
      </c>
    </row>
    <row r="8" customFormat="false" ht="15" hidden="false" customHeight="false" outlineLevel="0" collapsed="false">
      <c r="A8" s="31"/>
      <c r="B8" s="32" t="s">
        <v>216</v>
      </c>
      <c r="C8" s="31"/>
      <c r="D8" s="33" t="n">
        <f aca="false">SUBTOTAL(109,T_BAL_2028[Ouverture Débit])</f>
        <v>1753343943</v>
      </c>
      <c r="E8" s="33" t="n">
        <f aca="false">SUBTOTAL(109,T_BAL_2028[Ouverture Crédit])</f>
        <v>2122934917</v>
      </c>
      <c r="F8" s="33" t="n">
        <f aca="false">SUBTOTAL(109,T_BAL_2028[Mouvements Débit])</f>
        <v>2911124700</v>
      </c>
      <c r="G8" s="33" t="n">
        <f aca="false">SUBTOTAL(109,T_BAL_2028[Mouvements Crédit])</f>
        <v>3038706127</v>
      </c>
      <c r="H8" s="33" t="n">
        <f aca="false">SUBTOTAL(109,T_BAL_2028[Clôture Débit])</f>
        <v>2623338636</v>
      </c>
      <c r="I8" s="33" t="n">
        <f aca="false">SUBTOTAL(109,T_BAL_2028[Clôture Crédit])</f>
        <v>3120511037</v>
      </c>
      <c r="J8" s="33" t="n">
        <f aca="false">SUBTOTAL(109,T_BAL_2028[Contrôle])</f>
        <v>0</v>
      </c>
      <c r="L8" s="29" t="s">
        <v>217</v>
      </c>
    </row>
    <row r="9" customFormat="false" ht="15" hidden="false" customHeight="false" outlineLevel="0" collapsed="false">
      <c r="A9" s="34"/>
      <c r="B9" s="35" t="s">
        <v>218</v>
      </c>
      <c r="C9" s="34"/>
      <c r="D9" s="36" t="n">
        <f aca="false">SUM(D5:D8)</f>
        <v>2122934917</v>
      </c>
      <c r="E9" s="36" t="n">
        <f aca="false">SUM(E5:E8)</f>
        <v>2122934917</v>
      </c>
      <c r="F9" s="36" t="n">
        <f aca="false">SUM(F5:F8)</f>
        <v>4259084264</v>
      </c>
      <c r="G9" s="36" t="n">
        <f aca="false">SUM(G5:G8)</f>
        <v>4259084264</v>
      </c>
      <c r="H9" s="36" t="n">
        <f aca="false">SUM(H5:H8)</f>
        <v>3120511037</v>
      </c>
      <c r="I9" s="36" t="n">
        <f aca="false">SUM(I5:I8)</f>
        <v>3120511037</v>
      </c>
      <c r="J9" s="36" t="n">
        <f aca="false">SUM(J5:J8)</f>
        <v>0</v>
      </c>
      <c r="L9" s="29" t="s">
        <v>219</v>
      </c>
    </row>
    <row r="10" customFormat="false" ht="15" hidden="false" customHeight="false" outlineLevel="0" collapsed="false">
      <c r="B10" s="4" t="s">
        <v>220</v>
      </c>
      <c r="D10" s="21" t="n">
        <f aca="false">D9-E9</f>
        <v>0</v>
      </c>
      <c r="F10" s="21" t="n">
        <f aca="false">F9-G9</f>
        <v>0</v>
      </c>
      <c r="H10" s="21" t="n">
        <f aca="false">H9-I9</f>
        <v>0</v>
      </c>
      <c r="L10" s="29" t="s">
        <v>221</v>
      </c>
    </row>
    <row r="11" customFormat="false" ht="15" hidden="false" customHeight="false" outlineLevel="0" collapsed="false">
      <c r="B11" s="7" t="s">
        <v>366</v>
      </c>
      <c r="H11" s="20" t="n">
        <f aca="false">-((H8-I8)+(H7-I7))</f>
        <v>497172401</v>
      </c>
      <c r="L11" s="29" t="s">
        <v>222</v>
      </c>
    </row>
    <row r="12" customFormat="false" ht="15" hidden="false" customHeight="false" outlineLevel="0" collapsed="false">
      <c r="B12" s="7" t="s">
        <v>367</v>
      </c>
      <c r="H12" s="20" t="n">
        <f aca="false">ROUND((G37+HYPOTHESES!G$51+'INVEST ET FINANCEMENT'!G$47+'INVEST ET FINANCEMENT'!G$51+(D5-E5)+(D6-E6)-H11)/(1-HYPOTHESES!G$29*(1-HYPOTHESES!G$30)),0)</f>
        <v>872945734</v>
      </c>
    </row>
    <row r="13" customFormat="false" ht="15" hidden="false" customHeight="false" outlineLevel="0" collapsed="false">
      <c r="B13" s="7" t="s">
        <v>368</v>
      </c>
      <c r="H13" s="20" t="n">
        <f aca="false">ROUND(HYPOTHESES!G$29*H12,0)</f>
        <v>174589147</v>
      </c>
    </row>
    <row r="14" customFormat="false" ht="15" hidden="false" customHeight="false" outlineLevel="0" collapsed="false">
      <c r="A14" s="25"/>
      <c r="B14" s="27" t="s">
        <v>223</v>
      </c>
      <c r="C14" s="25"/>
      <c r="D14" s="26" t="s">
        <v>196</v>
      </c>
      <c r="E14" s="26"/>
      <c r="F14" s="26" t="s">
        <v>197</v>
      </c>
      <c r="G14" s="26"/>
      <c r="H14" s="26" t="s">
        <v>198</v>
      </c>
      <c r="I14" s="26"/>
      <c r="J14" s="27" t="s">
        <v>199</v>
      </c>
      <c r="L14" s="27" t="s">
        <v>224</v>
      </c>
      <c r="M14" s="27" t="s">
        <v>225</v>
      </c>
    </row>
    <row r="15" customFormat="false" ht="15" hidden="false" customHeight="false" outlineLevel="0" collapsed="false">
      <c r="A15" s="8" t="s">
        <v>201</v>
      </c>
      <c r="B15" s="8" t="s">
        <v>202</v>
      </c>
      <c r="C15" s="8" t="s">
        <v>203</v>
      </c>
      <c r="D15" s="8" t="s">
        <v>226</v>
      </c>
      <c r="E15" s="8" t="s">
        <v>227</v>
      </c>
      <c r="F15" s="8" t="s">
        <v>228</v>
      </c>
      <c r="G15" s="8" t="s">
        <v>229</v>
      </c>
      <c r="H15" s="8" t="s">
        <v>230</v>
      </c>
      <c r="I15" s="8" t="s">
        <v>231</v>
      </c>
      <c r="J15" s="8" t="s">
        <v>199</v>
      </c>
      <c r="L15" s="37" t="s">
        <v>232</v>
      </c>
      <c r="M15" s="29" t="s">
        <v>233</v>
      </c>
    </row>
    <row r="16" customFormat="false" ht="15" hidden="false" customHeight="false" outlineLevel="0" collapsed="false">
      <c r="A16" s="38" t="n">
        <v>101000</v>
      </c>
      <c r="B16" s="39" t="s">
        <v>234</v>
      </c>
      <c r="C16" s="40" t="s">
        <v>235</v>
      </c>
      <c r="D16" s="43" t="n">
        <f aca="false">IF(LEFT(A16,1)&gt;="6",0,SUMIFS('BALANCE 2027'!$H:$H,'BALANCE 2027'!$A:$A,A16))</f>
        <v>0</v>
      </c>
      <c r="E16" s="43" t="n">
        <f aca="false">IF(LEFT(A16,1)&gt;="6",0,SUMIFS('BALANCE 2027'!$I:$I,'BALANCE 2027'!$A:$A,A16))</f>
        <v>10000000</v>
      </c>
      <c r="F16" s="43" t="n">
        <f aca="false">ROUND('INVEST ET FINANCEMENT'!G$51,0)+(H16-I16)-(D16-E16)</f>
        <v>0</v>
      </c>
      <c r="G16" s="43" t="n">
        <f aca="false">ROUND('INVEST ET FINANCEMENT'!G$51,0)</f>
        <v>0</v>
      </c>
      <c r="H16" s="42" t="n">
        <v>0</v>
      </c>
      <c r="I16" s="43" t="n">
        <f aca="false">ROUND(E16+'INVEST ET FINANCEMENT'!G$51,0)</f>
        <v>10000000</v>
      </c>
      <c r="J16" s="42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L16" s="37" t="s">
        <v>236</v>
      </c>
      <c r="M16" s="29" t="s">
        <v>237</v>
      </c>
    </row>
    <row r="17" customFormat="false" ht="15" hidden="false" customHeight="false" outlineLevel="0" collapsed="false">
      <c r="A17" s="30" t="n">
        <v>111000</v>
      </c>
      <c r="B17" s="12" t="s">
        <v>238</v>
      </c>
      <c r="C17" s="13" t="s">
        <v>239</v>
      </c>
      <c r="D17" s="15" t="n">
        <f aca="false">IF(LEFT(A17,1)&gt;="6",0,SUMIFS('BALANCE 2027'!$H:$H,'BALANCE 2027'!$A:$A,A17))</f>
        <v>0</v>
      </c>
      <c r="E17" s="15" t="n">
        <f aca="false">IF(LEFT(A17,1)&gt;="6",0,SUMIFS('BALANCE 2027'!$I:$I,'BALANCE 2027'!$A:$A,A17))</f>
        <v>2000000</v>
      </c>
      <c r="F17" s="15" t="n">
        <f aca="false">ROUND(HYPOTHESES!G$58,0)+(H17-I17)-(D17-E17)</f>
        <v>0</v>
      </c>
      <c r="G17" s="15" t="n">
        <f aca="false">ROUND(HYPOTHESES!G$58,0)</f>
        <v>0</v>
      </c>
      <c r="H17" s="20" t="n">
        <v>0</v>
      </c>
      <c r="I17" s="15" t="n">
        <f aca="false">ROUND(E17+HYPOTHESES!G$58,0)</f>
        <v>2000000</v>
      </c>
      <c r="J1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L17" s="37" t="s">
        <v>240</v>
      </c>
      <c r="M17" s="29" t="s">
        <v>241</v>
      </c>
    </row>
    <row r="18" customFormat="false" ht="15" hidden="false" customHeight="false" outlineLevel="0" collapsed="false">
      <c r="A18" s="30" t="n">
        <v>121000</v>
      </c>
      <c r="B18" s="12" t="s">
        <v>242</v>
      </c>
      <c r="C18" s="13" t="s">
        <v>243</v>
      </c>
      <c r="D18" s="15" t="n">
        <f aca="false">IF(LEFT(A18,1)&gt;="6",0,SUMIFS('BALANCE 2027'!$H:$H,'BALANCE 2027'!$A:$A,A18))</f>
        <v>0</v>
      </c>
      <c r="E18" s="15" t="n">
        <f aca="false">IF(LEFT(A18,1)&gt;="6",0,SUMIFS('BALANCE 2027'!$I:$I,'BALANCE 2027'!$A:$A,A18))</f>
        <v>1023025123</v>
      </c>
      <c r="F18" s="20" t="n">
        <f aca="false">MAX(0,(H18-I18)-(D18-E18))</f>
        <v>0</v>
      </c>
      <c r="G18" s="20" t="n">
        <f aca="false">MAX(0,(D18-E18)-(H18-I18))</f>
        <v>91478335</v>
      </c>
      <c r="H18" s="15" t="n">
        <f aca="false">ROUND(MAX(0,-(E18-D18+HYPOTHESES!G$60)),0)</f>
        <v>0</v>
      </c>
      <c r="I18" s="15" t="n">
        <f aca="false">ROUND(MAX(0,(E18-D18+HYPOTHESES!G$60)),0)</f>
        <v>1114503458</v>
      </c>
      <c r="J1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L18" s="37" t="s">
        <v>244</v>
      </c>
      <c r="M18" s="29" t="s">
        <v>245</v>
      </c>
    </row>
    <row r="19" customFormat="false" ht="15" hidden="false" customHeight="false" outlineLevel="0" collapsed="false">
      <c r="A19" s="30" t="n">
        <v>130100</v>
      </c>
      <c r="B19" s="12" t="s">
        <v>246</v>
      </c>
      <c r="C19" s="13" t="s">
        <v>247</v>
      </c>
      <c r="D19" s="20" t="n">
        <f aca="false">MAX(0,-SUMPRODUCT((LEFT(T_BAL_2027[Compte],1)&gt;="6")*(T_BAL_2027[Clôture Crédit]-T_BAL_2027[Clôture Débit])))</f>
        <v>0</v>
      </c>
      <c r="E19" s="20" t="n">
        <f aca="false">MAX(0,SUMPRODUCT((LEFT(T_BAL_2027[Compte],1)&gt;="6")*(T_BAL_2027[Clôture Crédit]-T_BAL_2027[Clôture Débit])))</f>
        <v>91478335</v>
      </c>
      <c r="F19" s="20" t="n">
        <f aca="false">MAX(0,(H19-I19)-(D19-E19))</f>
        <v>91478335</v>
      </c>
      <c r="G19" s="20" t="n">
        <f aca="false">MAX(0,(D19-E19)-(H19-I19))</f>
        <v>0</v>
      </c>
      <c r="H19" s="20" t="n">
        <v>0</v>
      </c>
      <c r="I19" s="20" t="n">
        <v>0</v>
      </c>
      <c r="J1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L19" s="37" t="s">
        <v>248</v>
      </c>
      <c r="M19" s="29" t="s">
        <v>249</v>
      </c>
    </row>
    <row r="20" customFormat="false" ht="15" hidden="false" customHeight="false" outlineLevel="0" collapsed="false">
      <c r="A20" s="30" t="n">
        <v>162002</v>
      </c>
      <c r="B20" s="12" t="s">
        <v>250</v>
      </c>
      <c r="C20" s="13" t="s">
        <v>172</v>
      </c>
      <c r="D20" s="15" t="n">
        <f aca="false">IF(LEFT(A20,1)&gt;="6",0,SUMIFS('BALANCE 2027'!$H:$H,'BALANCE 2027'!$A:$A,A20))</f>
        <v>0</v>
      </c>
      <c r="E20" s="15" t="n">
        <f aca="false">IF(LEFT(A20,1)&gt;="6",0,SUMIFS('BALANCE 2027'!$I:$I,'BALANCE 2027'!$A:$A,A20))</f>
        <v>0</v>
      </c>
      <c r="F20" s="15" t="n">
        <f aca="false">ROUND('INVEST ET FINANCEMENT'!G$47,0)+(H20-I20)-(D20-E20)</f>
        <v>0</v>
      </c>
      <c r="G20" s="15" t="n">
        <f aca="false">ROUND('INVEST ET FINANCEMENT'!G$47,0)</f>
        <v>0</v>
      </c>
      <c r="H20" s="20" t="n">
        <v>0</v>
      </c>
      <c r="I20" s="15" t="n">
        <f aca="false">ROUND(E20+'INVEST ET FINANCEMENT'!G$47-'INVEST ET FINANCEMENT'!G$48,0)</f>
        <v>0</v>
      </c>
      <c r="J2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L20" s="37" t="s">
        <v>251</v>
      </c>
      <c r="M20" s="29" t="s">
        <v>252</v>
      </c>
    </row>
    <row r="21" customFormat="false" ht="15" hidden="false" customHeight="false" outlineLevel="0" collapsed="false">
      <c r="A21" s="30" t="n">
        <v>173060</v>
      </c>
      <c r="B21" s="12" t="s">
        <v>253</v>
      </c>
      <c r="C21" s="13" t="s">
        <v>175</v>
      </c>
      <c r="D21" s="15" t="n">
        <f aca="false">IF(LEFT(A21,1)&gt;="6",0,SUMIFS('BALANCE 2027'!$H:$H,'BALANCE 2027'!$A:$A,A21))</f>
        <v>0</v>
      </c>
      <c r="E21" s="15" t="n">
        <f aca="false">IF(LEFT(A21,1)&gt;="6",0,SUMIFS('BALANCE 2027'!$I:$I,'BALANCE 2027'!$A:$A,A21))</f>
        <v>0</v>
      </c>
      <c r="F21" s="15" t="n">
        <f aca="false">ROUND('INVEST ET FINANCEMENT'!G$49,0)</f>
        <v>0</v>
      </c>
      <c r="G21" s="15" t="n">
        <f aca="false">ROUND('INVEST ET FINANCEMENT'!G$49,0)+(D21-E21)-(H21-I21)</f>
        <v>0</v>
      </c>
      <c r="H21" s="20" t="n">
        <v>0</v>
      </c>
      <c r="I21" s="15" t="n">
        <f aca="false">ROUND(E21-'INVEST ET FINANCEMENT'!G$49,0)</f>
        <v>0</v>
      </c>
      <c r="J2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L21" s="37" t="s">
        <v>254</v>
      </c>
      <c r="M21" s="29" t="s">
        <v>255</v>
      </c>
    </row>
    <row r="22" customFormat="false" ht="15" hidden="false" customHeight="false" outlineLevel="0" collapsed="false">
      <c r="A22" s="30" t="n">
        <v>196100</v>
      </c>
      <c r="B22" s="12" t="s">
        <v>256</v>
      </c>
      <c r="C22" s="13" t="s">
        <v>257</v>
      </c>
      <c r="D22" s="15" t="n">
        <f aca="false">IF(LEFT(A22,1)&gt;="6",0,SUMIFS('BALANCE 2027'!$H:$H,'BALANCE 2027'!$A:$A,A22))</f>
        <v>0</v>
      </c>
      <c r="E22" s="15" t="n">
        <f aca="false">IF(LEFT(A22,1)&gt;="6",0,SUMIFS('BALANCE 2027'!$I:$I,'BALANCE 2027'!$A:$A,A22))</f>
        <v>39451784</v>
      </c>
      <c r="F22" s="15" t="n">
        <f aca="false">ROUND(HYPOTHESES!G$20,0)+(H22-I22)-(D22-E22)</f>
        <v>0</v>
      </c>
      <c r="G22" s="15" t="n">
        <f aca="false">ROUND(HYPOTHESES!G$20,0)</f>
        <v>6059296</v>
      </c>
      <c r="H22" s="20" t="n">
        <v>0</v>
      </c>
      <c r="I22" s="15" t="n">
        <f aca="false">ROUND(E22+HYPOTHESES!G$20,0)</f>
        <v>45511080</v>
      </c>
      <c r="J2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L22" s="37" t="s">
        <v>258</v>
      </c>
      <c r="M22" s="29" t="s">
        <v>259</v>
      </c>
    </row>
    <row r="23" customFormat="false" ht="15" hidden="false" customHeight="false" outlineLevel="0" collapsed="false">
      <c r="A23" s="38" t="n">
        <v>234100</v>
      </c>
      <c r="B23" s="39" t="s">
        <v>260</v>
      </c>
      <c r="C23" s="40" t="s">
        <v>261</v>
      </c>
      <c r="D23" s="43" t="n">
        <f aca="false">IF(LEFT(A23,1)&gt;="6",0,SUMIFS('BALANCE 2027'!$H:$H,'BALANCE 2027'!$A:$A,A23))</f>
        <v>103601492</v>
      </c>
      <c r="E23" s="43" t="n">
        <f aca="false">IF(LEFT(A23,1)&gt;="6",0,SUMIFS('BALANCE 2027'!$I:$I,'BALANCE 2027'!$A:$A,A23))</f>
        <v>0</v>
      </c>
      <c r="F23" s="43" t="n">
        <f aca="false">ROUND('INVEST ET FINANCEMENT'!G$9,0)</f>
        <v>0</v>
      </c>
      <c r="G23" s="43" t="n">
        <f aca="false">ROUND('INVEST ET FINANCEMENT'!G$9,0)+(D23-E23)-(H23-I23)</f>
        <v>0</v>
      </c>
      <c r="H23" s="43" t="n">
        <f aca="false">ROUND(D23+'INVEST ET FINANCEMENT'!G$9,0)</f>
        <v>103601492</v>
      </c>
      <c r="I23" s="42" t="n">
        <v>0</v>
      </c>
      <c r="J23" s="42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  <c r="L23" s="37" t="s">
        <v>262</v>
      </c>
      <c r="M23" s="29" t="s">
        <v>263</v>
      </c>
    </row>
    <row r="24" customFormat="false" ht="15" hidden="false" customHeight="false" outlineLevel="0" collapsed="false">
      <c r="A24" s="30" t="n">
        <v>241100</v>
      </c>
      <c r="B24" s="12" t="s">
        <v>264</v>
      </c>
      <c r="C24" s="13" t="s">
        <v>265</v>
      </c>
      <c r="D24" s="15" t="n">
        <f aca="false">IF(LEFT(A24,1)&gt;="6",0,SUMIFS('BALANCE 2027'!$H:$H,'BALANCE 2027'!$A:$A,A24))</f>
        <v>373845268</v>
      </c>
      <c r="E24" s="15" t="n">
        <f aca="false">IF(LEFT(A24,1)&gt;="6",0,SUMIFS('BALANCE 2027'!$I:$I,'BALANCE 2027'!$A:$A,A24))</f>
        <v>0</v>
      </c>
      <c r="F24" s="15" t="n">
        <f aca="false">ROUND('INVEST ET FINANCEMENT'!G$10,0)</f>
        <v>30000000</v>
      </c>
      <c r="G24" s="15" t="n">
        <f aca="false">ROUND('INVEST ET FINANCEMENT'!G$10,0)+(D24-E24)-(H24-I24)</f>
        <v>0</v>
      </c>
      <c r="H24" s="15" t="n">
        <f aca="false">ROUND(D24+'INVEST ET FINANCEMENT'!G$10,0)</f>
        <v>403845268</v>
      </c>
      <c r="I24" s="20" t="n">
        <v>0</v>
      </c>
      <c r="J2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25" customFormat="false" ht="15" hidden="false" customHeight="false" outlineLevel="0" collapsed="false">
      <c r="A25" s="30" t="n">
        <v>244100</v>
      </c>
      <c r="B25" s="12" t="s">
        <v>266</v>
      </c>
      <c r="C25" s="13" t="s">
        <v>265</v>
      </c>
      <c r="D25" s="15" t="n">
        <f aca="false">IF(LEFT(A25,1)&gt;="6",0,SUMIFS('BALANCE 2027'!$H:$H,'BALANCE 2027'!$A:$A,A25))</f>
        <v>9306956</v>
      </c>
      <c r="E25" s="15" t="n">
        <f aca="false">IF(LEFT(A25,1)&gt;="6",0,SUMIFS('BALANCE 2027'!$I:$I,'BALANCE 2027'!$A:$A,A25))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9306956</v>
      </c>
      <c r="I25" s="20" t="n">
        <v>0</v>
      </c>
      <c r="J2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26" customFormat="false" ht="15" hidden="false" customHeight="false" outlineLevel="0" collapsed="false">
      <c r="A26" s="30" t="n">
        <v>244200</v>
      </c>
      <c r="B26" s="12" t="s">
        <v>267</v>
      </c>
      <c r="C26" s="13" t="s">
        <v>265</v>
      </c>
      <c r="D26" s="15" t="n">
        <f aca="false">IF(LEFT(A26,1)&gt;="6",0,SUMIFS('BALANCE 2027'!$H:$H,'BALANCE 2027'!$A:$A,A26))</f>
        <v>23910459</v>
      </c>
      <c r="E26" s="15" t="n">
        <f aca="false">IF(LEFT(A26,1)&gt;="6",0,SUMIFS('BALANCE 2027'!$I:$I,'BALANCE 2027'!$A:$A,A26))</f>
        <v>0</v>
      </c>
      <c r="F26" s="15" t="n">
        <f aca="false">ROUND('INVEST ET FINANCEMENT'!G$11,0)</f>
        <v>5000000</v>
      </c>
      <c r="G26" s="15" t="n">
        <f aca="false">ROUND('INVEST ET FINANCEMENT'!G$11,0)+(D26-E26)-(H26-I26)</f>
        <v>0</v>
      </c>
      <c r="H26" s="15" t="n">
        <f aca="false">ROUND(D26+'INVEST ET FINANCEMENT'!G$11,0)</f>
        <v>28910459</v>
      </c>
      <c r="I26" s="20" t="n">
        <v>0</v>
      </c>
      <c r="J2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27" customFormat="false" ht="15" hidden="false" customHeight="false" outlineLevel="0" collapsed="false">
      <c r="A27" s="30" t="n">
        <v>245100</v>
      </c>
      <c r="B27" s="12" t="s">
        <v>268</v>
      </c>
      <c r="C27" s="13" t="s">
        <v>269</v>
      </c>
      <c r="D27" s="15" t="n">
        <f aca="false">IF(LEFT(A27,1)&gt;="6",0,SUMIFS('BALANCE 2027'!$H:$H,'BALANCE 2027'!$A:$A,A27))</f>
        <v>423638205</v>
      </c>
      <c r="E27" s="15" t="n">
        <f aca="false">IF(LEFT(A27,1)&gt;="6",0,SUMIFS('BALANCE 2027'!$I:$I,'BALANCE 2027'!$A:$A,A27))</f>
        <v>0</v>
      </c>
      <c r="F27" s="15" t="n">
        <f aca="false">ROUND('INVEST ET FINANCEMENT'!G$12,0)</f>
        <v>40000000</v>
      </c>
      <c r="G27" s="15" t="n">
        <f aca="false">ROUND('INVEST ET FINANCEMENT'!G$12,0)+(D27-E27)-(H27-I27)</f>
        <v>0</v>
      </c>
      <c r="H27" s="15" t="n">
        <f aca="false">ROUND(D27+'INVEST ET FINANCEMENT'!G$12,0)</f>
        <v>463638205</v>
      </c>
      <c r="I27" s="20" t="n">
        <v>0</v>
      </c>
      <c r="J2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28" customFormat="false" ht="15" hidden="false" customHeight="false" outlineLevel="0" collapsed="false">
      <c r="A28" s="30" t="n">
        <v>245600</v>
      </c>
      <c r="B28" s="12" t="s">
        <v>270</v>
      </c>
      <c r="C28" s="13" t="s">
        <v>269</v>
      </c>
      <c r="D28" s="15" t="n">
        <f aca="false">IF(LEFT(A28,1)&gt;="6",0,SUMIFS('BALANCE 2027'!$H:$H,'BALANCE 2027'!$A:$A,A28))</f>
        <v>28619694</v>
      </c>
      <c r="E28" s="15" t="n">
        <f aca="false">IF(LEFT(A28,1)&gt;="6",0,SUMIFS('BALANCE 2027'!$I:$I,'BALANCE 2027'!$A:$A,A28))</f>
        <v>0</v>
      </c>
      <c r="F28" s="20" t="n">
        <f aca="false">MAX(0,(H28-I28)-(D28-E28))</f>
        <v>0</v>
      </c>
      <c r="G28" s="20" t="n">
        <f aca="false">MAX(0,(D28-E28)-(H28-I28))</f>
        <v>0</v>
      </c>
      <c r="H28" s="20" t="n">
        <f aca="false">ROUND(D28,0)</f>
        <v>28619694</v>
      </c>
      <c r="I28" s="20" t="n">
        <v>0</v>
      </c>
      <c r="J2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29" customFormat="false" ht="15" hidden="false" customHeight="false" outlineLevel="0" collapsed="false">
      <c r="A29" s="30" t="n">
        <v>271800</v>
      </c>
      <c r="B29" s="12" t="s">
        <v>271</v>
      </c>
      <c r="C29" s="13" t="s">
        <v>272</v>
      </c>
      <c r="D29" s="15" t="n">
        <f aca="false">IF(LEFT(A29,1)&gt;="6",0,SUMIFS('BALANCE 2027'!$H:$H,'BALANCE 2027'!$A:$A,A29))</f>
        <v>25000000</v>
      </c>
      <c r="E29" s="15" t="n">
        <f aca="false">IF(LEFT(A29,1)&gt;="6",0,SUMIFS('BALANCE 2027'!$I:$I,'BALANCE 2027'!$A:$A,A29))</f>
        <v>0</v>
      </c>
      <c r="F29" s="20" t="n">
        <f aca="false">MAX(0,(H29-I29)-(D29-E29))</f>
        <v>0</v>
      </c>
      <c r="G29" s="20" t="n">
        <f aca="false">MAX(0,(D29-E29)-(H29-I29))</f>
        <v>0</v>
      </c>
      <c r="H29" s="20" t="n">
        <f aca="false">ROUND(D29,0)</f>
        <v>25000000</v>
      </c>
      <c r="I29" s="20" t="n">
        <v>0</v>
      </c>
      <c r="J2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0" customFormat="false" ht="15" hidden="false" customHeight="false" outlineLevel="0" collapsed="false">
      <c r="A30" s="30" t="n">
        <v>275100</v>
      </c>
      <c r="B30" s="12" t="s">
        <v>273</v>
      </c>
      <c r="C30" s="13" t="s">
        <v>272</v>
      </c>
      <c r="D30" s="15" t="n">
        <f aca="false">IF(LEFT(A30,1)&gt;="6",0,SUMIFS('BALANCE 2027'!$H:$H,'BALANCE 2027'!$A:$A,A30))</f>
        <v>231420138</v>
      </c>
      <c r="E30" s="15" t="n">
        <f aca="false">IF(LEFT(A30,1)&gt;="6",0,SUMIFS('BALANCE 2027'!$I:$I,'BALANCE 2027'!$A:$A,A30))</f>
        <v>0</v>
      </c>
      <c r="F30" s="15" t="n">
        <f aca="false">ROUND('INVEST ET FINANCEMENT'!G$13,0)</f>
        <v>0</v>
      </c>
      <c r="G30" s="15" t="n">
        <f aca="false">ROUND('INVEST ET FINANCEMENT'!G$13,0)+(D30-E30)-(H30-I30)</f>
        <v>0</v>
      </c>
      <c r="H30" s="15" t="n">
        <f aca="false">ROUND(D30+'INVEST ET FINANCEMENT'!G$13,0)</f>
        <v>231420138</v>
      </c>
      <c r="I30" s="20" t="n">
        <v>0</v>
      </c>
      <c r="J3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1" customFormat="false" ht="15" hidden="false" customHeight="false" outlineLevel="0" collapsed="false">
      <c r="A31" s="30" t="n">
        <v>283400</v>
      </c>
      <c r="B31" s="12" t="s">
        <v>274</v>
      </c>
      <c r="C31" s="13" t="s">
        <v>261</v>
      </c>
      <c r="D31" s="15" t="n">
        <f aca="false">IF(LEFT(A31,1)&gt;="6",0,SUMIFS('BALANCE 2027'!$H:$H,'BALANCE 2027'!$A:$A,A31))</f>
        <v>0</v>
      </c>
      <c r="E31" s="15" t="n">
        <f aca="false">IF(LEFT(A31,1)&gt;="6",0,SUMIFS('BALANCE 2027'!$I:$I,'BALANCE 2027'!$A:$A,A31))</f>
        <v>99785011</v>
      </c>
      <c r="F31" s="15" t="n">
        <f aca="false">ROUND('INVEST ET FINANCEMENT'!G$31,0)+(H31-I31)-(D31-E31)</f>
        <v>0</v>
      </c>
      <c r="G31" s="15" t="n">
        <f aca="false">ROUND('INVEST ET FINANCEMENT'!G$31,0)</f>
        <v>3816481</v>
      </c>
      <c r="H31" s="20" t="n">
        <v>0</v>
      </c>
      <c r="I31" s="15" t="n">
        <f aca="false">ROUND(E31+'INVEST ET FINANCEMENT'!G$31,0)</f>
        <v>103601492</v>
      </c>
      <c r="J3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2" customFormat="false" ht="15" hidden="false" customHeight="false" outlineLevel="0" collapsed="false">
      <c r="A32" s="30" t="n">
        <v>284100</v>
      </c>
      <c r="B32" s="12" t="s">
        <v>275</v>
      </c>
      <c r="C32" s="13" t="s">
        <v>265</v>
      </c>
      <c r="D32" s="15" t="n">
        <f aca="false">IF(LEFT(A32,1)&gt;="6",0,SUMIFS('BALANCE 2027'!$H:$H,'BALANCE 2027'!$A:$A,A32))</f>
        <v>0</v>
      </c>
      <c r="E32" s="15" t="n">
        <f aca="false">IF(LEFT(A32,1)&gt;="6",0,SUMIFS('BALANCE 2027'!$I:$I,'BALANCE 2027'!$A:$A,A32))</f>
        <v>191898681</v>
      </c>
      <c r="F32" s="15" t="n">
        <f aca="false">ROUND('INVEST ET FINANCEMENT'!G$34,0)+(H32-I32)-(D32-E32)</f>
        <v>0</v>
      </c>
      <c r="G32" s="15" t="n">
        <f aca="false">ROUND('INVEST ET FINANCEMENT'!G$34,0)</f>
        <v>62854932</v>
      </c>
      <c r="H32" s="20" t="n">
        <v>0</v>
      </c>
      <c r="I32" s="15" t="n">
        <f aca="false">ROUND(E32+'INVEST ET FINANCEMENT'!G$34,0)</f>
        <v>254753613</v>
      </c>
      <c r="J3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3" customFormat="false" ht="15" hidden="false" customHeight="false" outlineLevel="0" collapsed="false">
      <c r="A33" s="30" t="n">
        <v>284400</v>
      </c>
      <c r="B33" s="12" t="s">
        <v>276</v>
      </c>
      <c r="C33" s="13" t="s">
        <v>265</v>
      </c>
      <c r="D33" s="15" t="n">
        <f aca="false">IF(LEFT(A33,1)&gt;="6",0,SUMIFS('BALANCE 2027'!$H:$H,'BALANCE 2027'!$A:$A,A33))</f>
        <v>0</v>
      </c>
      <c r="E33" s="15" t="n">
        <f aca="false">IF(LEFT(A33,1)&gt;="6",0,SUMIFS('BALANCE 2027'!$I:$I,'BALANCE 2027'!$A:$A,A33))</f>
        <v>30717415</v>
      </c>
      <c r="F33" s="15" t="n">
        <f aca="false">ROUND('INVEST ET FINANCEMENT'!G$37,0)+(H33-I33)-(D33-E33)</f>
        <v>0</v>
      </c>
      <c r="G33" s="15" t="n">
        <f aca="false">ROUND('INVEST ET FINANCEMENT'!G$37,0)</f>
        <v>5000000</v>
      </c>
      <c r="H33" s="20" t="n">
        <v>0</v>
      </c>
      <c r="I33" s="15" t="n">
        <f aca="false">ROUND(E33+'INVEST ET FINANCEMENT'!G$37,0)</f>
        <v>35717415</v>
      </c>
      <c r="J3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4" customFormat="false" ht="15" hidden="false" customHeight="false" outlineLevel="0" collapsed="false">
      <c r="A34" s="30" t="n">
        <v>284500</v>
      </c>
      <c r="B34" s="12" t="s">
        <v>277</v>
      </c>
      <c r="C34" s="13" t="s">
        <v>269</v>
      </c>
      <c r="D34" s="15" t="n">
        <f aca="false">IF(LEFT(A34,1)&gt;="6",0,SUMIFS('BALANCE 2027'!$H:$H,'BALANCE 2027'!$A:$A,A34))</f>
        <v>0</v>
      </c>
      <c r="E34" s="15" t="n">
        <f aca="false">IF(LEFT(A34,1)&gt;="6",0,SUMIFS('BALANCE 2027'!$I:$I,'BALANCE 2027'!$A:$A,A34))</f>
        <v>413784210</v>
      </c>
      <c r="F34" s="15" t="n">
        <f aca="false">ROUND('INVEST ET FINANCEMENT'!G$40,0)+(H34-I34)-(D34-E34)</f>
        <v>0</v>
      </c>
      <c r="G34" s="15" t="n">
        <f aca="false">ROUND('INVEST ET FINANCEMENT'!G$40,0)</f>
        <v>24093971</v>
      </c>
      <c r="H34" s="20" t="n">
        <v>0</v>
      </c>
      <c r="I34" s="15" t="n">
        <f aca="false">ROUND(E34+'INVEST ET FINANCEMENT'!G$40,0)</f>
        <v>437878181</v>
      </c>
      <c r="J3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5" customFormat="false" ht="15" hidden="false" customHeight="false" outlineLevel="0" collapsed="false">
      <c r="A35" s="38" t="n">
        <v>401100</v>
      </c>
      <c r="B35" s="39" t="s">
        <v>278</v>
      </c>
      <c r="C35" s="40" t="s">
        <v>279</v>
      </c>
      <c r="D35" s="43" t="n">
        <f aca="false">IF(LEFT(A35,1)&gt;="6",0,SUMIFS('BALANCE 2027'!$H:$H,'BALANCE 2027'!$A:$A,A35))</f>
        <v>0</v>
      </c>
      <c r="E35" s="43" t="n">
        <f aca="false">IF(LEFT(A35,1)&gt;="6",0,SUMIFS('BALANCE 2027'!$I:$I,'BALANCE 2027'!$A:$A,A35))</f>
        <v>85674750</v>
      </c>
      <c r="F35" s="43" t="n">
        <f aca="false">ROUND(HYPOTHESES!G$49*(1+HYPOTHESES!G$10),0)+(H35-I35)-(D35-E35)</f>
        <v>563875130</v>
      </c>
      <c r="G35" s="43" t="n">
        <f aca="false">ROUND(HYPOTHESES!G$49*(1+HYPOTHESES!G$10),0)</f>
        <v>568158867</v>
      </c>
      <c r="H35" s="42" t="n">
        <v>0</v>
      </c>
      <c r="I35" s="43" t="n">
        <f aca="false">ROUND(HYPOTHESES!G$49*(1+HYPOTHESES!G$10)*HYPOTHESES!G$23/360,0)</f>
        <v>89958487</v>
      </c>
      <c r="J35" s="42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6" customFormat="false" ht="15" hidden="false" customHeight="false" outlineLevel="0" collapsed="false">
      <c r="A36" s="30" t="n">
        <v>409100</v>
      </c>
      <c r="B36" s="12" t="s">
        <v>280</v>
      </c>
      <c r="C36" s="13" t="s">
        <v>281</v>
      </c>
      <c r="D36" s="15" t="n">
        <f aca="false">IF(LEFT(A36,1)&gt;="6",0,SUMIFS('BALANCE 2027'!$H:$H,'BALANCE 2027'!$A:$A,A36))</f>
        <v>0</v>
      </c>
      <c r="E36" s="15" t="n">
        <f aca="false">IF(LEFT(A36,1)&gt;="6",0,SUMIFS('BALANCE 2027'!$I:$I,'BALANCE 2027'!$A:$A,A36))</f>
        <v>0</v>
      </c>
      <c r="F36" s="20" t="n">
        <f aca="false">MAX(0,(H36-I36)-(D36-E36))</f>
        <v>0</v>
      </c>
      <c r="G36" s="20" t="n">
        <f aca="false">MAX(0,(D36-E36)-(H36-I36))</f>
        <v>0</v>
      </c>
      <c r="H36" s="15" t="n">
        <f aca="false">ROUND(IF(LEFT(A36,1)&gt;="6",IF(C36="RE",IF(HYPOTHESES!$C$43=0,0,HYPOTHESES!G$43*SUMIFS('BALANCE 2024'!$H:$H,'BALANCE 2024'!$A:$A,A36)/HYPOTHESES!$C$43),IF(C36="RG",IF(HYPOTHESES!$C$44=0,0,HYPOTHESES!G$44*SUMIFS('BALANCE 2024'!$H:$H,'BALANCE 2024'!$A:$A,A36)/HYPOTHESES!$C$44),IF(C36="RH",IF(HYPOTHESES!$C$45=0,0,HYPOTHESES!G$45*SUMIFS('BALANCE 2024'!$H:$H,'BALANCE 2024'!$A:$A,A36)/HYPOTHESES!$C$45),IF(C36="RI",IF(HYPOTHESES!$C$46=0,0,HYPOTHESES!G$46*SUMIFS('BALANCE 2024'!$H:$H,'BALANCE 2024'!$A:$A,A36)/HYPOTHESES!$C$46),IF(C36="RJ",IF(HYPOTHESES!$C$47=0,0,HYPOTHESES!G$47*SUMIFS('BALANCE 2024'!$H:$H,'BALANCE 2024'!$A:$A,A36)/HYPOTHESES!$C$47),IF(C36="RK",IF(HYPOTHESES!$C$48=0,0,HYPOTHESES!G$48*SUMIFS('BALANCE 2024'!$H:$H,'BALANCE 2024'!$A:$A,A36)/HYPOTHESES!$C$48),0)))))),MAX(0,D36-E36)),0)</f>
        <v>0</v>
      </c>
      <c r="I36" s="20" t="n">
        <f aca="false">ROUND(IF(LEFT(A36,1)&gt;="6",0,MAX(0,E36-D36)),0)</f>
        <v>0</v>
      </c>
      <c r="J3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7" customFormat="false" ht="15" hidden="false" customHeight="false" outlineLevel="0" collapsed="false">
      <c r="A37" s="30" t="n">
        <v>411100</v>
      </c>
      <c r="B37" s="12" t="s">
        <v>282</v>
      </c>
      <c r="C37" s="13" t="s">
        <v>283</v>
      </c>
      <c r="D37" s="15" t="n">
        <f aca="false">IF(LEFT(A37,1)&gt;="6",0,SUMIFS('BALANCE 2027'!$H:$H,'BALANCE 2027'!$A:$A,A37))</f>
        <v>534001731</v>
      </c>
      <c r="E37" s="15" t="n">
        <f aca="false">IF(LEFT(A37,1)&gt;="6",0,SUMIFS('BALANCE 2027'!$I:$I,'BALANCE 2027'!$A:$A,A37))</f>
        <v>0</v>
      </c>
      <c r="F37" s="15" t="n">
        <f aca="false">ROUND(HYPOTHESES!G$42*(1+HYPOTHESES!G$10),0)</f>
        <v>1024632763</v>
      </c>
      <c r="G37" s="15" t="n">
        <f aca="false">ROUND(HYPOTHESES!G$42*(1+HYPOTHESES!G$10),0)+(D37-E37)-(H37-I37)</f>
        <v>997932676</v>
      </c>
      <c r="H37" s="15" t="n">
        <f aca="false">ROUND(HYPOTHESES!G$42*(1+HYPOTHESES!G$10)*HYPOTHESES!G$22/360,0)</f>
        <v>560701818</v>
      </c>
      <c r="I37" s="20" t="n">
        <v>0</v>
      </c>
      <c r="J3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8" customFormat="false" ht="15" hidden="false" customHeight="false" outlineLevel="0" collapsed="false">
      <c r="A38" s="30" t="n">
        <v>422000</v>
      </c>
      <c r="B38" s="12" t="s">
        <v>284</v>
      </c>
      <c r="C38" s="13" t="s">
        <v>285</v>
      </c>
      <c r="D38" s="15" t="n">
        <f aca="false">IF(LEFT(A38,1)&gt;="6",0,SUMIFS('BALANCE 2027'!$H:$H,'BALANCE 2027'!$A:$A,A38))</f>
        <v>0</v>
      </c>
      <c r="E38" s="15" t="n">
        <f aca="false">IF(LEFT(A38,1)&gt;="6",0,SUMIFS('BALANCE 2027'!$I:$I,'BALANCE 2027'!$A:$A,A38))</f>
        <v>13146729</v>
      </c>
      <c r="F38" s="15" t="n">
        <f aca="false">ROUND(IF(HYPOTHESES!$C$48=0,0,'BALANCE 2024'!$G$38*HYPOTHESES!G$48/HYPOTHESES!$C$48),0)+(H38-I38)-(D38-E38)</f>
        <v>99982359</v>
      </c>
      <c r="G38" s="15" t="n">
        <f aca="false">ROUND(IF(HYPOTHESES!$C$48=0,0,'BALANCE 2024'!$G$38*HYPOTHESES!G$48/HYPOTHESES!$C$48),0)</f>
        <v>100639696</v>
      </c>
      <c r="H38" s="20" t="n">
        <v>0</v>
      </c>
      <c r="I38" s="15" t="n">
        <f aca="false">ROUND(IF(HYPOTHESES!$C$48=0,0,'BALANCE 2024'!$I$38*HYPOTHESES!G$48/HYPOTHESES!$C$48),0)</f>
        <v>13804066</v>
      </c>
      <c r="J3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39" customFormat="false" ht="15" hidden="false" customHeight="false" outlineLevel="0" collapsed="false">
      <c r="A39" s="30" t="n">
        <v>431301</v>
      </c>
      <c r="B39" s="12" t="s">
        <v>286</v>
      </c>
      <c r="C39" s="13" t="s">
        <v>285</v>
      </c>
      <c r="D39" s="15" t="n">
        <f aca="false">IF(LEFT(A39,1)&gt;="6",0,SUMIFS('BALANCE 2027'!$H:$H,'BALANCE 2027'!$A:$A,A39))</f>
        <v>0</v>
      </c>
      <c r="E39" s="15" t="n">
        <f aca="false">IF(LEFT(A39,1)&gt;="6",0,SUMIFS('BALANCE 2027'!$I:$I,'BALANCE 2027'!$A:$A,A39))</f>
        <v>5730848</v>
      </c>
      <c r="F39" s="15" t="n">
        <f aca="false">ROUND(IF(HYPOTHESES!$C$48=0,0,'BALANCE 2024'!$G$39*HYPOTHESES!G$48/HYPOTHESES!$C$48),0)+(H39-I39)-(D39-E39)</f>
        <v>8388122</v>
      </c>
      <c r="G39" s="15" t="n">
        <f aca="false">ROUND(IF(HYPOTHESES!$C$48=0,0,'BALANCE 2024'!$G$39*HYPOTHESES!G$48/HYPOTHESES!$C$48),0)</f>
        <v>8674665</v>
      </c>
      <c r="H39" s="20" t="n">
        <v>0</v>
      </c>
      <c r="I39" s="15" t="n">
        <f aca="false">ROUND(IF(HYPOTHESES!$C$48=0,0,'BALANCE 2024'!$I$39*HYPOTHESES!G$48/HYPOTHESES!$C$48),0)</f>
        <v>6017391</v>
      </c>
      <c r="J3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0" customFormat="false" ht="15" hidden="false" customHeight="false" outlineLevel="0" collapsed="false">
      <c r="A40" s="30" t="n">
        <v>431302</v>
      </c>
      <c r="B40" s="12" t="s">
        <v>287</v>
      </c>
      <c r="C40" s="13" t="s">
        <v>285</v>
      </c>
      <c r="D40" s="15" t="n">
        <f aca="false">IF(LEFT(A40,1)&gt;="6",0,SUMIFS('BALANCE 2027'!$H:$H,'BALANCE 2027'!$A:$A,A40))</f>
        <v>0</v>
      </c>
      <c r="E40" s="15" t="n">
        <f aca="false">IF(LEFT(A40,1)&gt;="6",0,SUMIFS('BALANCE 2027'!$I:$I,'BALANCE 2027'!$A:$A,A40))</f>
        <v>1418042</v>
      </c>
      <c r="F40" s="15" t="n">
        <f aca="false">ROUND(IF(HYPOTHESES!$C$48=0,0,'BALANCE 2024'!$G$40*HYPOTHESES!G$48/HYPOTHESES!$C$48),0)+(H40-I40)-(D40-E40)</f>
        <v>14119318</v>
      </c>
      <c r="G40" s="15" t="n">
        <f aca="false">ROUND(IF(HYPOTHESES!$C$48=0,0,'BALANCE 2024'!$G$40*HYPOTHESES!G$48/HYPOTHESES!$C$48),0)</f>
        <v>14190220</v>
      </c>
      <c r="H40" s="20" t="n">
        <v>0</v>
      </c>
      <c r="I40" s="15" t="n">
        <f aca="false">ROUND(IF(HYPOTHESES!$C$48=0,0,'BALANCE 2024'!$I$40*HYPOTHESES!G$48/HYPOTHESES!$C$48),0)</f>
        <v>1488944</v>
      </c>
      <c r="J4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1" customFormat="false" ht="15" hidden="false" customHeight="false" outlineLevel="0" collapsed="false">
      <c r="A41" s="30" t="n">
        <v>431802</v>
      </c>
      <c r="B41" s="12" t="s">
        <v>288</v>
      </c>
      <c r="C41" s="13" t="s">
        <v>285</v>
      </c>
      <c r="D41" s="15" t="n">
        <f aca="false">IF(LEFT(A41,1)&gt;="6",0,SUMIFS('BALANCE 2027'!$H:$H,'BALANCE 2027'!$A:$A,A41))</f>
        <v>0</v>
      </c>
      <c r="E41" s="15" t="n">
        <f aca="false">IF(LEFT(A41,1)&gt;="6",0,SUMIFS('BALANCE 2027'!$I:$I,'BALANCE 2027'!$A:$A,A41))</f>
        <v>190980</v>
      </c>
      <c r="F41" s="15" t="n">
        <f aca="false">ROUND(IF(HYPOTHESES!$C$48=0,0,'BALANCE 2024'!$G$41*HYPOTHESES!G$48/HYPOTHESES!$C$48),0)+(H41-I41)-(D41-E41)</f>
        <v>470443</v>
      </c>
      <c r="G41" s="15" t="n">
        <f aca="false">ROUND(IF(HYPOTHESES!$C$48=0,0,'BALANCE 2024'!$G$41*HYPOTHESES!G$48/HYPOTHESES!$C$48),0)</f>
        <v>479992</v>
      </c>
      <c r="H41" s="20" t="n">
        <v>0</v>
      </c>
      <c r="I41" s="15" t="n">
        <f aca="false">ROUND(IF(HYPOTHESES!$C$48=0,0,'BALANCE 2024'!$I$41*HYPOTHESES!G$48/HYPOTHESES!$C$48),0)</f>
        <v>200529</v>
      </c>
      <c r="J4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2" customFormat="false" ht="15" hidden="false" customHeight="false" outlineLevel="0" collapsed="false">
      <c r="A42" s="30" t="n">
        <v>433300</v>
      </c>
      <c r="B42" s="12" t="s">
        <v>289</v>
      </c>
      <c r="C42" s="13" t="s">
        <v>285</v>
      </c>
      <c r="D42" s="15" t="n">
        <f aca="false">IF(LEFT(A42,1)&gt;="6",0,SUMIFS('BALANCE 2027'!$H:$H,'BALANCE 2027'!$A:$A,A42))</f>
        <v>0</v>
      </c>
      <c r="E42" s="15" t="n">
        <f aca="false">IF(LEFT(A42,1)&gt;="6",0,SUMIFS('BALANCE 2027'!$I:$I,'BALANCE 2027'!$A:$A,A42))</f>
        <v>0</v>
      </c>
      <c r="F42" s="15" t="n">
        <f aca="false">ROUND(IF(HYPOTHESES!$C$48=0,0,'BALANCE 2024'!$G$42*HYPOTHESES!G$48/HYPOTHESES!$C$48),0)+(H42-I42)-(D42-E42)</f>
        <v>0</v>
      </c>
      <c r="G42" s="15" t="n">
        <f aca="false">ROUND(IF(HYPOTHESES!$C$48=0,0,'BALANCE 2024'!$G$42*HYPOTHESES!G$48/HYPOTHESES!$C$48),0)</f>
        <v>0</v>
      </c>
      <c r="H42" s="20" t="n">
        <v>0</v>
      </c>
      <c r="I42" s="15" t="n">
        <f aca="false">ROUND(IF(HYPOTHESES!$C$48=0,0,'BALANCE 2024'!$I$42*HYPOTHESES!G$48/HYPOTHESES!$C$48),0)</f>
        <v>0</v>
      </c>
      <c r="J4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3" customFormat="false" ht="15" hidden="false" customHeight="false" outlineLevel="0" collapsed="false">
      <c r="A43" s="30" t="n">
        <v>441000</v>
      </c>
      <c r="B43" s="12" t="s">
        <v>290</v>
      </c>
      <c r="C43" s="13" t="s">
        <v>285</v>
      </c>
      <c r="D43" s="15" t="n">
        <f aca="false">IF(LEFT(A43,1)&gt;="6",0,SUMIFS('BALANCE 2027'!$H:$H,'BALANCE 2027'!$A:$A,A43))</f>
        <v>0</v>
      </c>
      <c r="E43" s="15" t="n">
        <f aca="false">IF(LEFT(A43,1)&gt;="6",0,SUMIFS('BALANCE 2027'!$I:$I,'BALANCE 2027'!$A:$A,A43))</f>
        <v>30492779</v>
      </c>
      <c r="F43" s="15" t="n">
        <f aca="false">ROUND(HYPOTHESES!G$56,0)+(H43-I43)-(D43-E43)</f>
        <v>30492779</v>
      </c>
      <c r="G43" s="15" t="n">
        <f aca="false">ROUND(HYPOTHESES!G$56,0)</f>
        <v>33628946</v>
      </c>
      <c r="H43" s="20" t="n">
        <v>0</v>
      </c>
      <c r="I43" s="15" t="n">
        <f aca="false">ROUND(HYPOTHESES!G$56,0)</f>
        <v>33628946</v>
      </c>
      <c r="J4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4" customFormat="false" ht="15" hidden="false" customHeight="false" outlineLevel="0" collapsed="false">
      <c r="A44" s="30" t="n">
        <v>442800</v>
      </c>
      <c r="B44" s="12" t="s">
        <v>291</v>
      </c>
      <c r="C44" s="13" t="s">
        <v>285</v>
      </c>
      <c r="D44" s="15" t="n">
        <f aca="false">IF(LEFT(A44,1)&gt;="6",0,SUMIFS('BALANCE 2027'!$H:$H,'BALANCE 2027'!$A:$A,A44))</f>
        <v>0</v>
      </c>
      <c r="E44" s="15" t="n">
        <f aca="false">IF(LEFT(A44,1)&gt;="6",0,SUMIFS('BALANCE 2027'!$I:$I,'BALANCE 2027'!$A:$A,A44))</f>
        <v>855586</v>
      </c>
      <c r="F44" s="15" t="n">
        <f aca="false">ROUND(IF(HYPOTHESES!$C$46=0,0,'BALANCE 2024'!$G$44*HYPOTHESES!G$46/HYPOTHESES!$C$46),0)+(H44-I44)-(D44-E44)</f>
        <v>855586</v>
      </c>
      <c r="G44" s="15" t="n">
        <f aca="false">ROUND(IF(HYPOTHESES!$C$46=0,0,'BALANCE 2024'!$G$44*HYPOTHESES!G$46/HYPOTHESES!$C$46),0)</f>
        <v>898365</v>
      </c>
      <c r="H44" s="20" t="n">
        <v>0</v>
      </c>
      <c r="I44" s="15" t="n">
        <f aca="false">ROUND(IF(HYPOTHESES!$C$46=0,0,'BALANCE 2024'!$I$44*HYPOTHESES!G$46/HYPOTHESES!$C$46),0)</f>
        <v>898365</v>
      </c>
      <c r="J4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5" customFormat="false" ht="15" hidden="false" customHeight="false" outlineLevel="0" collapsed="false">
      <c r="A45" s="30" t="n">
        <v>442801</v>
      </c>
      <c r="B45" s="12" t="s">
        <v>292</v>
      </c>
      <c r="C45" s="13" t="s">
        <v>285</v>
      </c>
      <c r="D45" s="15" t="n">
        <f aca="false">IF(LEFT(A45,1)&gt;="6",0,SUMIFS('BALANCE 2027'!$H:$H,'BALANCE 2027'!$A:$A,A45))</f>
        <v>0</v>
      </c>
      <c r="E45" s="15" t="n">
        <f aca="false">IF(LEFT(A45,1)&gt;="6",0,SUMIFS('BALANCE 2027'!$I:$I,'BALANCE 2027'!$A:$A,A45))</f>
        <v>122699</v>
      </c>
      <c r="F45" s="15" t="n">
        <f aca="false">ROUND(IF(HYPOTHESES!$C$46=0,0,'BALANCE 2024'!$G$45*HYPOTHESES!G$46/HYPOTHESES!$C$46),0)+(H45-I45)-(D45-E45)</f>
        <v>122699</v>
      </c>
      <c r="G45" s="15" t="n">
        <f aca="false">ROUND(IF(HYPOTHESES!$C$46=0,0,'BALANCE 2024'!$G$45*HYPOTHESES!G$46/HYPOTHESES!$C$46),0)</f>
        <v>128834</v>
      </c>
      <c r="H45" s="20" t="n">
        <v>0</v>
      </c>
      <c r="I45" s="15" t="n">
        <f aca="false">ROUND(IF(HYPOTHESES!$C$46=0,0,'BALANCE 2024'!$I$45*HYPOTHESES!G$46/HYPOTHESES!$C$46),0)</f>
        <v>128834</v>
      </c>
      <c r="J4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6" customFormat="false" ht="15" hidden="false" customHeight="false" outlineLevel="0" collapsed="false">
      <c r="A46" s="30" t="n">
        <v>442802</v>
      </c>
      <c r="B46" s="12" t="s">
        <v>293</v>
      </c>
      <c r="C46" s="13" t="s">
        <v>285</v>
      </c>
      <c r="D46" s="15" t="n">
        <f aca="false">IF(LEFT(A46,1)&gt;="6",0,SUMIFS('BALANCE 2027'!$H:$H,'BALANCE 2027'!$A:$A,A46))</f>
        <v>0</v>
      </c>
      <c r="E46" s="15" t="n">
        <f aca="false">IF(LEFT(A46,1)&gt;="6",0,SUMIFS('BALANCE 2027'!$I:$I,'BALANCE 2027'!$A:$A,A46))</f>
        <v>184056</v>
      </c>
      <c r="F46" s="15" t="n">
        <f aca="false">ROUND(IF(HYPOTHESES!$C$46=0,0,'BALANCE 2024'!$G$46*HYPOTHESES!G$46/HYPOTHESES!$C$46),0)+(H46-I46)-(D46-E46)</f>
        <v>184056</v>
      </c>
      <c r="G46" s="15" t="n">
        <f aca="false">ROUND(IF(HYPOTHESES!$C$46=0,0,'BALANCE 2024'!$G$46*HYPOTHESES!G$46/HYPOTHESES!$C$46),0)</f>
        <v>193259</v>
      </c>
      <c r="H46" s="20" t="n">
        <v>0</v>
      </c>
      <c r="I46" s="15" t="n">
        <f aca="false">ROUND(IF(HYPOTHESES!$C$46=0,0,'BALANCE 2024'!$I$46*HYPOTHESES!G$46/HYPOTHESES!$C$46),0)</f>
        <v>193259</v>
      </c>
      <c r="J4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7" customFormat="false" ht="15" hidden="false" customHeight="false" outlineLevel="0" collapsed="false">
      <c r="A47" s="30" t="n">
        <v>442803</v>
      </c>
      <c r="B47" s="12" t="s">
        <v>294</v>
      </c>
      <c r="C47" s="13" t="s">
        <v>285</v>
      </c>
      <c r="D47" s="15" t="n">
        <f aca="false">IF(LEFT(A47,1)&gt;="6",0,SUMIFS('BALANCE 2027'!$H:$H,'BALANCE 2027'!$A:$A,A47))</f>
        <v>0</v>
      </c>
      <c r="E47" s="15" t="n">
        <f aca="false">IF(LEFT(A47,1)&gt;="6",0,SUMIFS('BALANCE 2027'!$I:$I,'BALANCE 2027'!$A:$A,A47))</f>
        <v>184055</v>
      </c>
      <c r="F47" s="15" t="n">
        <f aca="false">ROUND(IF(HYPOTHESES!$C$46=0,0,'BALANCE 2024'!$G$47*HYPOTHESES!G$46/HYPOTHESES!$C$46),0)+(H47-I47)-(D47-E47)</f>
        <v>184055</v>
      </c>
      <c r="G47" s="15" t="n">
        <f aca="false">ROUND(IF(HYPOTHESES!$C$46=0,0,'BALANCE 2024'!$G$47*HYPOTHESES!G$46/HYPOTHESES!$C$46),0)</f>
        <v>193258</v>
      </c>
      <c r="H47" s="20" t="n">
        <v>0</v>
      </c>
      <c r="I47" s="15" t="n">
        <f aca="false">ROUND(IF(HYPOTHESES!$C$46=0,0,'BALANCE 2024'!$I$47*HYPOTHESES!G$46/HYPOTHESES!$C$46),0)</f>
        <v>193258</v>
      </c>
      <c r="J4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8" customFormat="false" ht="15" hidden="false" customHeight="false" outlineLevel="0" collapsed="false">
      <c r="A48" s="30" t="n">
        <v>442820</v>
      </c>
      <c r="B48" s="12" t="s">
        <v>295</v>
      </c>
      <c r="C48" s="13" t="s">
        <v>285</v>
      </c>
      <c r="D48" s="15" t="n">
        <f aca="false">IF(LEFT(A48,1)&gt;="6",0,SUMIFS('BALANCE 2027'!$H:$H,'BALANCE 2027'!$A:$A,A48))</f>
        <v>0</v>
      </c>
      <c r="E48" s="15" t="n">
        <f aca="false">IF(LEFT(A48,1)&gt;="6",0,SUMIFS('BALANCE 2027'!$I:$I,'BALANCE 2027'!$A:$A,A48))</f>
        <v>433430</v>
      </c>
      <c r="F48" s="15" t="n">
        <f aca="false">ROUND(IF(HYPOTHESES!$C$46=0,0,'BALANCE 2024'!$G$48*HYPOTHESES!G$46/HYPOTHESES!$C$46),0)+(H48-I48)-(D48-E48)</f>
        <v>1001629</v>
      </c>
      <c r="G48" s="15" t="n">
        <f aca="false">ROUND(IF(HYPOTHESES!$C$46=0,0,'BALANCE 2024'!$G$48*HYPOTHESES!G$46/HYPOTHESES!$C$46),0)</f>
        <v>1023300</v>
      </c>
      <c r="H48" s="20" t="n">
        <v>0</v>
      </c>
      <c r="I48" s="15" t="n">
        <f aca="false">ROUND(IF(HYPOTHESES!$C$46=0,0,'BALANCE 2024'!$I$48*HYPOTHESES!G$46/HYPOTHESES!$C$46),0)</f>
        <v>455101</v>
      </c>
      <c r="J4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49" customFormat="false" ht="15" hidden="false" customHeight="false" outlineLevel="0" collapsed="false">
      <c r="A49" s="30" t="n">
        <v>442840</v>
      </c>
      <c r="B49" s="12" t="s">
        <v>296</v>
      </c>
      <c r="C49" s="13" t="s">
        <v>285</v>
      </c>
      <c r="D49" s="15" t="n">
        <f aca="false">IF(LEFT(A49,1)&gt;="6",0,SUMIFS('BALANCE 2027'!$H:$H,'BALANCE 2027'!$A:$A,A49))</f>
        <v>0</v>
      </c>
      <c r="E49" s="15" t="n">
        <f aca="false">IF(LEFT(A49,1)&gt;="6",0,SUMIFS('BALANCE 2027'!$I:$I,'BALANCE 2027'!$A:$A,A49))</f>
        <v>5895240</v>
      </c>
      <c r="F49" s="15" t="n">
        <f aca="false">ROUND(IF(HYPOTHESES!$C$46=0,0,'BALANCE 2024'!$G$49*HYPOTHESES!G$46/HYPOTHESES!$C$46),0)+(H49-I49)-(D49-E49)</f>
        <v>10915495</v>
      </c>
      <c r="G49" s="15" t="n">
        <f aca="false">ROUND(IF(HYPOTHESES!$C$46=0,0,'BALANCE 2024'!$G$49*HYPOTHESES!G$46/HYPOTHESES!$C$46),0)</f>
        <v>11210257</v>
      </c>
      <c r="H49" s="20" t="n">
        <v>0</v>
      </c>
      <c r="I49" s="15" t="n">
        <f aca="false">ROUND(IF(HYPOTHESES!$C$46=0,0,'BALANCE 2024'!$I$49*HYPOTHESES!G$46/HYPOTHESES!$C$46),0)</f>
        <v>6190002</v>
      </c>
      <c r="J4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0" customFormat="false" ht="15" hidden="false" customHeight="false" outlineLevel="0" collapsed="false">
      <c r="A50" s="30" t="n">
        <v>443300</v>
      </c>
      <c r="B50" s="12" t="s">
        <v>297</v>
      </c>
      <c r="C50" s="13" t="s">
        <v>285</v>
      </c>
      <c r="D50" s="15" t="n">
        <f aca="false">IF(LEFT(A50,1)&gt;="6",0,SUMIFS('BALANCE 2027'!$H:$H,'BALANCE 2027'!$A:$A,A50))</f>
        <v>0</v>
      </c>
      <c r="E50" s="15" t="n">
        <f aca="false">IF(LEFT(A50,1)&gt;="6",0,SUMIFS('BALANCE 2027'!$I:$I,'BALANCE 2027'!$A:$A,A50))</f>
        <v>61568990</v>
      </c>
      <c r="F50" s="15" t="n">
        <f aca="false">ROUND(HYPOTHESES!G$42*HYPOTHESES!G$10,0)+(H50-I50)-(D50-E50)</f>
        <v>153221464</v>
      </c>
      <c r="G50" s="15" t="n">
        <f aca="false">ROUND(HYPOTHESES!G$42*HYPOTHESES!G$10,0)</f>
        <v>156299913</v>
      </c>
      <c r="H50" s="20" t="n">
        <v>0</v>
      </c>
      <c r="I50" s="15" t="n">
        <f aca="false">ROUND(IF('BALANCE 2024'!$H$37=0,0,'BALANCE 2024'!$I$50*H37/'BALANCE 2024'!$H$37),0)</f>
        <v>64647439</v>
      </c>
      <c r="J5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1" customFormat="false" ht="15" hidden="false" customHeight="false" outlineLevel="0" collapsed="false">
      <c r="A51" s="30" t="n">
        <v>446000</v>
      </c>
      <c r="B51" s="12" t="s">
        <v>298</v>
      </c>
      <c r="C51" s="13" t="s">
        <v>285</v>
      </c>
      <c r="D51" s="15" t="n">
        <f aca="false">IF(LEFT(A51,1)&gt;="6",0,SUMIFS('BALANCE 2027'!$H:$H,'BALANCE 2027'!$A:$A,A51))</f>
        <v>0</v>
      </c>
      <c r="E51" s="15" t="n">
        <f aca="false">IF(LEFT(A51,1)&gt;="6",0,SUMIFS('BALANCE 2027'!$I:$I,'BALANCE 2027'!$A:$A,A51))</f>
        <v>235810</v>
      </c>
      <c r="F51" s="15" t="n">
        <f aca="false">ROUND(IF(HYPOTHESES!$C$46=0,0,'BALANCE 2024'!$G$51*HYPOTHESES!G$46/HYPOTHESES!$C$46),0)+(H51-I51)-(D51-E51)</f>
        <v>250276</v>
      </c>
      <c r="G51" s="15" t="n">
        <f aca="false">ROUND(IF(HYPOTHESES!$C$46=0,0,'BALANCE 2024'!$G$51*HYPOTHESES!G$46/HYPOTHESES!$C$46),0)</f>
        <v>262066</v>
      </c>
      <c r="H51" s="20" t="n">
        <v>0</v>
      </c>
      <c r="I51" s="15" t="n">
        <f aca="false">ROUND(IF(HYPOTHESES!$C$46=0,0,'BALANCE 2024'!$I$51*HYPOTHESES!G$46/HYPOTHESES!$C$46),0)</f>
        <v>247600</v>
      </c>
      <c r="J5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2" customFormat="false" ht="15" hidden="false" customHeight="false" outlineLevel="0" collapsed="false">
      <c r="A52" s="30" t="n">
        <v>447201</v>
      </c>
      <c r="B52" s="12" t="s">
        <v>299</v>
      </c>
      <c r="C52" s="13" t="s">
        <v>285</v>
      </c>
      <c r="D52" s="15" t="n">
        <f aca="false">IF(LEFT(A52,1)&gt;="6",0,SUMIFS('BALANCE 2027'!$H:$H,'BALANCE 2027'!$A:$A,A52))</f>
        <v>0</v>
      </c>
      <c r="E52" s="15" t="n">
        <f aca="false">IF(LEFT(A52,1)&gt;="6",0,SUMIFS('BALANCE 2027'!$I:$I,'BALANCE 2027'!$A:$A,A52))</f>
        <v>1924253</v>
      </c>
      <c r="F52" s="15" t="n">
        <f aca="false">ROUND(IF(HYPOTHESES!$C$48=0,0,'BALANCE 2024'!$G$52*HYPOTHESES!G$48/HYPOTHESES!$C$48),0)+(H52-I52)-(D52-E52)</f>
        <v>7211141</v>
      </c>
      <c r="G52" s="15" t="n">
        <f aca="false">ROUND(IF(HYPOTHESES!$C$48=0,0,'BALANCE 2024'!$G$52*HYPOTHESES!G$48/HYPOTHESES!$C$48),0)</f>
        <v>7307354</v>
      </c>
      <c r="H52" s="20" t="n">
        <v>0</v>
      </c>
      <c r="I52" s="15" t="n">
        <f aca="false">ROUND(IF(HYPOTHESES!$C$48=0,0,'BALANCE 2024'!$I$52*HYPOTHESES!G$48/HYPOTHESES!$C$48),0)</f>
        <v>2020466</v>
      </c>
      <c r="J5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3" customFormat="false" ht="15" hidden="false" customHeight="false" outlineLevel="0" collapsed="false">
      <c r="A53" s="30" t="n">
        <v>462100</v>
      </c>
      <c r="B53" s="12" t="s">
        <v>300</v>
      </c>
      <c r="C53" s="13" t="s">
        <v>301</v>
      </c>
      <c r="D53" s="15" t="n">
        <f aca="false">IF(LEFT(A53,1)&gt;="6",0,SUMIFS('BALANCE 2027'!$H:$H,'BALANCE 2027'!$A:$A,A53))</f>
        <v>0</v>
      </c>
      <c r="E53" s="15" t="n">
        <f aca="false">IF(LEFT(A53,1)&gt;="6",0,SUMIFS('BALANCE 2027'!$I:$I,'BALANCE 2027'!$A:$A,A53))</f>
        <v>0</v>
      </c>
      <c r="F53" s="15" t="n">
        <f aca="false">ROUND('INVEST ET FINANCEMENT'!G$53,0)+(H53-I53)-(D53-E53)</f>
        <v>0</v>
      </c>
      <c r="G53" s="15" t="n">
        <f aca="false">ROUND('INVEST ET FINANCEMENT'!G$53,0)</f>
        <v>0</v>
      </c>
      <c r="H53" s="20" t="n">
        <v>0</v>
      </c>
      <c r="I53" s="15" t="n">
        <f aca="false">ROUND('INVEST ET FINANCEMENT'!G$54,0)</f>
        <v>0</v>
      </c>
      <c r="J5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4" customFormat="false" ht="15" hidden="false" customHeight="false" outlineLevel="0" collapsed="false">
      <c r="A54" s="30" t="n">
        <v>471200</v>
      </c>
      <c r="B54" s="12" t="s">
        <v>302</v>
      </c>
      <c r="C54" s="13" t="s">
        <v>303</v>
      </c>
      <c r="D54" s="15" t="n">
        <f aca="false">IF(LEFT(A54,1)&gt;="6",0,SUMIFS('BALANCE 2027'!$H:$H,'BALANCE 2027'!$A:$A,A54))</f>
        <v>0</v>
      </c>
      <c r="E54" s="15" t="n">
        <f aca="false">IF(LEFT(A54,1)&gt;="6",0,SUMIFS('BALANCE 2027'!$I:$I,'BALANCE 2027'!$A:$A,A54))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ROUND(MAX(0,-(E54-D54+HYPOTHESES!G$31)),0)</f>
        <v>-0</v>
      </c>
      <c r="I54" s="15" t="n">
        <f aca="false">ROUND(MAX(0,(E54-D54+HYPOTHESES!G$31)),0)</f>
        <v>0</v>
      </c>
      <c r="J5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5" customFormat="false" ht="15" hidden="false" customHeight="false" outlineLevel="0" collapsed="false">
      <c r="A55" s="30" t="n">
        <v>481200</v>
      </c>
      <c r="B55" s="12" t="s">
        <v>304</v>
      </c>
      <c r="C55" s="13" t="s">
        <v>305</v>
      </c>
      <c r="D55" s="15" t="n">
        <f aca="false">IF(LEFT(A55,1)&gt;="6",0,SUMIFS('BALANCE 2027'!$H:$H,'BALANCE 2027'!$A:$A,A55))</f>
        <v>0</v>
      </c>
      <c r="E55" s="15" t="n">
        <f aca="false">IF(LEFT(A55,1)&gt;="6",0,SUMIFS('BALANCE 2027'!$I:$I,'BALANCE 2027'!$A:$A,A55))</f>
        <v>12736111</v>
      </c>
      <c r="F55" s="15" t="n">
        <f aca="false">ROUND('INVEST ET FINANCEMENT'!G$41,0)+(H55-I55)-(D55-E55)</f>
        <v>60444444</v>
      </c>
      <c r="G55" s="15" t="n">
        <f aca="false">ROUND('INVEST ET FINANCEMENT'!G$41,0)</f>
        <v>75000000</v>
      </c>
      <c r="H55" s="20" t="n">
        <v>0</v>
      </c>
      <c r="I55" s="15" t="n">
        <f aca="false">ROUND(HYPOTHESES!G$28,0)</f>
        <v>27291667</v>
      </c>
      <c r="J5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6" customFormat="false" ht="15" hidden="false" customHeight="false" outlineLevel="0" collapsed="false">
      <c r="A56" s="38" t="n">
        <v>604300</v>
      </c>
      <c r="B56" s="39" t="s">
        <v>306</v>
      </c>
      <c r="C56" s="40" t="s">
        <v>307</v>
      </c>
      <c r="D56" s="43" t="n">
        <f aca="false">IF(LEFT(A56,1)&gt;="6",0,SUMIFS('BALANCE 2027'!$H:$H,'BALANCE 2027'!$A:$A,A56))</f>
        <v>0</v>
      </c>
      <c r="E56" s="43" t="n">
        <f aca="false">IF(LEFT(A56,1)&gt;="6",0,SUMIFS('BALANCE 2027'!$I:$I,'BALANCE 2027'!$A:$A,A56))</f>
        <v>0</v>
      </c>
      <c r="F56" s="42" t="n">
        <f aca="false">MAX(0,(H56-I56)-(D56-E56))</f>
        <v>1548961</v>
      </c>
      <c r="G56" s="42" t="n">
        <f aca="false">MAX(0,(D56-E56)-(H56-I56))</f>
        <v>0</v>
      </c>
      <c r="H56" s="43" t="n">
        <f aca="false">ROUND(IF(LEFT(A56,1)&gt;="6",IF(C56="RE",IF(HYPOTHESES!$C$43=0,0,HYPOTHESES!G$43*SUMIFS('BALANCE 2024'!$H:$H,'BALANCE 2024'!$A:$A,A56)/HYPOTHESES!$C$43),IF(C56="RG",IF(HYPOTHESES!$C$44=0,0,HYPOTHESES!G$44*SUMIFS('BALANCE 2024'!$H:$H,'BALANCE 2024'!$A:$A,A56)/HYPOTHESES!$C$44),IF(C56="RH",IF(HYPOTHESES!$C$45=0,0,HYPOTHESES!G$45*SUMIFS('BALANCE 2024'!$H:$H,'BALANCE 2024'!$A:$A,A56)/HYPOTHESES!$C$45),IF(C56="RI",IF(HYPOTHESES!$C$46=0,0,HYPOTHESES!G$46*SUMIFS('BALANCE 2024'!$H:$H,'BALANCE 2024'!$A:$A,A56)/HYPOTHESES!$C$46),IF(C56="RJ",IF(HYPOTHESES!$C$47=0,0,HYPOTHESES!G$47*SUMIFS('BALANCE 2024'!$H:$H,'BALANCE 2024'!$A:$A,A56)/HYPOTHESES!$C$47),IF(C56="RK",IF(HYPOTHESES!$C$48=0,0,HYPOTHESES!G$48*SUMIFS('BALANCE 2024'!$H:$H,'BALANCE 2024'!$A:$A,A56)/HYPOTHESES!$C$48),0)))))),MAX(0,D56-E56)),0)</f>
        <v>1548961</v>
      </c>
      <c r="I56" s="42" t="n">
        <v>0</v>
      </c>
      <c r="J56" s="42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7" customFormat="false" ht="15" hidden="false" customHeight="false" outlineLevel="0" collapsed="false">
      <c r="A57" s="30" t="n">
        <v>605100</v>
      </c>
      <c r="B57" s="12" t="s">
        <v>308</v>
      </c>
      <c r="C57" s="13" t="s">
        <v>307</v>
      </c>
      <c r="D57" s="15" t="n">
        <f aca="false">IF(LEFT(A57,1)&gt;="6",0,SUMIFS('BALANCE 2027'!$H:$H,'BALANCE 2027'!$A:$A,A57))</f>
        <v>0</v>
      </c>
      <c r="E57" s="15" t="n">
        <f aca="false">IF(LEFT(A57,1)&gt;="6",0,SUMIFS('BALANCE 2027'!$I:$I,'BALANCE 2027'!$A:$A,A57))</f>
        <v>0</v>
      </c>
      <c r="F57" s="20" t="n">
        <f aca="false">MAX(0,(H57-I57)-(D57-E57))</f>
        <v>154322</v>
      </c>
      <c r="G57" s="20" t="n">
        <f aca="false">MAX(0,(D57-E57)-(H57-I57))</f>
        <v>0</v>
      </c>
      <c r="H57" s="15" t="n">
        <f aca="false">ROUND(IF(LEFT(A57,1)&gt;="6",IF(C57="RE",IF(HYPOTHESES!$C$43=0,0,HYPOTHESES!G$43*SUMIFS('BALANCE 2024'!$H:$H,'BALANCE 2024'!$A:$A,A57)/HYPOTHESES!$C$43),IF(C57="RG",IF(HYPOTHESES!$C$44=0,0,HYPOTHESES!G$44*SUMIFS('BALANCE 2024'!$H:$H,'BALANCE 2024'!$A:$A,A57)/HYPOTHESES!$C$44),IF(C57="RH",IF(HYPOTHESES!$C$45=0,0,HYPOTHESES!G$45*SUMIFS('BALANCE 2024'!$H:$H,'BALANCE 2024'!$A:$A,A57)/HYPOTHESES!$C$45),IF(C57="RI",IF(HYPOTHESES!$C$46=0,0,HYPOTHESES!G$46*SUMIFS('BALANCE 2024'!$H:$H,'BALANCE 2024'!$A:$A,A57)/HYPOTHESES!$C$46),IF(C57="RJ",IF(HYPOTHESES!$C$47=0,0,HYPOTHESES!G$47*SUMIFS('BALANCE 2024'!$H:$H,'BALANCE 2024'!$A:$A,A57)/HYPOTHESES!$C$47),IF(C57="RK",IF(HYPOTHESES!$C$48=0,0,HYPOTHESES!G$48*SUMIFS('BALANCE 2024'!$H:$H,'BALANCE 2024'!$A:$A,A57)/HYPOTHESES!$C$48),0)))))),MAX(0,D57-E57)),0)</f>
        <v>154322</v>
      </c>
      <c r="I57" s="20" t="n">
        <v>0</v>
      </c>
      <c r="J5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8" customFormat="false" ht="15" hidden="false" customHeight="false" outlineLevel="0" collapsed="false">
      <c r="A58" s="30" t="n">
        <v>605200</v>
      </c>
      <c r="B58" s="12" t="s">
        <v>309</v>
      </c>
      <c r="C58" s="13" t="s">
        <v>307</v>
      </c>
      <c r="D58" s="15" t="n">
        <f aca="false">IF(LEFT(A58,1)&gt;="6",0,SUMIFS('BALANCE 2027'!$H:$H,'BALANCE 2027'!$A:$A,A58))</f>
        <v>0</v>
      </c>
      <c r="E58" s="15" t="n">
        <f aca="false">IF(LEFT(A58,1)&gt;="6",0,SUMIFS('BALANCE 2027'!$I:$I,'BALANCE 2027'!$A:$A,A58))</f>
        <v>0</v>
      </c>
      <c r="F58" s="20" t="n">
        <f aca="false">MAX(0,(H58-I58)-(D58-E58))</f>
        <v>49503138</v>
      </c>
      <c r="G58" s="20" t="n">
        <f aca="false">MAX(0,(D58-E58)-(H58-I58))</f>
        <v>0</v>
      </c>
      <c r="H58" s="15" t="n">
        <f aca="false">ROUND(IF(LEFT(A58,1)&gt;="6",IF(C58="RE",IF(HYPOTHESES!$C$43=0,0,HYPOTHESES!G$43*SUMIFS('BALANCE 2024'!$H:$H,'BALANCE 2024'!$A:$A,A58)/HYPOTHESES!$C$43),IF(C58="RG",IF(HYPOTHESES!$C$44=0,0,HYPOTHESES!G$44*SUMIFS('BALANCE 2024'!$H:$H,'BALANCE 2024'!$A:$A,A58)/HYPOTHESES!$C$44),IF(C58="RH",IF(HYPOTHESES!$C$45=0,0,HYPOTHESES!G$45*SUMIFS('BALANCE 2024'!$H:$H,'BALANCE 2024'!$A:$A,A58)/HYPOTHESES!$C$45),IF(C58="RI",IF(HYPOTHESES!$C$46=0,0,HYPOTHESES!G$46*SUMIFS('BALANCE 2024'!$H:$H,'BALANCE 2024'!$A:$A,A58)/HYPOTHESES!$C$46),IF(C58="RJ",IF(HYPOTHESES!$C$47=0,0,HYPOTHESES!G$47*SUMIFS('BALANCE 2024'!$H:$H,'BALANCE 2024'!$A:$A,A58)/HYPOTHESES!$C$47),IF(C58="RK",IF(HYPOTHESES!$C$48=0,0,HYPOTHESES!G$48*SUMIFS('BALANCE 2024'!$H:$H,'BALANCE 2024'!$A:$A,A58)/HYPOTHESES!$C$48),0)))))),MAX(0,D58-E58)),0)</f>
        <v>49503138</v>
      </c>
      <c r="I58" s="20" t="n">
        <v>0</v>
      </c>
      <c r="J5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59" customFormat="false" ht="15" hidden="false" customHeight="false" outlineLevel="0" collapsed="false">
      <c r="A59" s="30" t="n">
        <v>605300</v>
      </c>
      <c r="B59" s="12" t="s">
        <v>310</v>
      </c>
      <c r="C59" s="13" t="s">
        <v>307</v>
      </c>
      <c r="D59" s="15" t="n">
        <f aca="false">IF(LEFT(A59,1)&gt;="6",0,SUMIFS('BALANCE 2027'!$H:$H,'BALANCE 2027'!$A:$A,A59))</f>
        <v>0</v>
      </c>
      <c r="E59" s="15" t="n">
        <f aca="false">IF(LEFT(A59,1)&gt;="6",0,SUMIFS('BALANCE 2027'!$I:$I,'BALANCE 2027'!$A:$A,A59))</f>
        <v>0</v>
      </c>
      <c r="F59" s="20" t="n">
        <f aca="false">MAX(0,(H59-I59)-(D59-E59))</f>
        <v>24576109</v>
      </c>
      <c r="G59" s="20" t="n">
        <f aca="false">MAX(0,(D59-E59)-(H59-I59))</f>
        <v>0</v>
      </c>
      <c r="H59" s="15" t="n">
        <f aca="false">ROUND(IF(LEFT(A59,1)&gt;="6",IF(C59="RE",IF(HYPOTHESES!$C$43=0,0,HYPOTHESES!G$43*SUMIFS('BALANCE 2024'!$H:$H,'BALANCE 2024'!$A:$A,A59)/HYPOTHESES!$C$43),IF(C59="RG",IF(HYPOTHESES!$C$44=0,0,HYPOTHESES!G$44*SUMIFS('BALANCE 2024'!$H:$H,'BALANCE 2024'!$A:$A,A59)/HYPOTHESES!$C$44),IF(C59="RH",IF(HYPOTHESES!$C$45=0,0,HYPOTHESES!G$45*SUMIFS('BALANCE 2024'!$H:$H,'BALANCE 2024'!$A:$A,A59)/HYPOTHESES!$C$45),IF(C59="RI",IF(HYPOTHESES!$C$46=0,0,HYPOTHESES!G$46*SUMIFS('BALANCE 2024'!$H:$H,'BALANCE 2024'!$A:$A,A59)/HYPOTHESES!$C$46),IF(C59="RJ",IF(HYPOTHESES!$C$47=0,0,HYPOTHESES!G$47*SUMIFS('BALANCE 2024'!$H:$H,'BALANCE 2024'!$A:$A,A59)/HYPOTHESES!$C$47),IF(C59="RK",IF(HYPOTHESES!$C$48=0,0,HYPOTHESES!G$48*SUMIFS('BALANCE 2024'!$H:$H,'BALANCE 2024'!$A:$A,A59)/HYPOTHESES!$C$48),0)))))),MAX(0,D59-E59)),0)</f>
        <v>24576109</v>
      </c>
      <c r="I59" s="20" t="n">
        <v>0</v>
      </c>
      <c r="J5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0" customFormat="false" ht="15" hidden="false" customHeight="false" outlineLevel="0" collapsed="false">
      <c r="A60" s="30" t="n">
        <v>605500</v>
      </c>
      <c r="B60" s="12" t="s">
        <v>311</v>
      </c>
      <c r="C60" s="13" t="s">
        <v>307</v>
      </c>
      <c r="D60" s="15" t="n">
        <f aca="false">IF(LEFT(A60,1)&gt;="6",0,SUMIFS('BALANCE 2027'!$H:$H,'BALANCE 2027'!$A:$A,A60))</f>
        <v>0</v>
      </c>
      <c r="E60" s="15" t="n">
        <f aca="false">IF(LEFT(A60,1)&gt;="6",0,SUMIFS('BALANCE 2027'!$I:$I,'BALANCE 2027'!$A:$A,A60))</f>
        <v>0</v>
      </c>
      <c r="F60" s="20" t="n">
        <f aca="false">MAX(0,(H60-I60)-(D60-E60))</f>
        <v>15947499</v>
      </c>
      <c r="G60" s="20" t="n">
        <f aca="false">MAX(0,(D60-E60)-(H60-I60))</f>
        <v>0</v>
      </c>
      <c r="H60" s="15" t="n">
        <f aca="false">ROUND(IF(LEFT(A60,1)&gt;="6",IF(C60="RE",IF(HYPOTHESES!$C$43=0,0,HYPOTHESES!G$43*SUMIFS('BALANCE 2024'!$H:$H,'BALANCE 2024'!$A:$A,A60)/HYPOTHESES!$C$43),IF(C60="RG",IF(HYPOTHESES!$C$44=0,0,HYPOTHESES!G$44*SUMIFS('BALANCE 2024'!$H:$H,'BALANCE 2024'!$A:$A,A60)/HYPOTHESES!$C$44),IF(C60="RH",IF(HYPOTHESES!$C$45=0,0,HYPOTHESES!G$45*SUMIFS('BALANCE 2024'!$H:$H,'BALANCE 2024'!$A:$A,A60)/HYPOTHESES!$C$45),IF(C60="RI",IF(HYPOTHESES!$C$46=0,0,HYPOTHESES!G$46*SUMIFS('BALANCE 2024'!$H:$H,'BALANCE 2024'!$A:$A,A60)/HYPOTHESES!$C$46),IF(C60="RJ",IF(HYPOTHESES!$C$47=0,0,HYPOTHESES!G$47*SUMIFS('BALANCE 2024'!$H:$H,'BALANCE 2024'!$A:$A,A60)/HYPOTHESES!$C$47),IF(C60="RK",IF(HYPOTHESES!$C$48=0,0,HYPOTHESES!G$48*SUMIFS('BALANCE 2024'!$H:$H,'BALANCE 2024'!$A:$A,A60)/HYPOTHESES!$C$48),0)))))),MAX(0,D60-E60)),0)</f>
        <v>15947499</v>
      </c>
      <c r="I60" s="20" t="n">
        <v>0</v>
      </c>
      <c r="J6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1" customFormat="false" ht="15" hidden="false" customHeight="false" outlineLevel="0" collapsed="false">
      <c r="A61" s="30" t="n">
        <v>605600</v>
      </c>
      <c r="B61" s="12" t="s">
        <v>312</v>
      </c>
      <c r="C61" s="13" t="s">
        <v>307</v>
      </c>
      <c r="D61" s="15" t="n">
        <f aca="false">IF(LEFT(A61,1)&gt;="6",0,SUMIFS('BALANCE 2027'!$H:$H,'BALANCE 2027'!$A:$A,A61))</f>
        <v>0</v>
      </c>
      <c r="E61" s="15" t="n">
        <f aca="false">IF(LEFT(A61,1)&gt;="6",0,SUMIFS('BALANCE 2027'!$I:$I,'BALANCE 2027'!$A:$A,A61))</f>
        <v>0</v>
      </c>
      <c r="F61" s="20" t="n">
        <f aca="false">MAX(0,(H61-I61)-(D61-E61))</f>
        <v>4573090</v>
      </c>
      <c r="G61" s="20" t="n">
        <f aca="false">MAX(0,(D61-E61)-(H61-I61))</f>
        <v>0</v>
      </c>
      <c r="H61" s="15" t="n">
        <f aca="false">ROUND(IF(LEFT(A61,1)&gt;="6",IF(C61="RE",IF(HYPOTHESES!$C$43=0,0,HYPOTHESES!G$43*SUMIFS('BALANCE 2024'!$H:$H,'BALANCE 2024'!$A:$A,A61)/HYPOTHESES!$C$43),IF(C61="RG",IF(HYPOTHESES!$C$44=0,0,HYPOTHESES!G$44*SUMIFS('BALANCE 2024'!$H:$H,'BALANCE 2024'!$A:$A,A61)/HYPOTHESES!$C$44),IF(C61="RH",IF(HYPOTHESES!$C$45=0,0,HYPOTHESES!G$45*SUMIFS('BALANCE 2024'!$H:$H,'BALANCE 2024'!$A:$A,A61)/HYPOTHESES!$C$45),IF(C61="RI",IF(HYPOTHESES!$C$46=0,0,HYPOTHESES!G$46*SUMIFS('BALANCE 2024'!$H:$H,'BALANCE 2024'!$A:$A,A61)/HYPOTHESES!$C$46),IF(C61="RJ",IF(HYPOTHESES!$C$47=0,0,HYPOTHESES!G$47*SUMIFS('BALANCE 2024'!$H:$H,'BALANCE 2024'!$A:$A,A61)/HYPOTHESES!$C$47),IF(C61="RK",IF(HYPOTHESES!$C$48=0,0,HYPOTHESES!G$48*SUMIFS('BALANCE 2024'!$H:$H,'BALANCE 2024'!$A:$A,A61)/HYPOTHESES!$C$48),0)))))),MAX(0,D61-E61)),0)</f>
        <v>4573090</v>
      </c>
      <c r="I61" s="20" t="n">
        <v>0</v>
      </c>
      <c r="J6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2" customFormat="false" ht="15" hidden="false" customHeight="false" outlineLevel="0" collapsed="false">
      <c r="A62" s="30" t="n">
        <v>605700</v>
      </c>
      <c r="B62" s="12" t="s">
        <v>313</v>
      </c>
      <c r="C62" s="13" t="s">
        <v>307</v>
      </c>
      <c r="D62" s="15" t="n">
        <f aca="false">IF(LEFT(A62,1)&gt;="6",0,SUMIFS('BALANCE 2027'!$H:$H,'BALANCE 2027'!$A:$A,A62))</f>
        <v>0</v>
      </c>
      <c r="E62" s="15" t="n">
        <f aca="false">IF(LEFT(A62,1)&gt;="6",0,SUMIFS('BALANCE 2027'!$I:$I,'BALANCE 2027'!$A:$A,A62))</f>
        <v>0</v>
      </c>
      <c r="F62" s="20" t="n">
        <f aca="false">MAX(0,(H62-I62)-(D62-E62))</f>
        <v>99300543</v>
      </c>
      <c r="G62" s="20" t="n">
        <f aca="false">MAX(0,(D62-E62)-(H62-I62))</f>
        <v>0</v>
      </c>
      <c r="H62" s="15" t="n">
        <f aca="false">ROUND(IF(LEFT(A62,1)&gt;="6",IF(C62="RE",IF(HYPOTHESES!$C$43=0,0,HYPOTHESES!G$43*SUMIFS('BALANCE 2024'!$H:$H,'BALANCE 2024'!$A:$A,A62)/HYPOTHESES!$C$43),IF(C62="RG",IF(HYPOTHESES!$C$44=0,0,HYPOTHESES!G$44*SUMIFS('BALANCE 2024'!$H:$H,'BALANCE 2024'!$A:$A,A62)/HYPOTHESES!$C$44),IF(C62="RH",IF(HYPOTHESES!$C$45=0,0,HYPOTHESES!G$45*SUMIFS('BALANCE 2024'!$H:$H,'BALANCE 2024'!$A:$A,A62)/HYPOTHESES!$C$45),IF(C62="RI",IF(HYPOTHESES!$C$46=0,0,HYPOTHESES!G$46*SUMIFS('BALANCE 2024'!$H:$H,'BALANCE 2024'!$A:$A,A62)/HYPOTHESES!$C$46),IF(C62="RJ",IF(HYPOTHESES!$C$47=0,0,HYPOTHESES!G$47*SUMIFS('BALANCE 2024'!$H:$H,'BALANCE 2024'!$A:$A,A62)/HYPOTHESES!$C$47),IF(C62="RK",IF(HYPOTHESES!$C$48=0,0,HYPOTHESES!G$48*SUMIFS('BALANCE 2024'!$H:$H,'BALANCE 2024'!$A:$A,A62)/HYPOTHESES!$C$48),0)))))),MAX(0,D62-E62)),0)</f>
        <v>99300543</v>
      </c>
      <c r="I62" s="20" t="n">
        <v>0</v>
      </c>
      <c r="J6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3" customFormat="false" ht="15" hidden="false" customHeight="false" outlineLevel="0" collapsed="false">
      <c r="A63" s="30" t="n">
        <v>605800</v>
      </c>
      <c r="B63" s="12" t="s">
        <v>314</v>
      </c>
      <c r="C63" s="13" t="s">
        <v>307</v>
      </c>
      <c r="D63" s="15" t="n">
        <f aca="false">IF(LEFT(A63,1)&gt;="6",0,SUMIFS('BALANCE 2027'!$H:$H,'BALANCE 2027'!$A:$A,A63))</f>
        <v>0</v>
      </c>
      <c r="E63" s="15" t="n">
        <f aca="false">IF(LEFT(A63,1)&gt;="6",0,SUMIFS('BALANCE 2027'!$I:$I,'BALANCE 2027'!$A:$A,A63))</f>
        <v>0</v>
      </c>
      <c r="F63" s="20" t="n">
        <f aca="false">MAX(0,(H63-I63)-(D63-E63))</f>
        <v>148950813</v>
      </c>
      <c r="G63" s="20" t="n">
        <f aca="false">MAX(0,(D63-E63)-(H63-I63))</f>
        <v>0</v>
      </c>
      <c r="H63" s="15" t="n">
        <f aca="false">ROUND(IF(HYPOTHESES!$C$43=0,0,HYPOTHESES!G$43-SUMPRODUCT((T_BAL_2028[Poste]="RE")*(T_BAL_2028[Compte]&lt;&gt;605800)*ROUND(HYPOTHESES!G$43*SUMIFS('BALANCE 2024'!$H:$H,'BALANCE 2024'!$A:$A,T_BAL_2028[Compte])/HYPOTHESES!$C$43,0))),0)</f>
        <v>148950813</v>
      </c>
      <c r="I63" s="20" t="n">
        <v>0</v>
      </c>
      <c r="J6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4" customFormat="false" ht="15" hidden="false" customHeight="false" outlineLevel="0" collapsed="false">
      <c r="A64" s="30" t="n">
        <v>616000</v>
      </c>
      <c r="B64" s="12" t="s">
        <v>315</v>
      </c>
      <c r="C64" s="13" t="s">
        <v>316</v>
      </c>
      <c r="D64" s="15" t="n">
        <f aca="false">IF(LEFT(A64,1)&gt;="6",0,SUMIFS('BALANCE 2027'!$H:$H,'BALANCE 2027'!$A:$A,A64))</f>
        <v>0</v>
      </c>
      <c r="E64" s="15" t="n">
        <f aca="false">IF(LEFT(A64,1)&gt;="6",0,SUMIFS('BALANCE 2027'!$I:$I,'BALANCE 2027'!$A:$A,A64))</f>
        <v>0</v>
      </c>
      <c r="F64" s="20" t="n">
        <f aca="false">MAX(0,(H64-I64)-(D64-E64))</f>
        <v>115264</v>
      </c>
      <c r="G64" s="20" t="n">
        <f aca="false">MAX(0,(D64-E64)-(H64-I64))</f>
        <v>0</v>
      </c>
      <c r="H64" s="15" t="n">
        <f aca="false">ROUND(IF(LEFT(A64,1)&gt;="6",IF(C64="RE",IF(HYPOTHESES!$C$43=0,0,HYPOTHESES!G$43*SUMIFS('BALANCE 2024'!$H:$H,'BALANCE 2024'!$A:$A,A64)/HYPOTHESES!$C$43),IF(C64="RG",IF(HYPOTHESES!$C$44=0,0,HYPOTHESES!G$44*SUMIFS('BALANCE 2024'!$H:$H,'BALANCE 2024'!$A:$A,A64)/HYPOTHESES!$C$44),IF(C64="RH",IF(HYPOTHESES!$C$45=0,0,HYPOTHESES!G$45*SUMIFS('BALANCE 2024'!$H:$H,'BALANCE 2024'!$A:$A,A64)/HYPOTHESES!$C$45),IF(C64="RI",IF(HYPOTHESES!$C$46=0,0,HYPOTHESES!G$46*SUMIFS('BALANCE 2024'!$H:$H,'BALANCE 2024'!$A:$A,A64)/HYPOTHESES!$C$46),IF(C64="RJ",IF(HYPOTHESES!$C$47=0,0,HYPOTHESES!G$47*SUMIFS('BALANCE 2024'!$H:$H,'BALANCE 2024'!$A:$A,A64)/HYPOTHESES!$C$47),IF(C64="RK",IF(HYPOTHESES!$C$48=0,0,HYPOTHESES!G$48*SUMIFS('BALANCE 2024'!$H:$H,'BALANCE 2024'!$A:$A,A64)/HYPOTHESES!$C$48),0)))))),MAX(0,D64-E64)),0)</f>
        <v>115264</v>
      </c>
      <c r="I64" s="20" t="n">
        <v>0</v>
      </c>
      <c r="J6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5" customFormat="false" ht="15" hidden="false" customHeight="false" outlineLevel="0" collapsed="false">
      <c r="A65" s="30" t="n">
        <v>618200</v>
      </c>
      <c r="B65" s="12" t="s">
        <v>317</v>
      </c>
      <c r="C65" s="13" t="s">
        <v>316</v>
      </c>
      <c r="D65" s="15" t="n">
        <f aca="false">IF(LEFT(A65,1)&gt;="6",0,SUMIFS('BALANCE 2027'!$H:$H,'BALANCE 2027'!$A:$A,A65))</f>
        <v>0</v>
      </c>
      <c r="E65" s="15" t="n">
        <f aca="false">IF(LEFT(A65,1)&gt;="6",0,SUMIFS('BALANCE 2027'!$I:$I,'BALANCE 2027'!$A:$A,A65))</f>
        <v>0</v>
      </c>
      <c r="F65" s="20" t="n">
        <f aca="false">MAX(0,(H65-I65)-(D65-E65))</f>
        <v>1923353</v>
      </c>
      <c r="G65" s="20" t="n">
        <f aca="false">MAX(0,(D65-E65)-(H65-I65))</f>
        <v>0</v>
      </c>
      <c r="H65" s="15" t="n">
        <f aca="false">ROUND(IF(LEFT(A65,1)&gt;="6",IF(C65="RE",IF(HYPOTHESES!$C$43=0,0,HYPOTHESES!G$43*SUMIFS('BALANCE 2024'!$H:$H,'BALANCE 2024'!$A:$A,A65)/HYPOTHESES!$C$43),IF(C65="RG",IF(HYPOTHESES!$C$44=0,0,HYPOTHESES!G$44*SUMIFS('BALANCE 2024'!$H:$H,'BALANCE 2024'!$A:$A,A65)/HYPOTHESES!$C$44),IF(C65="RH",IF(HYPOTHESES!$C$45=0,0,HYPOTHESES!G$45*SUMIFS('BALANCE 2024'!$H:$H,'BALANCE 2024'!$A:$A,A65)/HYPOTHESES!$C$45),IF(C65="RI",IF(HYPOTHESES!$C$46=0,0,HYPOTHESES!G$46*SUMIFS('BALANCE 2024'!$H:$H,'BALANCE 2024'!$A:$A,A65)/HYPOTHESES!$C$46),IF(C65="RJ",IF(HYPOTHESES!$C$47=0,0,HYPOTHESES!G$47*SUMIFS('BALANCE 2024'!$H:$H,'BALANCE 2024'!$A:$A,A65)/HYPOTHESES!$C$47),IF(C65="RK",IF(HYPOTHESES!$C$48=0,0,HYPOTHESES!G$48*SUMIFS('BALANCE 2024'!$H:$H,'BALANCE 2024'!$A:$A,A65)/HYPOTHESES!$C$48),0)))))),MAX(0,D65-E65)),0)</f>
        <v>1923353</v>
      </c>
      <c r="I65" s="20" t="n">
        <v>0</v>
      </c>
      <c r="J6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6" customFormat="false" ht="15" hidden="false" customHeight="false" outlineLevel="0" collapsed="false">
      <c r="A66" s="30" t="n">
        <v>618300</v>
      </c>
      <c r="B66" s="12" t="s">
        <v>318</v>
      </c>
      <c r="C66" s="13" t="s">
        <v>316</v>
      </c>
      <c r="D66" s="15" t="n">
        <f aca="false">IF(LEFT(A66,1)&gt;="6",0,SUMIFS('BALANCE 2027'!$H:$H,'BALANCE 2027'!$A:$A,A66))</f>
        <v>0</v>
      </c>
      <c r="E66" s="15" t="n">
        <f aca="false">IF(LEFT(A66,1)&gt;="6",0,SUMIFS('BALANCE 2027'!$I:$I,'BALANCE 2027'!$A:$A,A66))</f>
        <v>0</v>
      </c>
      <c r="F66" s="20" t="n">
        <f aca="false">MAX(0,(H66-I66)-(D66-E66))</f>
        <v>2650380</v>
      </c>
      <c r="G66" s="20" t="n">
        <f aca="false">MAX(0,(D66-E66)-(H66-I66))</f>
        <v>0</v>
      </c>
      <c r="H66" s="15" t="n">
        <f aca="false">ROUND(IF(HYPOTHESES!$C$44=0,0,HYPOTHESES!G$44-SUMPRODUCT((T_BAL_2028[Poste]="RG")*(T_BAL_2028[Compte]&lt;&gt;618300)*ROUND(HYPOTHESES!G$44*SUMIFS('BALANCE 2024'!$H:$H,'BALANCE 2024'!$A:$A,T_BAL_2028[Compte])/HYPOTHESES!$C$44,0))),0)</f>
        <v>2650380</v>
      </c>
      <c r="I66" s="20" t="n">
        <v>0</v>
      </c>
      <c r="J6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7" customFormat="false" ht="15" hidden="false" customHeight="false" outlineLevel="0" collapsed="false">
      <c r="A67" s="30" t="n">
        <v>622200</v>
      </c>
      <c r="B67" s="12" t="s">
        <v>319</v>
      </c>
      <c r="C67" s="13" t="s">
        <v>320</v>
      </c>
      <c r="D67" s="15" t="n">
        <f aca="false">IF(LEFT(A67,1)&gt;="6",0,SUMIFS('BALANCE 2027'!$H:$H,'BALANCE 2027'!$A:$A,A67))</f>
        <v>0</v>
      </c>
      <c r="E67" s="15" t="n">
        <f aca="false">IF(LEFT(A67,1)&gt;="6",0,SUMIFS('BALANCE 2027'!$I:$I,'BALANCE 2027'!$A:$A,A67))</f>
        <v>0</v>
      </c>
      <c r="F67" s="20" t="n">
        <f aca="false">MAX(0,(H67-I67)-(D67-E67))</f>
        <v>20604677</v>
      </c>
      <c r="G67" s="20" t="n">
        <f aca="false">MAX(0,(D67-E67)-(H67-I67))</f>
        <v>0</v>
      </c>
      <c r="H67" s="15" t="n">
        <f aca="false">ROUND(IF(LEFT(A67,1)&gt;="6",IF(C67="RE",IF(HYPOTHESES!$C$43=0,0,HYPOTHESES!G$43*SUMIFS('BALANCE 2024'!$H:$H,'BALANCE 2024'!$A:$A,A67)/HYPOTHESES!$C$43),IF(C67="RG",IF(HYPOTHESES!$C$44=0,0,HYPOTHESES!G$44*SUMIFS('BALANCE 2024'!$H:$H,'BALANCE 2024'!$A:$A,A67)/HYPOTHESES!$C$44),IF(C67="RH",IF(HYPOTHESES!$C$45=0,0,HYPOTHESES!G$45*SUMIFS('BALANCE 2024'!$H:$H,'BALANCE 2024'!$A:$A,A67)/HYPOTHESES!$C$45),IF(C67="RI",IF(HYPOTHESES!$C$46=0,0,HYPOTHESES!G$46*SUMIFS('BALANCE 2024'!$H:$H,'BALANCE 2024'!$A:$A,A67)/HYPOTHESES!$C$46),IF(C67="RJ",IF(HYPOTHESES!$C$47=0,0,HYPOTHESES!G$47*SUMIFS('BALANCE 2024'!$H:$H,'BALANCE 2024'!$A:$A,A67)/HYPOTHESES!$C$47),IF(C67="RK",IF(HYPOTHESES!$C$48=0,0,HYPOTHESES!G$48*SUMIFS('BALANCE 2024'!$H:$H,'BALANCE 2024'!$A:$A,A67)/HYPOTHESES!$C$48),0)))))),MAX(0,D67-E67)),0)</f>
        <v>20604677</v>
      </c>
      <c r="I67" s="20" t="n">
        <v>0</v>
      </c>
      <c r="J6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8" customFormat="false" ht="15" hidden="false" customHeight="false" outlineLevel="0" collapsed="false">
      <c r="A68" s="30" t="n">
        <v>624200</v>
      </c>
      <c r="B68" s="12" t="s">
        <v>321</v>
      </c>
      <c r="C68" s="13" t="s">
        <v>320</v>
      </c>
      <c r="D68" s="15" t="n">
        <f aca="false">IF(LEFT(A68,1)&gt;="6",0,SUMIFS('BALANCE 2027'!$H:$H,'BALANCE 2027'!$A:$A,A68))</f>
        <v>0</v>
      </c>
      <c r="E68" s="15" t="n">
        <f aca="false">IF(LEFT(A68,1)&gt;="6",0,SUMIFS('BALANCE 2027'!$I:$I,'BALANCE 2027'!$A:$A,A68))</f>
        <v>0</v>
      </c>
      <c r="F68" s="20" t="n">
        <f aca="false">MAX(0,(H68-I68)-(D68-E68))</f>
        <v>42365360</v>
      </c>
      <c r="G68" s="20" t="n">
        <f aca="false">MAX(0,(D68-E68)-(H68-I68))</f>
        <v>0</v>
      </c>
      <c r="H68" s="15" t="n">
        <f aca="false">ROUND(IF(HYPOTHESES!$C$45=0,0,HYPOTHESES!G$45-SUMPRODUCT((T_BAL_2028[Poste]="RH")*(T_BAL_2028[Compte]&lt;&gt;624200)*ROUND(HYPOTHESES!G$45*SUMIFS('BALANCE 2024'!$H:$H,'BALANCE 2024'!$A:$A,T_BAL_2028[Compte])/HYPOTHESES!$C$45,0))),0)</f>
        <v>42365360</v>
      </c>
      <c r="I68" s="20" t="n">
        <v>0</v>
      </c>
      <c r="J6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69" customFormat="false" ht="15" hidden="false" customHeight="false" outlineLevel="0" collapsed="false">
      <c r="A69" s="30" t="n">
        <v>625800</v>
      </c>
      <c r="B69" s="12" t="s">
        <v>322</v>
      </c>
      <c r="C69" s="13" t="s">
        <v>320</v>
      </c>
      <c r="D69" s="15" t="n">
        <f aca="false">IF(LEFT(A69,1)&gt;="6",0,SUMIFS('BALANCE 2027'!$H:$H,'BALANCE 2027'!$A:$A,A69))</f>
        <v>0</v>
      </c>
      <c r="E69" s="15" t="n">
        <f aca="false">IF(LEFT(A69,1)&gt;="6",0,SUMIFS('BALANCE 2027'!$I:$I,'BALANCE 2027'!$A:$A,A69))</f>
        <v>0</v>
      </c>
      <c r="F69" s="20" t="n">
        <f aca="false">MAX(0,(H69-I69)-(D69-E69))</f>
        <v>5684868</v>
      </c>
      <c r="G69" s="20" t="n">
        <f aca="false">MAX(0,(D69-E69)-(H69-I69))</f>
        <v>0</v>
      </c>
      <c r="H69" s="15" t="n">
        <f aca="false">ROUND(IF(LEFT(A69,1)&gt;="6",IF(C69="RE",IF(HYPOTHESES!$C$43=0,0,HYPOTHESES!G$43*SUMIFS('BALANCE 2024'!$H:$H,'BALANCE 2024'!$A:$A,A69)/HYPOTHESES!$C$43),IF(C69="RG",IF(HYPOTHESES!$C$44=0,0,HYPOTHESES!G$44*SUMIFS('BALANCE 2024'!$H:$H,'BALANCE 2024'!$A:$A,A69)/HYPOTHESES!$C$44),IF(C69="RH",IF(HYPOTHESES!$C$45=0,0,HYPOTHESES!G$45*SUMIFS('BALANCE 2024'!$H:$H,'BALANCE 2024'!$A:$A,A69)/HYPOTHESES!$C$45),IF(C69="RI",IF(HYPOTHESES!$C$46=0,0,HYPOTHESES!G$46*SUMIFS('BALANCE 2024'!$H:$H,'BALANCE 2024'!$A:$A,A69)/HYPOTHESES!$C$46),IF(C69="RJ",IF(HYPOTHESES!$C$47=0,0,HYPOTHESES!G$47*SUMIFS('BALANCE 2024'!$H:$H,'BALANCE 2024'!$A:$A,A69)/HYPOTHESES!$C$47),IF(C69="RK",IF(HYPOTHESES!$C$48=0,0,HYPOTHESES!G$48*SUMIFS('BALANCE 2024'!$H:$H,'BALANCE 2024'!$A:$A,A69)/HYPOTHESES!$C$48),0)))))),MAX(0,D69-E69)),0)</f>
        <v>5684868</v>
      </c>
      <c r="I69" s="20" t="n">
        <v>0</v>
      </c>
      <c r="J6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0" customFormat="false" ht="15" hidden="false" customHeight="false" outlineLevel="0" collapsed="false">
      <c r="A70" s="30" t="n">
        <v>626600</v>
      </c>
      <c r="B70" s="12" t="s">
        <v>323</v>
      </c>
      <c r="C70" s="13" t="s">
        <v>320</v>
      </c>
      <c r="D70" s="15" t="n">
        <f aca="false">IF(LEFT(A70,1)&gt;="6",0,SUMIFS('BALANCE 2027'!$H:$H,'BALANCE 2027'!$A:$A,A70))</f>
        <v>0</v>
      </c>
      <c r="E70" s="15" t="n">
        <f aca="false">IF(LEFT(A70,1)&gt;="6",0,SUMIFS('BALANCE 2027'!$I:$I,'BALANCE 2027'!$A:$A,A70))</f>
        <v>0</v>
      </c>
      <c r="F70" s="20" t="n">
        <f aca="false">MAX(0,(H70-I70)-(D70-E70))</f>
        <v>39636</v>
      </c>
      <c r="G70" s="20" t="n">
        <f aca="false">MAX(0,(D70-E70)-(H70-I70))</f>
        <v>0</v>
      </c>
      <c r="H70" s="15" t="n">
        <f aca="false">ROUND(IF(LEFT(A70,1)&gt;="6",IF(C70="RE",IF(HYPOTHESES!$C$43=0,0,HYPOTHESES!G$43*SUMIFS('BALANCE 2024'!$H:$H,'BALANCE 2024'!$A:$A,A70)/HYPOTHESES!$C$43),IF(C70="RG",IF(HYPOTHESES!$C$44=0,0,HYPOTHESES!G$44*SUMIFS('BALANCE 2024'!$H:$H,'BALANCE 2024'!$A:$A,A70)/HYPOTHESES!$C$44),IF(C70="RH",IF(HYPOTHESES!$C$45=0,0,HYPOTHESES!G$45*SUMIFS('BALANCE 2024'!$H:$H,'BALANCE 2024'!$A:$A,A70)/HYPOTHESES!$C$45),IF(C70="RI",IF(HYPOTHESES!$C$46=0,0,HYPOTHESES!G$46*SUMIFS('BALANCE 2024'!$H:$H,'BALANCE 2024'!$A:$A,A70)/HYPOTHESES!$C$46),IF(C70="RJ",IF(HYPOTHESES!$C$47=0,0,HYPOTHESES!G$47*SUMIFS('BALANCE 2024'!$H:$H,'BALANCE 2024'!$A:$A,A70)/HYPOTHESES!$C$47),IF(C70="RK",IF(HYPOTHESES!$C$48=0,0,HYPOTHESES!G$48*SUMIFS('BALANCE 2024'!$H:$H,'BALANCE 2024'!$A:$A,A70)/HYPOTHESES!$C$48),0)))))),MAX(0,D70-E70)),0)</f>
        <v>39636</v>
      </c>
      <c r="I70" s="20" t="n">
        <v>0</v>
      </c>
      <c r="J7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1" customFormat="false" ht="15" hidden="false" customHeight="false" outlineLevel="0" collapsed="false">
      <c r="A71" s="30" t="n">
        <v>627700</v>
      </c>
      <c r="B71" s="12" t="s">
        <v>324</v>
      </c>
      <c r="C71" s="13" t="s">
        <v>320</v>
      </c>
      <c r="D71" s="15" t="n">
        <f aca="false">IF(LEFT(A71,1)&gt;="6",0,SUMIFS('BALANCE 2027'!$H:$H,'BALANCE 2027'!$A:$A,A71))</f>
        <v>0</v>
      </c>
      <c r="E71" s="15" t="n">
        <f aca="false">IF(LEFT(A71,1)&gt;="6",0,SUMIFS('BALANCE 2027'!$I:$I,'BALANCE 2027'!$A:$A,A71))</f>
        <v>0</v>
      </c>
      <c r="F71" s="20" t="n">
        <f aca="false">MAX(0,(H71-I71)-(D71-E71))</f>
        <v>72460</v>
      </c>
      <c r="G71" s="20" t="n">
        <f aca="false">MAX(0,(D71-E71)-(H71-I71))</f>
        <v>0</v>
      </c>
      <c r="H71" s="15" t="n">
        <f aca="false">ROUND(IF(LEFT(A71,1)&gt;="6",IF(C71="RE",IF(HYPOTHESES!$C$43=0,0,HYPOTHESES!G$43*SUMIFS('BALANCE 2024'!$H:$H,'BALANCE 2024'!$A:$A,A71)/HYPOTHESES!$C$43),IF(C71="RG",IF(HYPOTHESES!$C$44=0,0,HYPOTHESES!G$44*SUMIFS('BALANCE 2024'!$H:$H,'BALANCE 2024'!$A:$A,A71)/HYPOTHESES!$C$44),IF(C71="RH",IF(HYPOTHESES!$C$45=0,0,HYPOTHESES!G$45*SUMIFS('BALANCE 2024'!$H:$H,'BALANCE 2024'!$A:$A,A71)/HYPOTHESES!$C$45),IF(C71="RI",IF(HYPOTHESES!$C$46=0,0,HYPOTHESES!G$46*SUMIFS('BALANCE 2024'!$H:$H,'BALANCE 2024'!$A:$A,A71)/HYPOTHESES!$C$46),IF(C71="RJ",IF(HYPOTHESES!$C$47=0,0,HYPOTHESES!G$47*SUMIFS('BALANCE 2024'!$H:$H,'BALANCE 2024'!$A:$A,A71)/HYPOTHESES!$C$47),IF(C71="RK",IF(HYPOTHESES!$C$48=0,0,HYPOTHESES!G$48*SUMIFS('BALANCE 2024'!$H:$H,'BALANCE 2024'!$A:$A,A71)/HYPOTHESES!$C$48),0)))))),MAX(0,D71-E71)),0)</f>
        <v>72460</v>
      </c>
      <c r="I71" s="20" t="n">
        <v>0</v>
      </c>
      <c r="J7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2" customFormat="false" ht="15" hidden="false" customHeight="false" outlineLevel="0" collapsed="false">
      <c r="A72" s="30" t="n">
        <v>628800</v>
      </c>
      <c r="B72" s="12" t="s">
        <v>325</v>
      </c>
      <c r="C72" s="13" t="s">
        <v>320</v>
      </c>
      <c r="D72" s="15" t="n">
        <f aca="false">IF(LEFT(A72,1)&gt;="6",0,SUMIFS('BALANCE 2027'!$H:$H,'BALANCE 2027'!$A:$A,A72))</f>
        <v>0</v>
      </c>
      <c r="E72" s="15" t="n">
        <f aca="false">IF(LEFT(A72,1)&gt;="6",0,SUMIFS('BALANCE 2027'!$I:$I,'BALANCE 2027'!$A:$A,A72))</f>
        <v>0</v>
      </c>
      <c r="F72" s="20" t="n">
        <f aca="false">MAX(0,(H72-I72)-(D72-E72))</f>
        <v>983525</v>
      </c>
      <c r="G72" s="20" t="n">
        <f aca="false">MAX(0,(D72-E72)-(H72-I72))</f>
        <v>0</v>
      </c>
      <c r="H72" s="15" t="n">
        <f aca="false">ROUND(IF(LEFT(A72,1)&gt;="6",IF(C72="RE",IF(HYPOTHESES!$C$43=0,0,HYPOTHESES!G$43*SUMIFS('BALANCE 2024'!$H:$H,'BALANCE 2024'!$A:$A,A72)/HYPOTHESES!$C$43),IF(C72="RG",IF(HYPOTHESES!$C$44=0,0,HYPOTHESES!G$44*SUMIFS('BALANCE 2024'!$H:$H,'BALANCE 2024'!$A:$A,A72)/HYPOTHESES!$C$44),IF(C72="RH",IF(HYPOTHESES!$C$45=0,0,HYPOTHESES!G$45*SUMIFS('BALANCE 2024'!$H:$H,'BALANCE 2024'!$A:$A,A72)/HYPOTHESES!$C$45),IF(C72="RI",IF(HYPOTHESES!$C$46=0,0,HYPOTHESES!G$46*SUMIFS('BALANCE 2024'!$H:$H,'BALANCE 2024'!$A:$A,A72)/HYPOTHESES!$C$46),IF(C72="RJ",IF(HYPOTHESES!$C$47=0,0,HYPOTHESES!G$47*SUMIFS('BALANCE 2024'!$H:$H,'BALANCE 2024'!$A:$A,A72)/HYPOTHESES!$C$47),IF(C72="RK",IF(HYPOTHESES!$C$48=0,0,HYPOTHESES!G$48*SUMIFS('BALANCE 2024'!$H:$H,'BALANCE 2024'!$A:$A,A72)/HYPOTHESES!$C$48),0)))))),MAX(0,D72-E72)),0)</f>
        <v>983525</v>
      </c>
      <c r="I72" s="20" t="n">
        <v>0</v>
      </c>
      <c r="J7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3" customFormat="false" ht="15" hidden="false" customHeight="false" outlineLevel="0" collapsed="false">
      <c r="A73" s="30" t="n">
        <v>631800</v>
      </c>
      <c r="B73" s="12" t="s">
        <v>326</v>
      </c>
      <c r="C73" s="13" t="s">
        <v>320</v>
      </c>
      <c r="D73" s="15" t="n">
        <f aca="false">IF(LEFT(A73,1)&gt;="6",0,SUMIFS('BALANCE 2027'!$H:$H,'BALANCE 2027'!$A:$A,A73))</f>
        <v>0</v>
      </c>
      <c r="E73" s="15" t="n">
        <f aca="false">IF(LEFT(A73,1)&gt;="6",0,SUMIFS('BALANCE 2027'!$I:$I,'BALANCE 2027'!$A:$A,A73))</f>
        <v>0</v>
      </c>
      <c r="F73" s="20" t="n">
        <f aca="false">MAX(0,(H73-I73)-(D73-E73))</f>
        <v>27980792</v>
      </c>
      <c r="G73" s="20" t="n">
        <f aca="false">MAX(0,(D73-E73)-(H73-I73))</f>
        <v>0</v>
      </c>
      <c r="H73" s="15" t="n">
        <f aca="false">ROUND(IF(LEFT(A73,1)&gt;="6",IF(C73="RE",IF(HYPOTHESES!$C$43=0,0,HYPOTHESES!G$43*SUMIFS('BALANCE 2024'!$H:$H,'BALANCE 2024'!$A:$A,A73)/HYPOTHESES!$C$43),IF(C73="RG",IF(HYPOTHESES!$C$44=0,0,HYPOTHESES!G$44*SUMIFS('BALANCE 2024'!$H:$H,'BALANCE 2024'!$A:$A,A73)/HYPOTHESES!$C$44),IF(C73="RH",IF(HYPOTHESES!$C$45=0,0,HYPOTHESES!G$45*SUMIFS('BALANCE 2024'!$H:$H,'BALANCE 2024'!$A:$A,A73)/HYPOTHESES!$C$45),IF(C73="RI",IF(HYPOTHESES!$C$46=0,0,HYPOTHESES!G$46*SUMIFS('BALANCE 2024'!$H:$H,'BALANCE 2024'!$A:$A,A73)/HYPOTHESES!$C$46),IF(C73="RJ",IF(HYPOTHESES!$C$47=0,0,HYPOTHESES!G$47*SUMIFS('BALANCE 2024'!$H:$H,'BALANCE 2024'!$A:$A,A73)/HYPOTHESES!$C$47),IF(C73="RK",IF(HYPOTHESES!$C$48=0,0,HYPOTHESES!G$48*SUMIFS('BALANCE 2024'!$H:$H,'BALANCE 2024'!$A:$A,A73)/HYPOTHESES!$C$48),0)))))),MAX(0,D73-E73)),0)</f>
        <v>27980792</v>
      </c>
      <c r="I73" s="20" t="n">
        <v>0</v>
      </c>
      <c r="J7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4" customFormat="false" ht="15" hidden="false" customHeight="false" outlineLevel="0" collapsed="false">
      <c r="A74" s="30" t="n">
        <v>632800</v>
      </c>
      <c r="B74" s="12" t="s">
        <v>327</v>
      </c>
      <c r="C74" s="13" t="s">
        <v>320</v>
      </c>
      <c r="D74" s="15" t="n">
        <f aca="false">IF(LEFT(A74,1)&gt;="6",0,SUMIFS('BALANCE 2027'!$H:$H,'BALANCE 2027'!$A:$A,A74))</f>
        <v>0</v>
      </c>
      <c r="E74" s="15" t="n">
        <f aca="false">IF(LEFT(A74,1)&gt;="6",0,SUMIFS('BALANCE 2027'!$I:$I,'BALANCE 2027'!$A:$A,A74))</f>
        <v>0</v>
      </c>
      <c r="F74" s="20" t="n">
        <f aca="false">MAX(0,(H74-I74)-(D74-E74))</f>
        <v>5887245</v>
      </c>
      <c r="G74" s="20" t="n">
        <f aca="false">MAX(0,(D74-E74)-(H74-I74))</f>
        <v>0</v>
      </c>
      <c r="H74" s="15" t="n">
        <f aca="false">ROUND(IF(LEFT(A74,1)&gt;="6",IF(C74="RE",IF(HYPOTHESES!$C$43=0,0,HYPOTHESES!G$43*SUMIFS('BALANCE 2024'!$H:$H,'BALANCE 2024'!$A:$A,A74)/HYPOTHESES!$C$43),IF(C74="RG",IF(HYPOTHESES!$C$44=0,0,HYPOTHESES!G$44*SUMIFS('BALANCE 2024'!$H:$H,'BALANCE 2024'!$A:$A,A74)/HYPOTHESES!$C$44),IF(C74="RH",IF(HYPOTHESES!$C$45=0,0,HYPOTHESES!G$45*SUMIFS('BALANCE 2024'!$H:$H,'BALANCE 2024'!$A:$A,A74)/HYPOTHESES!$C$45),IF(C74="RI",IF(HYPOTHESES!$C$46=0,0,HYPOTHESES!G$46*SUMIFS('BALANCE 2024'!$H:$H,'BALANCE 2024'!$A:$A,A74)/HYPOTHESES!$C$46),IF(C74="RJ",IF(HYPOTHESES!$C$47=0,0,HYPOTHESES!G$47*SUMIFS('BALANCE 2024'!$H:$H,'BALANCE 2024'!$A:$A,A74)/HYPOTHESES!$C$47),IF(C74="RK",IF(HYPOTHESES!$C$48=0,0,HYPOTHESES!G$48*SUMIFS('BALANCE 2024'!$H:$H,'BALANCE 2024'!$A:$A,A74)/HYPOTHESES!$C$48),0)))))),MAX(0,D74-E74)),0)</f>
        <v>5887245</v>
      </c>
      <c r="I74" s="20" t="n">
        <v>0</v>
      </c>
      <c r="J7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5" customFormat="false" ht="15" hidden="false" customHeight="false" outlineLevel="0" collapsed="false">
      <c r="A75" s="30" t="n">
        <v>638800</v>
      </c>
      <c r="B75" s="12" t="s">
        <v>328</v>
      </c>
      <c r="C75" s="13" t="s">
        <v>320</v>
      </c>
      <c r="D75" s="15" t="n">
        <f aca="false">IF(LEFT(A75,1)&gt;="6",0,SUMIFS('BALANCE 2027'!$H:$H,'BALANCE 2027'!$A:$A,A75))</f>
        <v>0</v>
      </c>
      <c r="E75" s="15" t="n">
        <f aca="false">IF(LEFT(A75,1)&gt;="6",0,SUMIFS('BALANCE 2027'!$I:$I,'BALANCE 2027'!$A:$A,A75))</f>
        <v>0</v>
      </c>
      <c r="F75" s="20" t="n">
        <f aca="false">MAX(0,(H75-I75)-(D75-E75))</f>
        <v>28628530</v>
      </c>
      <c r="G75" s="20" t="n">
        <f aca="false">MAX(0,(D75-E75)-(H75-I75))</f>
        <v>0</v>
      </c>
      <c r="H75" s="15" t="n">
        <f aca="false">ROUND(IF(LEFT(A75,1)&gt;="6",IF(C75="RE",IF(HYPOTHESES!$C$43=0,0,HYPOTHESES!G$43*SUMIFS('BALANCE 2024'!$H:$H,'BALANCE 2024'!$A:$A,A75)/HYPOTHESES!$C$43),IF(C75="RG",IF(HYPOTHESES!$C$44=0,0,HYPOTHESES!G$44*SUMIFS('BALANCE 2024'!$H:$H,'BALANCE 2024'!$A:$A,A75)/HYPOTHESES!$C$44),IF(C75="RH",IF(HYPOTHESES!$C$45=0,0,HYPOTHESES!G$45*SUMIFS('BALANCE 2024'!$H:$H,'BALANCE 2024'!$A:$A,A75)/HYPOTHESES!$C$45),IF(C75="RI",IF(HYPOTHESES!$C$46=0,0,HYPOTHESES!G$46*SUMIFS('BALANCE 2024'!$H:$H,'BALANCE 2024'!$A:$A,A75)/HYPOTHESES!$C$46),IF(C75="RJ",IF(HYPOTHESES!$C$47=0,0,HYPOTHESES!G$47*SUMIFS('BALANCE 2024'!$H:$H,'BALANCE 2024'!$A:$A,A75)/HYPOTHESES!$C$47),IF(C75="RK",IF(HYPOTHESES!$C$48=0,0,HYPOTHESES!G$48*SUMIFS('BALANCE 2024'!$H:$H,'BALANCE 2024'!$A:$A,A75)/HYPOTHESES!$C$48),0)))))),MAX(0,D75-E75)),0)</f>
        <v>28628530</v>
      </c>
      <c r="I75" s="20" t="n">
        <v>0</v>
      </c>
      <c r="J7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6" customFormat="false" ht="15" hidden="false" customHeight="false" outlineLevel="0" collapsed="false">
      <c r="A76" s="30" t="n">
        <v>641100</v>
      </c>
      <c r="B76" s="12" t="s">
        <v>329</v>
      </c>
      <c r="C76" s="13" t="s">
        <v>330</v>
      </c>
      <c r="D76" s="15" t="n">
        <f aca="false">IF(LEFT(A76,1)&gt;="6",0,SUMIFS('BALANCE 2027'!$H:$H,'BALANCE 2027'!$A:$A,A76))</f>
        <v>0</v>
      </c>
      <c r="E76" s="15" t="n">
        <f aca="false">IF(LEFT(A76,1)&gt;="6",0,SUMIFS('BALANCE 2027'!$I:$I,'BALANCE 2027'!$A:$A,A76))</f>
        <v>0</v>
      </c>
      <c r="F76" s="20" t="n">
        <f aca="false">MAX(0,(H76-I76)-(D76-E76))</f>
        <v>445680</v>
      </c>
      <c r="G76" s="20" t="n">
        <f aca="false">MAX(0,(D76-E76)-(H76-I76))</f>
        <v>0</v>
      </c>
      <c r="H76" s="15" t="n">
        <f aca="false">ROUND(IF(LEFT(A76,1)&gt;="6",IF(C76="RE",IF(HYPOTHESES!$C$43=0,0,HYPOTHESES!G$43*SUMIFS('BALANCE 2024'!$H:$H,'BALANCE 2024'!$A:$A,A76)/HYPOTHESES!$C$43),IF(C76="RG",IF(HYPOTHESES!$C$44=0,0,HYPOTHESES!G$44*SUMIFS('BALANCE 2024'!$H:$H,'BALANCE 2024'!$A:$A,A76)/HYPOTHESES!$C$44),IF(C76="RH",IF(HYPOTHESES!$C$45=0,0,HYPOTHESES!G$45*SUMIFS('BALANCE 2024'!$H:$H,'BALANCE 2024'!$A:$A,A76)/HYPOTHESES!$C$45),IF(C76="RI",IF(HYPOTHESES!$C$46=0,0,HYPOTHESES!G$46*SUMIFS('BALANCE 2024'!$H:$H,'BALANCE 2024'!$A:$A,A76)/HYPOTHESES!$C$46),IF(C76="RJ",IF(HYPOTHESES!$C$47=0,0,HYPOTHESES!G$47*SUMIFS('BALANCE 2024'!$H:$H,'BALANCE 2024'!$A:$A,A76)/HYPOTHESES!$C$47),IF(C76="RK",IF(HYPOTHESES!$C$48=0,0,HYPOTHESES!G$48*SUMIFS('BALANCE 2024'!$H:$H,'BALANCE 2024'!$A:$A,A76)/HYPOTHESES!$C$48),0)))))),MAX(0,D76-E76)),0)</f>
        <v>445680</v>
      </c>
      <c r="I76" s="20" t="n">
        <v>0</v>
      </c>
      <c r="J7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7" customFormat="false" ht="15" hidden="false" customHeight="false" outlineLevel="0" collapsed="false">
      <c r="A77" s="30" t="n">
        <v>641201</v>
      </c>
      <c r="B77" s="12" t="s">
        <v>331</v>
      </c>
      <c r="C77" s="13" t="s">
        <v>330</v>
      </c>
      <c r="D77" s="15" t="n">
        <f aca="false">IF(LEFT(A77,1)&gt;="6",0,SUMIFS('BALANCE 2027'!$H:$H,'BALANCE 2027'!$A:$A,A77))</f>
        <v>0</v>
      </c>
      <c r="E77" s="15" t="n">
        <f aca="false">IF(LEFT(A77,1)&gt;="6",0,SUMIFS('BALANCE 2027'!$I:$I,'BALANCE 2027'!$A:$A,A77))</f>
        <v>0</v>
      </c>
      <c r="F77" s="20" t="n">
        <f aca="false">MAX(0,(H77-I77)-(D77-E77))</f>
        <v>11210257</v>
      </c>
      <c r="G77" s="20" t="n">
        <f aca="false">MAX(0,(D77-E77)-(H77-I77))</f>
        <v>0</v>
      </c>
      <c r="H77" s="15" t="n">
        <f aca="false">ROUND(IF(HYPOTHESES!$C$46=0,0,HYPOTHESES!G$46-SUMPRODUCT((T_BAL_2028[Poste]="RI")*(T_BAL_2028[Compte]&lt;&gt;641201)*ROUND(HYPOTHESES!G$46*SUMIFS('BALANCE 2024'!$H:$H,'BALANCE 2024'!$A:$A,T_BAL_2028[Compte])/HYPOTHESES!$C$46,0))),0)</f>
        <v>11210257</v>
      </c>
      <c r="I77" s="20" t="n">
        <v>0</v>
      </c>
      <c r="J7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8" customFormat="false" ht="15" hidden="false" customHeight="false" outlineLevel="0" collapsed="false">
      <c r="A78" s="30" t="n">
        <v>641202</v>
      </c>
      <c r="B78" s="12" t="s">
        <v>332</v>
      </c>
      <c r="C78" s="13" t="s">
        <v>330</v>
      </c>
      <c r="D78" s="15" t="n">
        <f aca="false">IF(LEFT(A78,1)&gt;="6",0,SUMIFS('BALANCE 2027'!$H:$H,'BALANCE 2027'!$A:$A,A78))</f>
        <v>0</v>
      </c>
      <c r="E78" s="15" t="n">
        <f aca="false">IF(LEFT(A78,1)&gt;="6",0,SUMIFS('BALANCE 2027'!$I:$I,'BALANCE 2027'!$A:$A,A78))</f>
        <v>0</v>
      </c>
      <c r="F78" s="20" t="n">
        <f aca="false">MAX(0,(H78-I78)-(D78-E78))</f>
        <v>1917285</v>
      </c>
      <c r="G78" s="20" t="n">
        <f aca="false">MAX(0,(D78-E78)-(H78-I78))</f>
        <v>0</v>
      </c>
      <c r="H78" s="15" t="n">
        <f aca="false">ROUND(IF(LEFT(A78,1)&gt;="6",IF(C78="RE",IF(HYPOTHESES!$C$43=0,0,HYPOTHESES!G$43*SUMIFS('BALANCE 2024'!$H:$H,'BALANCE 2024'!$A:$A,A78)/HYPOTHESES!$C$43),IF(C78="RG",IF(HYPOTHESES!$C$44=0,0,HYPOTHESES!G$44*SUMIFS('BALANCE 2024'!$H:$H,'BALANCE 2024'!$A:$A,A78)/HYPOTHESES!$C$44),IF(C78="RH",IF(HYPOTHESES!$C$45=0,0,HYPOTHESES!G$45*SUMIFS('BALANCE 2024'!$H:$H,'BALANCE 2024'!$A:$A,A78)/HYPOTHESES!$C$45),IF(C78="RI",IF(HYPOTHESES!$C$46=0,0,HYPOTHESES!G$46*SUMIFS('BALANCE 2024'!$H:$H,'BALANCE 2024'!$A:$A,A78)/HYPOTHESES!$C$46),IF(C78="RJ",IF(HYPOTHESES!$C$47=0,0,HYPOTHESES!G$47*SUMIFS('BALANCE 2024'!$H:$H,'BALANCE 2024'!$A:$A,A78)/HYPOTHESES!$C$47),IF(C78="RK",IF(HYPOTHESES!$C$48=0,0,HYPOTHESES!G$48*SUMIFS('BALANCE 2024'!$H:$H,'BALANCE 2024'!$A:$A,A78)/HYPOTHESES!$C$48),0)))))),MAX(0,D78-E78)),0)</f>
        <v>1917285</v>
      </c>
      <c r="I78" s="20" t="n">
        <v>0</v>
      </c>
      <c r="J7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79" customFormat="false" ht="15" hidden="false" customHeight="false" outlineLevel="0" collapsed="false">
      <c r="A79" s="30" t="n">
        <v>641300</v>
      </c>
      <c r="B79" s="12" t="s">
        <v>333</v>
      </c>
      <c r="C79" s="13" t="s">
        <v>330</v>
      </c>
      <c r="D79" s="15" t="n">
        <f aca="false">IF(LEFT(A79,1)&gt;="6",0,SUMIFS('BALANCE 2027'!$H:$H,'BALANCE 2027'!$A:$A,A79))</f>
        <v>0</v>
      </c>
      <c r="E79" s="15" t="n">
        <f aca="false">IF(LEFT(A79,1)&gt;="6",0,SUMIFS('BALANCE 2027'!$I:$I,'BALANCE 2027'!$A:$A,A79))</f>
        <v>0</v>
      </c>
      <c r="F79" s="20" t="n">
        <f aca="false">MAX(0,(H79-I79)-(D79-E79))</f>
        <v>1023300</v>
      </c>
      <c r="G79" s="20" t="n">
        <f aca="false">MAX(0,(D79-E79)-(H79-I79))</f>
        <v>0</v>
      </c>
      <c r="H79" s="15" t="n">
        <f aca="false">ROUND(IF(LEFT(A79,1)&gt;="6",IF(C79="RE",IF(HYPOTHESES!$C$43=0,0,HYPOTHESES!G$43*SUMIFS('BALANCE 2024'!$H:$H,'BALANCE 2024'!$A:$A,A79)/HYPOTHESES!$C$43),IF(C79="RG",IF(HYPOTHESES!$C$44=0,0,HYPOTHESES!G$44*SUMIFS('BALANCE 2024'!$H:$H,'BALANCE 2024'!$A:$A,A79)/HYPOTHESES!$C$44),IF(C79="RH",IF(HYPOTHESES!$C$45=0,0,HYPOTHESES!G$45*SUMIFS('BALANCE 2024'!$H:$H,'BALANCE 2024'!$A:$A,A79)/HYPOTHESES!$C$45),IF(C79="RI",IF(HYPOTHESES!$C$46=0,0,HYPOTHESES!G$46*SUMIFS('BALANCE 2024'!$H:$H,'BALANCE 2024'!$A:$A,A79)/HYPOTHESES!$C$46),IF(C79="RJ",IF(HYPOTHESES!$C$47=0,0,HYPOTHESES!G$47*SUMIFS('BALANCE 2024'!$H:$H,'BALANCE 2024'!$A:$A,A79)/HYPOTHESES!$C$47),IF(C79="RK",IF(HYPOTHESES!$C$48=0,0,HYPOTHESES!G$48*SUMIFS('BALANCE 2024'!$H:$H,'BALANCE 2024'!$A:$A,A79)/HYPOTHESES!$C$48),0)))))),MAX(0,D79-E79)),0)</f>
        <v>1023300</v>
      </c>
      <c r="I79" s="20" t="n">
        <v>0</v>
      </c>
      <c r="J7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0" customFormat="false" ht="15" hidden="false" customHeight="false" outlineLevel="0" collapsed="false">
      <c r="A80" s="30" t="n">
        <v>641400</v>
      </c>
      <c r="B80" s="12" t="s">
        <v>334</v>
      </c>
      <c r="C80" s="13" t="s">
        <v>330</v>
      </c>
      <c r="D80" s="15" t="n">
        <f aca="false">IF(LEFT(A80,1)&gt;="6",0,SUMIFS('BALANCE 2027'!$H:$H,'BALANCE 2027'!$A:$A,A80))</f>
        <v>0</v>
      </c>
      <c r="E80" s="15" t="n">
        <f aca="false">IF(LEFT(A80,1)&gt;="6",0,SUMIFS('BALANCE 2027'!$I:$I,'BALANCE 2027'!$A:$A,A80))</f>
        <v>0</v>
      </c>
      <c r="F80" s="20" t="n">
        <f aca="false">MAX(0,(H80-I80)-(D80-E80))</f>
        <v>128834</v>
      </c>
      <c r="G80" s="20" t="n">
        <f aca="false">MAX(0,(D80-E80)-(H80-I80))</f>
        <v>0</v>
      </c>
      <c r="H80" s="15" t="n">
        <f aca="false">ROUND(IF(LEFT(A80,1)&gt;="6",IF(C80="RE",IF(HYPOTHESES!$C$43=0,0,HYPOTHESES!G$43*SUMIFS('BALANCE 2024'!$H:$H,'BALANCE 2024'!$A:$A,A80)/HYPOTHESES!$C$43),IF(C80="RG",IF(HYPOTHESES!$C$44=0,0,HYPOTHESES!G$44*SUMIFS('BALANCE 2024'!$H:$H,'BALANCE 2024'!$A:$A,A80)/HYPOTHESES!$C$44),IF(C80="RH",IF(HYPOTHESES!$C$45=0,0,HYPOTHESES!G$45*SUMIFS('BALANCE 2024'!$H:$H,'BALANCE 2024'!$A:$A,A80)/HYPOTHESES!$C$45),IF(C80="RI",IF(HYPOTHESES!$C$46=0,0,HYPOTHESES!G$46*SUMIFS('BALANCE 2024'!$H:$H,'BALANCE 2024'!$A:$A,A80)/HYPOTHESES!$C$46),IF(C80="RJ",IF(HYPOTHESES!$C$47=0,0,HYPOTHESES!G$47*SUMIFS('BALANCE 2024'!$H:$H,'BALANCE 2024'!$A:$A,A80)/HYPOTHESES!$C$47),IF(C80="RK",IF(HYPOTHESES!$C$48=0,0,HYPOTHESES!G$48*SUMIFS('BALANCE 2024'!$H:$H,'BALANCE 2024'!$A:$A,A80)/HYPOTHESES!$C$48),0)))))),MAX(0,D80-E80)),0)</f>
        <v>128834</v>
      </c>
      <c r="I80" s="20" t="n">
        <v>0</v>
      </c>
      <c r="J8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1" customFormat="false" ht="15" hidden="false" customHeight="false" outlineLevel="0" collapsed="false">
      <c r="A81" s="30" t="n">
        <v>641500</v>
      </c>
      <c r="B81" s="12" t="s">
        <v>335</v>
      </c>
      <c r="C81" s="13" t="s">
        <v>330</v>
      </c>
      <c r="D81" s="15" t="n">
        <f aca="false">IF(LEFT(A81,1)&gt;="6",0,SUMIFS('BALANCE 2027'!$H:$H,'BALANCE 2027'!$A:$A,A81))</f>
        <v>0</v>
      </c>
      <c r="E81" s="15" t="n">
        <f aca="false">IF(LEFT(A81,1)&gt;="6",0,SUMIFS('BALANCE 2027'!$I:$I,'BALANCE 2027'!$A:$A,A81))</f>
        <v>0</v>
      </c>
      <c r="F81" s="20" t="n">
        <f aca="false">MAX(0,(H81-I81)-(D81-E81))</f>
        <v>386517</v>
      </c>
      <c r="G81" s="20" t="n">
        <f aca="false">MAX(0,(D81-E81)-(H81-I81))</f>
        <v>0</v>
      </c>
      <c r="H81" s="15" t="n">
        <f aca="false">ROUND(IF(LEFT(A81,1)&gt;="6",IF(C81="RE",IF(HYPOTHESES!$C$43=0,0,HYPOTHESES!G$43*SUMIFS('BALANCE 2024'!$H:$H,'BALANCE 2024'!$A:$A,A81)/HYPOTHESES!$C$43),IF(C81="RG",IF(HYPOTHESES!$C$44=0,0,HYPOTHESES!G$44*SUMIFS('BALANCE 2024'!$H:$H,'BALANCE 2024'!$A:$A,A81)/HYPOTHESES!$C$44),IF(C81="RH",IF(HYPOTHESES!$C$45=0,0,HYPOTHESES!G$45*SUMIFS('BALANCE 2024'!$H:$H,'BALANCE 2024'!$A:$A,A81)/HYPOTHESES!$C$45),IF(C81="RI",IF(HYPOTHESES!$C$46=0,0,HYPOTHESES!G$46*SUMIFS('BALANCE 2024'!$H:$H,'BALANCE 2024'!$A:$A,A81)/HYPOTHESES!$C$46),IF(C81="RJ",IF(HYPOTHESES!$C$47=0,0,HYPOTHESES!G$47*SUMIFS('BALANCE 2024'!$H:$H,'BALANCE 2024'!$A:$A,A81)/HYPOTHESES!$C$47),IF(C81="RK",IF(HYPOTHESES!$C$48=0,0,HYPOTHESES!G$48*SUMIFS('BALANCE 2024'!$H:$H,'BALANCE 2024'!$A:$A,A81)/HYPOTHESES!$C$48),0)))))),MAX(0,D81-E81)),0)</f>
        <v>386517</v>
      </c>
      <c r="I81" s="20" t="n">
        <v>0</v>
      </c>
      <c r="J8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2" customFormat="false" ht="15" hidden="false" customHeight="false" outlineLevel="0" collapsed="false">
      <c r="A82" s="30" t="n">
        <v>641830</v>
      </c>
      <c r="B82" s="12" t="s">
        <v>336</v>
      </c>
      <c r="C82" s="13" t="s">
        <v>330</v>
      </c>
      <c r="D82" s="15" t="n">
        <f aca="false">IF(LEFT(A82,1)&gt;="6",0,SUMIFS('BALANCE 2027'!$H:$H,'BALANCE 2027'!$A:$A,A82))</f>
        <v>0</v>
      </c>
      <c r="E82" s="15" t="n">
        <f aca="false">IF(LEFT(A82,1)&gt;="6",0,SUMIFS('BALANCE 2027'!$I:$I,'BALANCE 2027'!$A:$A,A82))</f>
        <v>0</v>
      </c>
      <c r="F82" s="20" t="n">
        <f aca="false">MAX(0,(H82-I82)-(D82-E82))</f>
        <v>262066</v>
      </c>
      <c r="G82" s="20" t="n">
        <f aca="false">MAX(0,(D82-E82)-(H82-I82))</f>
        <v>0</v>
      </c>
      <c r="H82" s="15" t="n">
        <f aca="false">ROUND(IF(LEFT(A82,1)&gt;="6",IF(C82="RE",IF(HYPOTHESES!$C$43=0,0,HYPOTHESES!G$43*SUMIFS('BALANCE 2024'!$H:$H,'BALANCE 2024'!$A:$A,A82)/HYPOTHESES!$C$43),IF(C82="RG",IF(HYPOTHESES!$C$44=0,0,HYPOTHESES!G$44*SUMIFS('BALANCE 2024'!$H:$H,'BALANCE 2024'!$A:$A,A82)/HYPOTHESES!$C$44),IF(C82="RH",IF(HYPOTHESES!$C$45=0,0,HYPOTHESES!G$45*SUMIFS('BALANCE 2024'!$H:$H,'BALANCE 2024'!$A:$A,A82)/HYPOTHESES!$C$45),IF(C82="RI",IF(HYPOTHESES!$C$46=0,0,HYPOTHESES!G$46*SUMIFS('BALANCE 2024'!$H:$H,'BALANCE 2024'!$A:$A,A82)/HYPOTHESES!$C$46),IF(C82="RJ",IF(HYPOTHESES!$C$47=0,0,HYPOTHESES!G$47*SUMIFS('BALANCE 2024'!$H:$H,'BALANCE 2024'!$A:$A,A82)/HYPOTHESES!$C$47),IF(C82="RK",IF(HYPOTHESES!$C$48=0,0,HYPOTHESES!G$48*SUMIFS('BALANCE 2024'!$H:$H,'BALANCE 2024'!$A:$A,A82)/HYPOTHESES!$C$48),0)))))),MAX(0,D82-E82)),0)</f>
        <v>262066</v>
      </c>
      <c r="I82" s="20" t="n">
        <v>0</v>
      </c>
      <c r="J8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3" customFormat="false" ht="15" hidden="false" customHeight="false" outlineLevel="0" collapsed="false">
      <c r="A83" s="30" t="n">
        <v>646200</v>
      </c>
      <c r="B83" s="12" t="s">
        <v>337</v>
      </c>
      <c r="C83" s="13" t="s">
        <v>330</v>
      </c>
      <c r="D83" s="15" t="n">
        <f aca="false">IF(LEFT(A83,1)&gt;="6",0,SUMIFS('BALANCE 2027'!$H:$H,'BALANCE 2027'!$A:$A,A83))</f>
        <v>0</v>
      </c>
      <c r="E83" s="15" t="n">
        <f aca="false">IF(LEFT(A83,1)&gt;="6",0,SUMIFS('BALANCE 2027'!$I:$I,'BALANCE 2027'!$A:$A,A83))</f>
        <v>0</v>
      </c>
      <c r="F83" s="20" t="n">
        <f aca="false">MAX(0,(H83-I83)-(D83-E83))</f>
        <v>2136352</v>
      </c>
      <c r="G83" s="20" t="n">
        <f aca="false">MAX(0,(D83-E83)-(H83-I83))</f>
        <v>0</v>
      </c>
      <c r="H83" s="15" t="n">
        <f aca="false">ROUND(IF(LEFT(A83,1)&gt;="6",IF(C83="RE",IF(HYPOTHESES!$C$43=0,0,HYPOTHESES!G$43*SUMIFS('BALANCE 2024'!$H:$H,'BALANCE 2024'!$A:$A,A83)/HYPOTHESES!$C$43),IF(C83="RG",IF(HYPOTHESES!$C$44=0,0,HYPOTHESES!G$44*SUMIFS('BALANCE 2024'!$H:$H,'BALANCE 2024'!$A:$A,A83)/HYPOTHESES!$C$44),IF(C83="RH",IF(HYPOTHESES!$C$45=0,0,HYPOTHESES!G$45*SUMIFS('BALANCE 2024'!$H:$H,'BALANCE 2024'!$A:$A,A83)/HYPOTHESES!$C$45),IF(C83="RI",IF(HYPOTHESES!$C$46=0,0,HYPOTHESES!G$46*SUMIFS('BALANCE 2024'!$H:$H,'BALANCE 2024'!$A:$A,A83)/HYPOTHESES!$C$46),IF(C83="RJ",IF(HYPOTHESES!$C$47=0,0,HYPOTHESES!G$47*SUMIFS('BALANCE 2024'!$H:$H,'BALANCE 2024'!$A:$A,A83)/HYPOTHESES!$C$47),IF(C83="RK",IF(HYPOTHESES!$C$48=0,0,HYPOTHESES!G$48*SUMIFS('BALANCE 2024'!$H:$H,'BALANCE 2024'!$A:$A,A83)/HYPOTHESES!$C$48),0)))))),MAX(0,D83-E83)),0)</f>
        <v>2136352</v>
      </c>
      <c r="I83" s="20" t="n">
        <v>0</v>
      </c>
      <c r="J8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4" customFormat="false" ht="15" hidden="false" customHeight="false" outlineLevel="0" collapsed="false">
      <c r="A84" s="30" t="n">
        <v>648000</v>
      </c>
      <c r="B84" s="12" t="s">
        <v>338</v>
      </c>
      <c r="C84" s="13" t="s">
        <v>330</v>
      </c>
      <c r="D84" s="15" t="n">
        <f aca="false">IF(LEFT(A84,1)&gt;="6",0,SUMIFS('BALANCE 2027'!$H:$H,'BALANCE 2027'!$A:$A,A84))</f>
        <v>0</v>
      </c>
      <c r="E84" s="15" t="n">
        <f aca="false">IF(LEFT(A84,1)&gt;="6",0,SUMIFS('BALANCE 2027'!$I:$I,'BALANCE 2027'!$A:$A,A84))</f>
        <v>0</v>
      </c>
      <c r="F84" s="20" t="n">
        <f aca="false">MAX(0,(H84-I84)-(D84-E84))</f>
        <v>898365</v>
      </c>
      <c r="G84" s="20" t="n">
        <f aca="false">MAX(0,(D84-E84)-(H84-I84))</f>
        <v>0</v>
      </c>
      <c r="H84" s="15" t="n">
        <f aca="false">ROUND(IF(LEFT(A84,1)&gt;="6",IF(C84="RE",IF(HYPOTHESES!$C$43=0,0,HYPOTHESES!G$43*SUMIFS('BALANCE 2024'!$H:$H,'BALANCE 2024'!$A:$A,A84)/HYPOTHESES!$C$43),IF(C84="RG",IF(HYPOTHESES!$C$44=0,0,HYPOTHESES!G$44*SUMIFS('BALANCE 2024'!$H:$H,'BALANCE 2024'!$A:$A,A84)/HYPOTHESES!$C$44),IF(C84="RH",IF(HYPOTHESES!$C$45=0,0,HYPOTHESES!G$45*SUMIFS('BALANCE 2024'!$H:$H,'BALANCE 2024'!$A:$A,A84)/HYPOTHESES!$C$45),IF(C84="RI",IF(HYPOTHESES!$C$46=0,0,HYPOTHESES!G$46*SUMIFS('BALANCE 2024'!$H:$H,'BALANCE 2024'!$A:$A,A84)/HYPOTHESES!$C$46),IF(C84="RJ",IF(HYPOTHESES!$C$47=0,0,HYPOTHESES!G$47*SUMIFS('BALANCE 2024'!$H:$H,'BALANCE 2024'!$A:$A,A84)/HYPOTHESES!$C$47),IF(C84="RK",IF(HYPOTHESES!$C$48=0,0,HYPOTHESES!G$48*SUMIFS('BALANCE 2024'!$H:$H,'BALANCE 2024'!$A:$A,A84)/HYPOTHESES!$C$48),0)))))),MAX(0,D84-E84)),0)</f>
        <v>898365</v>
      </c>
      <c r="I84" s="20" t="n">
        <v>0</v>
      </c>
      <c r="J8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5" customFormat="false" ht="15" hidden="false" customHeight="false" outlineLevel="0" collapsed="false">
      <c r="A85" s="30" t="n">
        <v>658800</v>
      </c>
      <c r="B85" s="12" t="s">
        <v>339</v>
      </c>
      <c r="C85" s="13" t="s">
        <v>340</v>
      </c>
      <c r="D85" s="15" t="n">
        <f aca="false">IF(LEFT(A85,1)&gt;="6",0,SUMIFS('BALANCE 2027'!$H:$H,'BALANCE 2027'!$A:$A,A85))</f>
        <v>0</v>
      </c>
      <c r="E85" s="15" t="n">
        <f aca="false">IF(LEFT(A85,1)&gt;="6",0,SUMIFS('BALANCE 2027'!$I:$I,'BALANCE 2027'!$A:$A,A85))</f>
        <v>0</v>
      </c>
      <c r="F85" s="20" t="n">
        <f aca="false">MAX(0,(H85-I85)-(D85-E85))</f>
        <v>1649832</v>
      </c>
      <c r="G85" s="20" t="n">
        <f aca="false">MAX(0,(D85-E85)-(H85-I85))</f>
        <v>0</v>
      </c>
      <c r="H85" s="15" t="n">
        <f aca="false">ROUND(IF(HYPOTHESES!$C$47=0,0,HYPOTHESES!G$47-SUMPRODUCT((T_BAL_2028[Poste]="RJ")*(T_BAL_2028[Compte]&lt;&gt;658800)*ROUND(HYPOTHESES!G$47*SUMIFS('BALANCE 2024'!$H:$H,'BALANCE 2024'!$A:$A,T_BAL_2028[Compte])/HYPOTHESES!$C$47,0))),0)</f>
        <v>1649832</v>
      </c>
      <c r="I85" s="20" t="n">
        <v>0</v>
      </c>
      <c r="J8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6" customFormat="false" ht="15" hidden="false" customHeight="false" outlineLevel="0" collapsed="false">
      <c r="A86" s="30" t="n">
        <v>661100</v>
      </c>
      <c r="B86" s="12" t="s">
        <v>341</v>
      </c>
      <c r="C86" s="13" t="s">
        <v>342</v>
      </c>
      <c r="D86" s="15" t="n">
        <f aca="false">IF(LEFT(A86,1)&gt;="6",0,SUMIFS('BALANCE 2027'!$H:$H,'BALANCE 2027'!$A:$A,A86))</f>
        <v>0</v>
      </c>
      <c r="E86" s="15" t="n">
        <f aca="false">IF(LEFT(A86,1)&gt;="6",0,SUMIFS('BALANCE 2027'!$I:$I,'BALANCE 2027'!$A:$A,A86))</f>
        <v>0</v>
      </c>
      <c r="F86" s="20" t="n">
        <f aca="false">MAX(0,(H86-I86)-(D86-E86))</f>
        <v>73034430</v>
      </c>
      <c r="G86" s="20" t="n">
        <f aca="false">MAX(0,(D86-E86)-(H86-I86))</f>
        <v>0</v>
      </c>
      <c r="H86" s="15" t="n">
        <f aca="false">ROUND(IF(HYPOTHESES!$C$48=0,0,HYPOTHESES!G$48-SUMPRODUCT((T_BAL_2028[Poste]="RK")*(T_BAL_2028[Compte]&lt;&gt;661100)*ROUND(HYPOTHESES!G$48*SUMIFS('BALANCE 2024'!$H:$H,'BALANCE 2024'!$A:$A,T_BAL_2028[Compte])/HYPOTHESES!$C$48,0))),0)</f>
        <v>73034430</v>
      </c>
      <c r="I86" s="20" t="n">
        <v>0</v>
      </c>
      <c r="J8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7" customFormat="false" ht="15" hidden="false" customHeight="false" outlineLevel="0" collapsed="false">
      <c r="A87" s="30" t="n">
        <v>661200</v>
      </c>
      <c r="B87" s="12" t="s">
        <v>343</v>
      </c>
      <c r="C87" s="13" t="s">
        <v>342</v>
      </c>
      <c r="D87" s="15" t="n">
        <f aca="false">IF(LEFT(A87,1)&gt;="6",0,SUMIFS('BALANCE 2027'!$H:$H,'BALANCE 2027'!$A:$A,A87))</f>
        <v>0</v>
      </c>
      <c r="E87" s="15" t="n">
        <f aca="false">IF(LEFT(A87,1)&gt;="6",0,SUMIFS('BALANCE 2027'!$I:$I,'BALANCE 2027'!$A:$A,A87))</f>
        <v>0</v>
      </c>
      <c r="F87" s="20" t="n">
        <f aca="false">MAX(0,(H87-I87)-(D87-E87))</f>
        <v>24689324</v>
      </c>
      <c r="G87" s="20" t="n">
        <f aca="false">MAX(0,(D87-E87)-(H87-I87))</f>
        <v>0</v>
      </c>
      <c r="H87" s="15" t="n">
        <f aca="false">ROUND(IF(LEFT(A87,1)&gt;="6",IF(C87="RE",IF(HYPOTHESES!$C$43=0,0,HYPOTHESES!G$43*SUMIFS('BALANCE 2024'!$H:$H,'BALANCE 2024'!$A:$A,A87)/HYPOTHESES!$C$43),IF(C87="RG",IF(HYPOTHESES!$C$44=0,0,HYPOTHESES!G$44*SUMIFS('BALANCE 2024'!$H:$H,'BALANCE 2024'!$A:$A,A87)/HYPOTHESES!$C$44),IF(C87="RH",IF(HYPOTHESES!$C$45=0,0,HYPOTHESES!G$45*SUMIFS('BALANCE 2024'!$H:$H,'BALANCE 2024'!$A:$A,A87)/HYPOTHESES!$C$45),IF(C87="RI",IF(HYPOTHESES!$C$46=0,0,HYPOTHESES!G$46*SUMIFS('BALANCE 2024'!$H:$H,'BALANCE 2024'!$A:$A,A87)/HYPOTHESES!$C$46),IF(C87="RJ",IF(HYPOTHESES!$C$47=0,0,HYPOTHESES!G$47*SUMIFS('BALANCE 2024'!$H:$H,'BALANCE 2024'!$A:$A,A87)/HYPOTHESES!$C$47),IF(C87="RK",IF(HYPOTHESES!$C$48=0,0,HYPOTHESES!G$48*SUMIFS('BALANCE 2024'!$H:$H,'BALANCE 2024'!$A:$A,A87)/HYPOTHESES!$C$48),0)))))),MAX(0,D87-E87)),0)</f>
        <v>24689324</v>
      </c>
      <c r="I87" s="20" t="n">
        <v>0</v>
      </c>
      <c r="J8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8" customFormat="false" ht="15" hidden="false" customHeight="false" outlineLevel="0" collapsed="false">
      <c r="A88" s="30" t="n">
        <v>661300</v>
      </c>
      <c r="B88" s="12" t="s">
        <v>344</v>
      </c>
      <c r="C88" s="13" t="s">
        <v>342</v>
      </c>
      <c r="D88" s="15" t="n">
        <f aca="false">IF(LEFT(A88,1)&gt;="6",0,SUMIFS('BALANCE 2027'!$H:$H,'BALANCE 2027'!$A:$A,A88))</f>
        <v>0</v>
      </c>
      <c r="E88" s="15" t="n">
        <f aca="false">IF(LEFT(A88,1)&gt;="6",0,SUMIFS('BALANCE 2027'!$I:$I,'BALANCE 2027'!$A:$A,A88))</f>
        <v>0</v>
      </c>
      <c r="F88" s="20" t="n">
        <f aca="false">MAX(0,(H88-I88)-(D88-E88))</f>
        <v>8146286</v>
      </c>
      <c r="G88" s="20" t="n">
        <f aca="false">MAX(0,(D88-E88)-(H88-I88))</f>
        <v>0</v>
      </c>
      <c r="H88" s="15" t="n">
        <f aca="false">ROUND(IF(LEFT(A88,1)&gt;="6",IF(C88="RE",IF(HYPOTHESES!$C$43=0,0,HYPOTHESES!G$43*SUMIFS('BALANCE 2024'!$H:$H,'BALANCE 2024'!$A:$A,A88)/HYPOTHESES!$C$43),IF(C88="RG",IF(HYPOTHESES!$C$44=0,0,HYPOTHESES!G$44*SUMIFS('BALANCE 2024'!$H:$H,'BALANCE 2024'!$A:$A,A88)/HYPOTHESES!$C$44),IF(C88="RH",IF(HYPOTHESES!$C$45=0,0,HYPOTHESES!G$45*SUMIFS('BALANCE 2024'!$H:$H,'BALANCE 2024'!$A:$A,A88)/HYPOTHESES!$C$45),IF(C88="RI",IF(HYPOTHESES!$C$46=0,0,HYPOTHESES!G$46*SUMIFS('BALANCE 2024'!$H:$H,'BALANCE 2024'!$A:$A,A88)/HYPOTHESES!$C$46),IF(C88="RJ",IF(HYPOTHESES!$C$47=0,0,HYPOTHESES!G$47*SUMIFS('BALANCE 2024'!$H:$H,'BALANCE 2024'!$A:$A,A88)/HYPOTHESES!$C$47),IF(C88="RK",IF(HYPOTHESES!$C$48=0,0,HYPOTHESES!G$48*SUMIFS('BALANCE 2024'!$H:$H,'BALANCE 2024'!$A:$A,A88)/HYPOTHESES!$C$48),0)))))),MAX(0,D88-E88)),0)</f>
        <v>8146286</v>
      </c>
      <c r="I88" s="20" t="n">
        <v>0</v>
      </c>
      <c r="J8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89" customFormat="false" ht="15" hidden="false" customHeight="false" outlineLevel="0" collapsed="false">
      <c r="A89" s="30" t="n">
        <v>661400</v>
      </c>
      <c r="B89" s="12" t="s">
        <v>345</v>
      </c>
      <c r="C89" s="13" t="s">
        <v>342</v>
      </c>
      <c r="D89" s="15" t="n">
        <f aca="false">IF(LEFT(A89,1)&gt;="6",0,SUMIFS('BALANCE 2027'!$H:$H,'BALANCE 2027'!$A:$A,A89))</f>
        <v>0</v>
      </c>
      <c r="E89" s="15" t="n">
        <f aca="false">IF(LEFT(A89,1)&gt;="6",0,SUMIFS('BALANCE 2027'!$I:$I,'BALANCE 2027'!$A:$A,A89))</f>
        <v>0</v>
      </c>
      <c r="F89" s="20" t="n">
        <f aca="false">MAX(0,(H89-I89)-(D89-E89))</f>
        <v>8226697</v>
      </c>
      <c r="G89" s="20" t="n">
        <f aca="false">MAX(0,(D89-E89)-(H89-I89))</f>
        <v>0</v>
      </c>
      <c r="H89" s="15" t="n">
        <f aca="false">ROUND(IF(LEFT(A89,1)&gt;="6",IF(C89="RE",IF(HYPOTHESES!$C$43=0,0,HYPOTHESES!G$43*SUMIFS('BALANCE 2024'!$H:$H,'BALANCE 2024'!$A:$A,A89)/HYPOTHESES!$C$43),IF(C89="RG",IF(HYPOTHESES!$C$44=0,0,HYPOTHESES!G$44*SUMIFS('BALANCE 2024'!$H:$H,'BALANCE 2024'!$A:$A,A89)/HYPOTHESES!$C$44),IF(C89="RH",IF(HYPOTHESES!$C$45=0,0,HYPOTHESES!G$45*SUMIFS('BALANCE 2024'!$H:$H,'BALANCE 2024'!$A:$A,A89)/HYPOTHESES!$C$45),IF(C89="RI",IF(HYPOTHESES!$C$46=0,0,HYPOTHESES!G$46*SUMIFS('BALANCE 2024'!$H:$H,'BALANCE 2024'!$A:$A,A89)/HYPOTHESES!$C$46),IF(C89="RJ",IF(HYPOTHESES!$C$47=0,0,HYPOTHESES!G$47*SUMIFS('BALANCE 2024'!$H:$H,'BALANCE 2024'!$A:$A,A89)/HYPOTHESES!$C$47),IF(C89="RK",IF(HYPOTHESES!$C$48=0,0,HYPOTHESES!G$48*SUMIFS('BALANCE 2024'!$H:$H,'BALANCE 2024'!$A:$A,A89)/HYPOTHESES!$C$48),0)))))),MAX(0,D89-E89)),0)</f>
        <v>8226697</v>
      </c>
      <c r="I89" s="20" t="n">
        <v>0</v>
      </c>
      <c r="J89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0" customFormat="false" ht="15" hidden="false" customHeight="false" outlineLevel="0" collapsed="false">
      <c r="A90" s="30" t="n">
        <v>663400</v>
      </c>
      <c r="B90" s="12" t="s">
        <v>346</v>
      </c>
      <c r="C90" s="13" t="s">
        <v>342</v>
      </c>
      <c r="D90" s="15" t="n">
        <f aca="false">IF(LEFT(A90,1)&gt;="6",0,SUMIFS('BALANCE 2027'!$H:$H,'BALANCE 2027'!$A:$A,A90))</f>
        <v>0</v>
      </c>
      <c r="E90" s="15" t="n">
        <f aca="false">IF(LEFT(A90,1)&gt;="6",0,SUMIFS('BALANCE 2027'!$I:$I,'BALANCE 2027'!$A:$A,A90))</f>
        <v>0</v>
      </c>
      <c r="F90" s="20" t="n">
        <f aca="false">MAX(0,(H90-I90)-(D90-E90))</f>
        <v>8520525</v>
      </c>
      <c r="G90" s="20" t="n">
        <f aca="false">MAX(0,(D90-E90)-(H90-I90))</f>
        <v>0</v>
      </c>
      <c r="H90" s="15" t="n">
        <f aca="false">ROUND(IF(LEFT(A90,1)&gt;="6",IF(C90="RE",IF(HYPOTHESES!$C$43=0,0,HYPOTHESES!G$43*SUMIFS('BALANCE 2024'!$H:$H,'BALANCE 2024'!$A:$A,A90)/HYPOTHESES!$C$43),IF(C90="RG",IF(HYPOTHESES!$C$44=0,0,HYPOTHESES!G$44*SUMIFS('BALANCE 2024'!$H:$H,'BALANCE 2024'!$A:$A,A90)/HYPOTHESES!$C$44),IF(C90="RH",IF(HYPOTHESES!$C$45=0,0,HYPOTHESES!G$45*SUMIFS('BALANCE 2024'!$H:$H,'BALANCE 2024'!$A:$A,A90)/HYPOTHESES!$C$45),IF(C90="RI",IF(HYPOTHESES!$C$46=0,0,HYPOTHESES!G$46*SUMIFS('BALANCE 2024'!$H:$H,'BALANCE 2024'!$A:$A,A90)/HYPOTHESES!$C$46),IF(C90="RJ",IF(HYPOTHESES!$C$47=0,0,HYPOTHESES!G$47*SUMIFS('BALANCE 2024'!$H:$H,'BALANCE 2024'!$A:$A,A90)/HYPOTHESES!$C$47),IF(C90="RK",IF(HYPOTHESES!$C$48=0,0,HYPOTHESES!G$48*SUMIFS('BALANCE 2024'!$H:$H,'BALANCE 2024'!$A:$A,A90)/HYPOTHESES!$C$48),0)))))),MAX(0,D90-E90)),0)</f>
        <v>8520525</v>
      </c>
      <c r="I90" s="20" t="n">
        <v>0</v>
      </c>
      <c r="J9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1" customFormat="false" ht="15" hidden="false" customHeight="false" outlineLevel="0" collapsed="false">
      <c r="A91" s="30" t="n">
        <v>664104</v>
      </c>
      <c r="B91" s="12" t="s">
        <v>347</v>
      </c>
      <c r="C91" s="13" t="s">
        <v>342</v>
      </c>
      <c r="D91" s="15" t="n">
        <f aca="false">IF(LEFT(A91,1)&gt;="6",0,SUMIFS('BALANCE 2027'!$H:$H,'BALANCE 2027'!$A:$A,A91))</f>
        <v>0</v>
      </c>
      <c r="E91" s="15" t="n">
        <f aca="false">IF(LEFT(A91,1)&gt;="6",0,SUMIFS('BALANCE 2027'!$I:$I,'BALANCE 2027'!$A:$A,A91))</f>
        <v>0</v>
      </c>
      <c r="F91" s="20" t="n">
        <f aca="false">MAX(0,(H91-I91)-(D91-E91))</f>
        <v>8674665</v>
      </c>
      <c r="G91" s="20" t="n">
        <f aca="false">MAX(0,(D91-E91)-(H91-I91))</f>
        <v>0</v>
      </c>
      <c r="H91" s="15" t="n">
        <f aca="false">ROUND(IF(LEFT(A91,1)&gt;="6",IF(C91="RE",IF(HYPOTHESES!$C$43=0,0,HYPOTHESES!G$43*SUMIFS('BALANCE 2024'!$H:$H,'BALANCE 2024'!$A:$A,A91)/HYPOTHESES!$C$43),IF(C91="RG",IF(HYPOTHESES!$C$44=0,0,HYPOTHESES!G$44*SUMIFS('BALANCE 2024'!$H:$H,'BALANCE 2024'!$A:$A,A91)/HYPOTHESES!$C$44),IF(C91="RH",IF(HYPOTHESES!$C$45=0,0,HYPOTHESES!G$45*SUMIFS('BALANCE 2024'!$H:$H,'BALANCE 2024'!$A:$A,A91)/HYPOTHESES!$C$45),IF(C91="RI",IF(HYPOTHESES!$C$46=0,0,HYPOTHESES!G$46*SUMIFS('BALANCE 2024'!$H:$H,'BALANCE 2024'!$A:$A,A91)/HYPOTHESES!$C$46),IF(C91="RJ",IF(HYPOTHESES!$C$47=0,0,HYPOTHESES!G$47*SUMIFS('BALANCE 2024'!$H:$H,'BALANCE 2024'!$A:$A,A91)/HYPOTHESES!$C$47),IF(C91="RK",IF(HYPOTHESES!$C$48=0,0,HYPOTHESES!G$48*SUMIFS('BALANCE 2024'!$H:$H,'BALANCE 2024'!$A:$A,A91)/HYPOTHESES!$C$48),0)))))),MAX(0,D91-E91)),0)</f>
        <v>8674665</v>
      </c>
      <c r="I91" s="20" t="n">
        <v>0</v>
      </c>
      <c r="J91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2" customFormat="false" ht="15" hidden="false" customHeight="false" outlineLevel="0" collapsed="false">
      <c r="A92" s="30" t="n">
        <v>671201</v>
      </c>
      <c r="B92" s="12" t="s">
        <v>348</v>
      </c>
      <c r="C92" s="13" t="s">
        <v>349</v>
      </c>
      <c r="D92" s="15" t="n">
        <f aca="false">IF(LEFT(A92,1)&gt;="6",0,SUMIFS('BALANCE 2027'!$H:$H,'BALANCE 2027'!$A:$A,A92))</f>
        <v>0</v>
      </c>
      <c r="E92" s="15" t="n">
        <f aca="false">IF(LEFT(A92,1)&gt;="6",0,SUMIFS('BALANCE 2027'!$I:$I,'BALANCE 2027'!$A:$A,A92))</f>
        <v>0</v>
      </c>
      <c r="F92" s="20" t="n">
        <f aca="false">MAX(0,(H92-I92)-(D92-E92))</f>
        <v>0</v>
      </c>
      <c r="G92" s="20" t="n">
        <f aca="false">MAX(0,(D92-E92)-(H92-I92))</f>
        <v>0</v>
      </c>
      <c r="H92" s="15" t="n">
        <f aca="false">ROUND('INVEST ET FINANCEMENT'!G$64,0)</f>
        <v>0</v>
      </c>
      <c r="I92" s="20" t="n">
        <v>0</v>
      </c>
      <c r="J9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3" customFormat="false" ht="15" hidden="false" customHeight="false" outlineLevel="0" collapsed="false">
      <c r="A93" s="30" t="n">
        <v>672301</v>
      </c>
      <c r="B93" s="12" t="s">
        <v>350</v>
      </c>
      <c r="C93" s="13" t="s">
        <v>349</v>
      </c>
      <c r="D93" s="15" t="n">
        <f aca="false">IF(LEFT(A93,1)&gt;="6",0,SUMIFS('BALANCE 2027'!$H:$H,'BALANCE 2027'!$A:$A,A93))</f>
        <v>0</v>
      </c>
      <c r="E93" s="15" t="n">
        <f aca="false">IF(LEFT(A93,1)&gt;="6",0,SUMIFS('BALANCE 2027'!$I:$I,'BALANCE 2027'!$A:$A,A93))</f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ROUND('INVEST ET FINANCEMENT'!G$65,0)</f>
        <v>0</v>
      </c>
      <c r="I93" s="20" t="n">
        <v>0</v>
      </c>
      <c r="J93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4" customFormat="false" ht="15" hidden="false" customHeight="false" outlineLevel="0" collapsed="false">
      <c r="A94" s="30" t="n">
        <v>681301</v>
      </c>
      <c r="B94" s="12" t="s">
        <v>351</v>
      </c>
      <c r="C94" s="13" t="s">
        <v>352</v>
      </c>
      <c r="D94" s="15" t="n">
        <f aca="false">IF(LEFT(A94,1)&gt;="6",0,SUMIFS('BALANCE 2027'!$H:$H,'BALANCE 2027'!$A:$A,A94))</f>
        <v>0</v>
      </c>
      <c r="E94" s="15" t="n">
        <f aca="false">IF(LEFT(A94,1)&gt;="6",0,SUMIFS('BALANCE 2027'!$I:$I,'BALANCE 2027'!$A:$A,A94))</f>
        <v>0</v>
      </c>
      <c r="F94" s="20" t="n">
        <f aca="false">MAX(0,(H94-I94)-(D94-E94))</f>
        <v>3816481</v>
      </c>
      <c r="G94" s="20" t="n">
        <f aca="false">MAX(0,(D94-E94)-(H94-I94))</f>
        <v>0</v>
      </c>
      <c r="H94" s="15" t="n">
        <f aca="false">ROUND('INVEST ET FINANCEMENT'!G$31,0)</f>
        <v>3816481</v>
      </c>
      <c r="I94" s="20" t="n">
        <v>0</v>
      </c>
      <c r="J94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5" customFormat="false" ht="15" hidden="false" customHeight="false" outlineLevel="0" collapsed="false">
      <c r="A95" s="30" t="n">
        <v>681302</v>
      </c>
      <c r="B95" s="12" t="s">
        <v>353</v>
      </c>
      <c r="C95" s="13" t="s">
        <v>352</v>
      </c>
      <c r="D95" s="15" t="n">
        <f aca="false">IF(LEFT(A95,1)&gt;="6",0,SUMIFS('BALANCE 2027'!$H:$H,'BALANCE 2027'!$A:$A,A95))</f>
        <v>0</v>
      </c>
      <c r="E95" s="15" t="n">
        <f aca="false">IF(LEFT(A95,1)&gt;="6",0,SUMIFS('BALANCE 2027'!$I:$I,'BALANCE 2027'!$A:$A,A95))</f>
        <v>0</v>
      </c>
      <c r="F95" s="20" t="n">
        <f aca="false">MAX(0,(H95-I95)-(D95-E95))</f>
        <v>62854932</v>
      </c>
      <c r="G95" s="20" t="n">
        <f aca="false">MAX(0,(D95-E95)-(H95-I95))</f>
        <v>0</v>
      </c>
      <c r="H95" s="15" t="n">
        <f aca="false">ROUND('INVEST ET FINANCEMENT'!G$34,0)</f>
        <v>62854932</v>
      </c>
      <c r="I95" s="20" t="n">
        <v>0</v>
      </c>
      <c r="J95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6" customFormat="false" ht="15" hidden="false" customHeight="false" outlineLevel="0" collapsed="false">
      <c r="A96" s="30" t="n">
        <v>681303</v>
      </c>
      <c r="B96" s="12" t="s">
        <v>354</v>
      </c>
      <c r="C96" s="13" t="s">
        <v>352</v>
      </c>
      <c r="D96" s="15" t="n">
        <f aca="false">IF(LEFT(A96,1)&gt;="6",0,SUMIFS('BALANCE 2027'!$H:$H,'BALANCE 2027'!$A:$A,A96))</f>
        <v>0</v>
      </c>
      <c r="E96" s="15" t="n">
        <f aca="false">IF(LEFT(A96,1)&gt;="6",0,SUMIFS('BALANCE 2027'!$I:$I,'BALANCE 2027'!$A:$A,A96))</f>
        <v>0</v>
      </c>
      <c r="F96" s="20" t="n">
        <f aca="false">MAX(0,(H96-I96)-(D96-E96))</f>
        <v>5000000</v>
      </c>
      <c r="G96" s="20" t="n">
        <f aca="false">MAX(0,(D96-E96)-(H96-I96))</f>
        <v>0</v>
      </c>
      <c r="H96" s="15" t="n">
        <f aca="false">ROUND('INVEST ET FINANCEMENT'!G$37,0)</f>
        <v>5000000</v>
      </c>
      <c r="I96" s="20" t="n">
        <v>0</v>
      </c>
      <c r="J96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7" customFormat="false" ht="15" hidden="false" customHeight="false" outlineLevel="0" collapsed="false">
      <c r="A97" s="30" t="n">
        <v>681304</v>
      </c>
      <c r="B97" s="12" t="s">
        <v>355</v>
      </c>
      <c r="C97" s="13" t="s">
        <v>352</v>
      </c>
      <c r="D97" s="15" t="n">
        <f aca="false">IF(LEFT(A97,1)&gt;="6",0,SUMIFS('BALANCE 2027'!$H:$H,'BALANCE 2027'!$A:$A,A97))</f>
        <v>0</v>
      </c>
      <c r="E97" s="15" t="n">
        <f aca="false">IF(LEFT(A97,1)&gt;="6",0,SUMIFS('BALANCE 2027'!$I:$I,'BALANCE 2027'!$A:$A,A97))</f>
        <v>0</v>
      </c>
      <c r="F97" s="20" t="n">
        <f aca="false">MAX(0,(H97-I97)-(D97-E97))</f>
        <v>24093971</v>
      </c>
      <c r="G97" s="20" t="n">
        <f aca="false">MAX(0,(D97-E97)-(H97-I97))</f>
        <v>0</v>
      </c>
      <c r="H97" s="15" t="n">
        <f aca="false">ROUND('INVEST ET FINANCEMENT'!G$40,0)</f>
        <v>24093971</v>
      </c>
      <c r="I97" s="20" t="n">
        <v>0</v>
      </c>
      <c r="J97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8" customFormat="false" ht="15" hidden="false" customHeight="false" outlineLevel="0" collapsed="false">
      <c r="A98" s="30" t="n">
        <v>691100</v>
      </c>
      <c r="B98" s="12" t="s">
        <v>356</v>
      </c>
      <c r="C98" s="13" t="s">
        <v>352</v>
      </c>
      <c r="D98" s="15" t="n">
        <f aca="false">IF(LEFT(A98,1)&gt;="6",0,SUMIFS('BALANCE 2027'!$H:$H,'BALANCE 2027'!$A:$A,A98))</f>
        <v>0</v>
      </c>
      <c r="E98" s="15" t="n">
        <f aca="false">IF(LEFT(A98,1)&gt;="6",0,SUMIFS('BALANCE 2027'!$I:$I,'BALANCE 2027'!$A:$A,A98))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ROUND(HYPOTHESES!G$50,0)</f>
        <v>6059296</v>
      </c>
      <c r="I98" s="20" t="n">
        <v>0</v>
      </c>
      <c r="J98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99" customFormat="false" ht="15" hidden="false" customHeight="false" outlineLevel="0" collapsed="false">
      <c r="A99" s="38" t="n">
        <v>705100</v>
      </c>
      <c r="B99" s="39" t="s">
        <v>357</v>
      </c>
      <c r="C99" s="40" t="s">
        <v>358</v>
      </c>
      <c r="D99" s="43" t="n">
        <f aca="false">IF(LEFT(A99,1)&gt;="6",0,SUMIFS('BALANCE 2027'!$H:$H,'BALANCE 2027'!$A:$A,A99))</f>
        <v>0</v>
      </c>
      <c r="E99" s="43" t="n">
        <f aca="false">IF(LEFT(A99,1)&gt;="6",0,SUMIFS('BALANCE 2027'!$I:$I,'BALANCE 2027'!$A:$A,A99))</f>
        <v>0</v>
      </c>
      <c r="F99" s="42" t="n">
        <f aca="false">MAX(0,(H99-I99)-(D99-E99))</f>
        <v>0</v>
      </c>
      <c r="G99" s="42" t="n">
        <f aca="false">MAX(0,(D99-E99)-(H99-I99))</f>
        <v>868332850</v>
      </c>
      <c r="H99" s="42" t="n">
        <v>0</v>
      </c>
      <c r="I99" s="43" t="n">
        <f aca="false">ROUND(HYPOTHESES!G$42,0)</f>
        <v>868332850</v>
      </c>
      <c r="J99" s="42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100" customFormat="false" ht="15" hidden="false" customHeight="false" outlineLevel="0" collapsed="false">
      <c r="A100" s="30" t="n">
        <v>771200</v>
      </c>
      <c r="B100" s="12" t="s">
        <v>359</v>
      </c>
      <c r="C100" s="13" t="s">
        <v>360</v>
      </c>
      <c r="D100" s="15" t="n">
        <f aca="false">IF(LEFT(A100,1)&gt;="6",0,SUMIFS('BALANCE 2027'!$H:$H,'BALANCE 2027'!$A:$A,A100))</f>
        <v>0</v>
      </c>
      <c r="E100" s="15" t="n">
        <f aca="false">IF(LEFT(A100,1)&gt;="6",0,SUMIFS('BALANCE 2027'!$I:$I,'BALANCE 2027'!$A:$A,A100))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ROUND(HYPOTHESES!G$51,0)</f>
        <v>848594</v>
      </c>
      <c r="J100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101" customFormat="false" ht="15" hidden="false" customHeight="false" outlineLevel="0" collapsed="false">
      <c r="A101" s="38" t="n">
        <v>891100</v>
      </c>
      <c r="B101" s="39" t="s">
        <v>361</v>
      </c>
      <c r="C101" s="40" t="s">
        <v>362</v>
      </c>
      <c r="D101" s="43" t="n">
        <f aca="false">IF(LEFT(A101,1)&gt;="6",0,SUMIFS('BALANCE 2027'!$H:$H,'BALANCE 2027'!$A:$A,A101))</f>
        <v>0</v>
      </c>
      <c r="E101" s="43" t="n">
        <f aca="false">IF(LEFT(A101,1)&gt;="6",0,SUMIFS('BALANCE 2027'!$I:$I,'BALANCE 2027'!$A:$A,A101))</f>
        <v>0</v>
      </c>
      <c r="F101" s="42" t="n">
        <f aca="false">MAX(0,(H101-I101)-(D101-E101))</f>
        <v>33628946</v>
      </c>
      <c r="G101" s="42" t="n">
        <f aca="false">MAX(0,(D101-E101)-(H101-I101))</f>
        <v>0</v>
      </c>
      <c r="H101" s="43" t="n">
        <f aca="false">ROUND(IF(HYPOTHESES!G$54&gt;=HYPOTHESES!G$55,HYPOTHESES!G$56,0),0)</f>
        <v>33628946</v>
      </c>
      <c r="I101" s="42" t="n">
        <v>0</v>
      </c>
      <c r="J101" s="42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  <row r="102" customFormat="false" ht="15" hidden="false" customHeight="false" outlineLevel="0" collapsed="false">
      <c r="A102" s="30" t="n">
        <v>895000</v>
      </c>
      <c r="B102" s="12" t="s">
        <v>363</v>
      </c>
      <c r="C102" s="13" t="s">
        <v>362</v>
      </c>
      <c r="D102" s="15" t="n">
        <f aca="false">IF(LEFT(A102,1)&gt;="6",0,SUMIFS('BALANCE 2027'!$H:$H,'BALANCE 2027'!$A:$A,A102))</f>
        <v>0</v>
      </c>
      <c r="E102" s="15" t="n">
        <f aca="false">IF(LEFT(A102,1)&gt;="6",0,SUMIFS('BALANCE 2027'!$I:$I,'BALANCE 2027'!$A:$A,A102))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ROUND(IF(HYPOTHESES!G$54&lt;HYPOTHESES!G$55,HYPOTHESES!G$56,0),0)</f>
        <v>0</v>
      </c>
      <c r="I102" s="20" t="n">
        <v>0</v>
      </c>
      <c r="J102" s="20" t="n">
        <f aca="false">(T_BAL_2028[[#This Row],[Ouverture Débit]]-T_BAL_2028[[#This Row],[Ouverture Crédit]])+(T_BAL_2028[[#This Row],[Mouvements Débit]]-T_BAL_2028[[#This Row],[Mouvements Crédit]])-(T_BAL_2028[[#This Row],[Clôture Débit]]-T_BAL_2028[[#This Row],[Clôture Crédit]])</f>
        <v>0</v>
      </c>
    </row>
  </sheetData>
  <mergeCells count="8">
    <mergeCell ref="A1:J1"/>
    <mergeCell ref="D3:E3"/>
    <mergeCell ref="F3:G3"/>
    <mergeCell ref="H3:I3"/>
    <mergeCell ref="L3:M3"/>
    <mergeCell ref="D14:E14"/>
    <mergeCell ref="F14:G14"/>
    <mergeCell ref="H14:I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70"/>
  </cols>
  <sheetData>
    <row r="1" customFormat="false" ht="24" hidden="false" customHeight="true" outlineLevel="0" collapsed="false">
      <c r="A1" s="1" t="s">
        <v>372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365</v>
      </c>
    </row>
    <row r="3" customFormat="false" ht="15" hidden="false" customHeight="false" outlineLevel="0" collapsed="false">
      <c r="A3" s="25"/>
      <c r="B3" s="25"/>
      <c r="C3" s="25"/>
      <c r="D3" s="26" t="s">
        <v>196</v>
      </c>
      <c r="E3" s="26"/>
      <c r="F3" s="26" t="s">
        <v>197</v>
      </c>
      <c r="G3" s="26"/>
      <c r="H3" s="26" t="s">
        <v>198</v>
      </c>
      <c r="I3" s="26"/>
      <c r="J3" s="27" t="s">
        <v>199</v>
      </c>
      <c r="L3" s="28" t="s">
        <v>200</v>
      </c>
      <c r="M3" s="28"/>
    </row>
    <row r="4" customFormat="false" ht="15" hidden="false" customHeight="false" outlineLevel="0" collapsed="false">
      <c r="A4" s="8" t="s">
        <v>201</v>
      </c>
      <c r="B4" s="8" t="s">
        <v>202</v>
      </c>
      <c r="C4" s="8" t="s">
        <v>203</v>
      </c>
      <c r="D4" s="8" t="s">
        <v>204</v>
      </c>
      <c r="E4" s="8" t="s">
        <v>205</v>
      </c>
      <c r="F4" s="8" t="s">
        <v>204</v>
      </c>
      <c r="G4" s="8" t="s">
        <v>205</v>
      </c>
      <c r="H4" s="8" t="s">
        <v>204</v>
      </c>
      <c r="I4" s="8" t="s">
        <v>205</v>
      </c>
      <c r="J4" s="8" t="s">
        <v>206</v>
      </c>
      <c r="L4" s="29" t="s">
        <v>207</v>
      </c>
    </row>
    <row r="5" customFormat="false" ht="15" hidden="false" customHeight="false" outlineLevel="0" collapsed="false">
      <c r="A5" s="30" t="n">
        <v>521101</v>
      </c>
      <c r="B5" s="12" t="s">
        <v>208</v>
      </c>
      <c r="C5" s="13" t="s">
        <v>209</v>
      </c>
      <c r="D5" s="15" t="n">
        <f aca="false">IF(LEFT(A5,1)&gt;="6",0,SUMIFS('BALANCE 2028'!$H:$H,'BALANCE 2028'!$A:$A,A5))</f>
        <v>484822534</v>
      </c>
      <c r="E5" s="15" t="n">
        <f aca="false">IF(LEFT(A5,1)&gt;="6",0,SUMIFS('BALANCE 2028'!$I:$I,'BALANCE 2028'!$A:$A,A5))</f>
        <v>0</v>
      </c>
      <c r="F5" s="15" t="n">
        <f aca="false">ROUND(G37+HYPOTHESES!H$51+'INVEST ET FINANCEMENT'!H$47+'INVEST ET FINANCEMENT'!H$51,0)</f>
        <v>1048677905</v>
      </c>
      <c r="G5" s="15" t="n">
        <f aca="false">ROUND(G37+HYPOTHESES!H$51+'INVEST ET FINANCEMENT'!H$47+'INVEST ET FINANCEMENT'!H$51,0)+(D5-E5)-(H5-I5)</f>
        <v>904268794</v>
      </c>
      <c r="H5" s="20" t="n">
        <f aca="false">ROUND(MAX(0,(H11-(H6-I6))),0)</f>
        <v>629231645</v>
      </c>
      <c r="I5" s="20" t="n">
        <f aca="false">ROUND(MAX(0,-(H11-(H6-I6))),0)</f>
        <v>0</v>
      </c>
      <c r="J5" s="20" t="n">
        <f aca="false">(D5-E5)+(F5-G5)-(H5-I5)</f>
        <v>0</v>
      </c>
      <c r="L5" s="29" t="s">
        <v>210</v>
      </c>
    </row>
    <row r="6" customFormat="false" ht="15" hidden="false" customHeight="false" outlineLevel="0" collapsed="false">
      <c r="A6" s="30" t="n">
        <v>571101</v>
      </c>
      <c r="B6" s="12" t="s">
        <v>211</v>
      </c>
      <c r="C6" s="13" t="s">
        <v>212</v>
      </c>
      <c r="D6" s="15" t="n">
        <f aca="false">IF(LEFT(A6,1)&gt;="6",0,SUMIFS('BALANCE 2028'!$H:$H,'BALANCE 2028'!$A:$A,A6))</f>
        <v>12349867</v>
      </c>
      <c r="E6" s="15" t="n">
        <f aca="false">IF(LEFT(A6,1)&gt;="6",0,SUMIFS('BALANCE 2028'!$I:$I,'BALANCE 2028'!$A:$A,A6))</f>
        <v>0</v>
      </c>
      <c r="F6" s="20" t="n">
        <f aca="false">ROUND(H13,0)</f>
        <v>180853759</v>
      </c>
      <c r="G6" s="20" t="n">
        <f aca="false">ROUND(H13,0)+(D6-E6)-(H6-I6)</f>
        <v>179045221</v>
      </c>
      <c r="H6" s="15" t="n">
        <f aca="false">ROUND(MAX(0,((D6-E6)+H13*(1-HYPOTHESES!H$30))),0)</f>
        <v>14158405</v>
      </c>
      <c r="I6" s="15" t="n">
        <f aca="false">ROUND(MAX(0,-((D6-E6)+H13*(1-HYPOTHESES!H$30))),0)</f>
        <v>0</v>
      </c>
      <c r="J6" s="20" t="n">
        <f aca="false">(D6-E6)+(F6-G6)-(H6-I6)</f>
        <v>0</v>
      </c>
      <c r="L6" s="29" t="s">
        <v>213</v>
      </c>
    </row>
    <row r="7" customFormat="false" ht="15" hidden="false" customHeight="false" outlineLevel="0" collapsed="false">
      <c r="A7" s="30" t="n">
        <v>585000</v>
      </c>
      <c r="B7" s="12" t="s">
        <v>214</v>
      </c>
      <c r="C7" s="13" t="s">
        <v>212</v>
      </c>
      <c r="D7" s="15" t="n">
        <f aca="false">IF(LEFT(A7,1)&gt;="6",0,SUMIFS('BALANCE 2028'!$H:$H,'BALANCE 2028'!$A:$A,A7))</f>
        <v>0</v>
      </c>
      <c r="E7" s="15" t="n">
        <f aca="false">IF(LEFT(A7,1)&gt;="6",0,SUMIFS('BALANCE 2028'!$I:$I,'BALANCE 2028'!$A:$A,A7))</f>
        <v>0</v>
      </c>
      <c r="F7" s="20" t="n">
        <f aca="false">ROUND(H13,0)</f>
        <v>180853759</v>
      </c>
      <c r="G7" s="20" t="n">
        <f aca="false">ROUND(H13,0)+(D7-E7)-(H7-I7)</f>
        <v>180853759</v>
      </c>
      <c r="H7" s="15" t="n">
        <f aca="false">ROUND(IF(LEFT(A7,1)&gt;="6",IF(C7="RE",IF(HYPOTHESES!$C$43=0,0,HYPOTHESES!H$43*SUMIFS('BALANCE 2024'!$H:$H,'BALANCE 2024'!$A:$A,A7)/HYPOTHESES!$C$43),IF(C7="RG",IF(HYPOTHESES!$C$44=0,0,HYPOTHESES!H$44*SUMIFS('BALANCE 2024'!$H:$H,'BALANCE 2024'!$A:$A,A7)/HYPOTHESES!$C$44),IF(C7="RH",IF(HYPOTHESES!$C$45=0,0,HYPOTHESES!H$45*SUMIFS('BALANCE 2024'!$H:$H,'BALANCE 2024'!$A:$A,A7)/HYPOTHESES!$C$45),IF(C7="RI",IF(HYPOTHESES!$C$46=0,0,HYPOTHESES!H$46*SUMIFS('BALANCE 2024'!$H:$H,'BALANCE 2024'!$A:$A,A7)/HYPOTHESES!$C$46),IF(C7="RJ",IF(HYPOTHESES!$C$47=0,0,HYPOTHESES!H$47*SUMIFS('BALANCE 2024'!$H:$H,'BALANCE 2024'!$A:$A,A7)/HYPOTHESES!$C$47),IF(C7="RK",IF(HYPOTHESES!$C$48=0,0,HYPOTHESES!H$48*SUMIFS('BALANCE 2024'!$H:$H,'BALANCE 2024'!$A:$A,A7)/HYPOTHESES!$C$48),0)))))),MAX(0,D7-E7)),0)</f>
        <v>0</v>
      </c>
      <c r="I7" s="20" t="n">
        <f aca="false">ROUND(IF(LEFT(A7,1)&gt;="6",0,MAX(0,E7-D7)),0)</f>
        <v>0</v>
      </c>
      <c r="J7" s="20" t="n">
        <f aca="false">(D7-E7)+(F7-G7)-(H7-I7)</f>
        <v>0</v>
      </c>
      <c r="L7" s="29" t="s">
        <v>215</v>
      </c>
    </row>
    <row r="8" customFormat="false" ht="15" hidden="false" customHeight="false" outlineLevel="0" collapsed="false">
      <c r="A8" s="31"/>
      <c r="B8" s="32" t="s">
        <v>216</v>
      </c>
      <c r="C8" s="31"/>
      <c r="D8" s="33" t="n">
        <f aca="false">SUBTOTAL(109,T_BAL_2029[Ouverture Débit])</f>
        <v>1855044030</v>
      </c>
      <c r="E8" s="33" t="n">
        <f aca="false">SUBTOTAL(109,T_BAL_2029[Ouverture Crédit])</f>
        <v>2352216431</v>
      </c>
      <c r="F8" s="33" t="n">
        <f aca="false">SUBTOTAL(109,T_BAL_2029[Mouvements Débit])</f>
        <v>3003274549</v>
      </c>
      <c r="G8" s="33" t="n">
        <f aca="false">SUBTOTAL(109,T_BAL_2029[Mouvements Crédit])</f>
        <v>3149492198</v>
      </c>
      <c r="H8" s="33" t="n">
        <f aca="false">SUBTOTAL(109,T_BAL_2029[Clôture Débit])</f>
        <v>2722597065</v>
      </c>
      <c r="I8" s="33" t="n">
        <f aca="false">SUBTOTAL(109,T_BAL_2029[Clôture Crédit])</f>
        <v>3365987115</v>
      </c>
      <c r="J8" s="33" t="n">
        <f aca="false">SUBTOTAL(109,T_BAL_2029[Contrôle])</f>
        <v>0</v>
      </c>
      <c r="L8" s="29" t="s">
        <v>217</v>
      </c>
    </row>
    <row r="9" customFormat="false" ht="15" hidden="false" customHeight="false" outlineLevel="0" collapsed="false">
      <c r="A9" s="34"/>
      <c r="B9" s="35" t="s">
        <v>218</v>
      </c>
      <c r="C9" s="34"/>
      <c r="D9" s="36" t="n">
        <f aca="false">SUM(D5:D8)</f>
        <v>2352216431</v>
      </c>
      <c r="E9" s="36" t="n">
        <f aca="false">SUM(E5:E8)</f>
        <v>2352216431</v>
      </c>
      <c r="F9" s="36" t="n">
        <f aca="false">SUM(F5:F8)</f>
        <v>4413659972</v>
      </c>
      <c r="G9" s="36" t="n">
        <f aca="false">SUM(G5:G8)</f>
        <v>4413659972</v>
      </c>
      <c r="H9" s="36" t="n">
        <f aca="false">SUM(H5:H8)</f>
        <v>3365987115</v>
      </c>
      <c r="I9" s="36" t="n">
        <f aca="false">SUM(I5:I8)</f>
        <v>3365987115</v>
      </c>
      <c r="J9" s="36" t="n">
        <f aca="false">SUM(J5:J8)</f>
        <v>0</v>
      </c>
      <c r="L9" s="29" t="s">
        <v>219</v>
      </c>
    </row>
    <row r="10" customFormat="false" ht="15" hidden="false" customHeight="false" outlineLevel="0" collapsed="false">
      <c r="B10" s="4" t="s">
        <v>220</v>
      </c>
      <c r="D10" s="21" t="n">
        <f aca="false">D9-E9</f>
        <v>0</v>
      </c>
      <c r="F10" s="21" t="n">
        <f aca="false">F9-G9</f>
        <v>0</v>
      </c>
      <c r="H10" s="21" t="n">
        <f aca="false">H9-I9</f>
        <v>0</v>
      </c>
      <c r="L10" s="29" t="s">
        <v>221</v>
      </c>
    </row>
    <row r="11" customFormat="false" ht="15" hidden="false" customHeight="false" outlineLevel="0" collapsed="false">
      <c r="B11" s="7" t="s">
        <v>366</v>
      </c>
      <c r="H11" s="20" t="n">
        <f aca="false">-((H8-I8)+(H7-I7))</f>
        <v>643390050</v>
      </c>
      <c r="L11" s="29" t="s">
        <v>222</v>
      </c>
    </row>
    <row r="12" customFormat="false" ht="15" hidden="false" customHeight="false" outlineLevel="0" collapsed="false">
      <c r="B12" s="7" t="s">
        <v>367</v>
      </c>
      <c r="H12" s="20" t="n">
        <f aca="false">ROUND((G37+HYPOTHESES!H$51+'INVEST ET FINANCEMENT'!H$47+'INVEST ET FINANCEMENT'!H$51+(D5-E5)+(D6-E6)-H11)/(1-HYPOTHESES!H$29*(1-HYPOTHESES!H$30)),0)</f>
        <v>904268794</v>
      </c>
    </row>
    <row r="13" customFormat="false" ht="15" hidden="false" customHeight="false" outlineLevel="0" collapsed="false">
      <c r="B13" s="7" t="s">
        <v>368</v>
      </c>
      <c r="H13" s="20" t="n">
        <f aca="false">ROUND(HYPOTHESES!H$29*H12,0)</f>
        <v>180853759</v>
      </c>
    </row>
    <row r="14" customFormat="false" ht="15" hidden="false" customHeight="false" outlineLevel="0" collapsed="false">
      <c r="A14" s="25"/>
      <c r="B14" s="27" t="s">
        <v>223</v>
      </c>
      <c r="C14" s="25"/>
      <c r="D14" s="26" t="s">
        <v>196</v>
      </c>
      <c r="E14" s="26"/>
      <c r="F14" s="26" t="s">
        <v>197</v>
      </c>
      <c r="G14" s="26"/>
      <c r="H14" s="26" t="s">
        <v>198</v>
      </c>
      <c r="I14" s="26"/>
      <c r="J14" s="27" t="s">
        <v>199</v>
      </c>
      <c r="L14" s="27" t="s">
        <v>224</v>
      </c>
      <c r="M14" s="27" t="s">
        <v>225</v>
      </c>
    </row>
    <row r="15" customFormat="false" ht="15" hidden="false" customHeight="false" outlineLevel="0" collapsed="false">
      <c r="A15" s="8" t="s">
        <v>201</v>
      </c>
      <c r="B15" s="8" t="s">
        <v>202</v>
      </c>
      <c r="C15" s="8" t="s">
        <v>203</v>
      </c>
      <c r="D15" s="8" t="s">
        <v>226</v>
      </c>
      <c r="E15" s="8" t="s">
        <v>227</v>
      </c>
      <c r="F15" s="8" t="s">
        <v>228</v>
      </c>
      <c r="G15" s="8" t="s">
        <v>229</v>
      </c>
      <c r="H15" s="8" t="s">
        <v>230</v>
      </c>
      <c r="I15" s="8" t="s">
        <v>231</v>
      </c>
      <c r="J15" s="8" t="s">
        <v>199</v>
      </c>
      <c r="L15" s="37" t="s">
        <v>232</v>
      </c>
      <c r="M15" s="29" t="s">
        <v>233</v>
      </c>
    </row>
    <row r="16" customFormat="false" ht="15" hidden="false" customHeight="false" outlineLevel="0" collapsed="false">
      <c r="A16" s="38" t="n">
        <v>101000</v>
      </c>
      <c r="B16" s="39" t="s">
        <v>234</v>
      </c>
      <c r="C16" s="40" t="s">
        <v>235</v>
      </c>
      <c r="D16" s="43" t="n">
        <f aca="false">IF(LEFT(A16,1)&gt;="6",0,SUMIFS('BALANCE 2028'!$H:$H,'BALANCE 2028'!$A:$A,A16))</f>
        <v>0</v>
      </c>
      <c r="E16" s="43" t="n">
        <f aca="false">IF(LEFT(A16,1)&gt;="6",0,SUMIFS('BALANCE 2028'!$I:$I,'BALANCE 2028'!$A:$A,A16))</f>
        <v>10000000</v>
      </c>
      <c r="F16" s="43" t="n">
        <f aca="false">ROUND('INVEST ET FINANCEMENT'!H$51,0)+(H16-I16)-(D16-E16)</f>
        <v>0</v>
      </c>
      <c r="G16" s="43" t="n">
        <f aca="false">ROUND('INVEST ET FINANCEMENT'!H$51,0)</f>
        <v>0</v>
      </c>
      <c r="H16" s="42" t="n">
        <v>0</v>
      </c>
      <c r="I16" s="43" t="n">
        <f aca="false">ROUND(E16+'INVEST ET FINANCEMENT'!H$51,0)</f>
        <v>10000000</v>
      </c>
      <c r="J16" s="42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L16" s="37" t="s">
        <v>236</v>
      </c>
      <c r="M16" s="29" t="s">
        <v>237</v>
      </c>
    </row>
    <row r="17" customFormat="false" ht="15" hidden="false" customHeight="false" outlineLevel="0" collapsed="false">
      <c r="A17" s="30" t="n">
        <v>111000</v>
      </c>
      <c r="B17" s="12" t="s">
        <v>238</v>
      </c>
      <c r="C17" s="13" t="s">
        <v>239</v>
      </c>
      <c r="D17" s="15" t="n">
        <f aca="false">IF(LEFT(A17,1)&gt;="6",0,SUMIFS('BALANCE 2028'!$H:$H,'BALANCE 2028'!$A:$A,A17))</f>
        <v>0</v>
      </c>
      <c r="E17" s="15" t="n">
        <f aca="false">IF(LEFT(A17,1)&gt;="6",0,SUMIFS('BALANCE 2028'!$I:$I,'BALANCE 2028'!$A:$A,A17))</f>
        <v>2000000</v>
      </c>
      <c r="F17" s="15" t="n">
        <f aca="false">ROUND(HYPOTHESES!H$58,0)+(H17-I17)-(D17-E17)</f>
        <v>0</v>
      </c>
      <c r="G17" s="15" t="n">
        <f aca="false">ROUND(HYPOTHESES!H$58,0)</f>
        <v>0</v>
      </c>
      <c r="H17" s="20" t="n">
        <v>0</v>
      </c>
      <c r="I17" s="15" t="n">
        <f aca="false">ROUND(E17+HYPOTHESES!H$58,0)</f>
        <v>2000000</v>
      </c>
      <c r="J1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L17" s="37" t="s">
        <v>240</v>
      </c>
      <c r="M17" s="29" t="s">
        <v>241</v>
      </c>
    </row>
    <row r="18" customFormat="false" ht="15" hidden="false" customHeight="false" outlineLevel="0" collapsed="false">
      <c r="A18" s="30" t="n">
        <v>121000</v>
      </c>
      <c r="B18" s="12" t="s">
        <v>242</v>
      </c>
      <c r="C18" s="13" t="s">
        <v>243</v>
      </c>
      <c r="D18" s="15" t="n">
        <f aca="false">IF(LEFT(A18,1)&gt;="6",0,SUMIFS('BALANCE 2028'!$H:$H,'BALANCE 2028'!$A:$A,A18))</f>
        <v>0</v>
      </c>
      <c r="E18" s="15" t="n">
        <f aca="false">IF(LEFT(A18,1)&gt;="6",0,SUMIFS('BALANCE 2028'!$I:$I,'BALANCE 2028'!$A:$A,A18))</f>
        <v>1114503458</v>
      </c>
      <c r="F18" s="20" t="n">
        <f aca="false">MAX(0,(H18-I18)-(D18-E18))</f>
        <v>0</v>
      </c>
      <c r="G18" s="20" t="n">
        <f aca="false">MAX(0,(D18-E18)-(H18-I18))</f>
        <v>100886838</v>
      </c>
      <c r="H18" s="15" t="n">
        <f aca="false">ROUND(MAX(0,-(E18-D18+HYPOTHESES!H$60)),0)</f>
        <v>0</v>
      </c>
      <c r="I18" s="15" t="n">
        <f aca="false">ROUND(MAX(0,(E18-D18+HYPOTHESES!H$60)),0)</f>
        <v>1215390296</v>
      </c>
      <c r="J1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L18" s="37" t="s">
        <v>244</v>
      </c>
      <c r="M18" s="29" t="s">
        <v>245</v>
      </c>
    </row>
    <row r="19" customFormat="false" ht="15" hidden="false" customHeight="false" outlineLevel="0" collapsed="false">
      <c r="A19" s="30" t="n">
        <v>130100</v>
      </c>
      <c r="B19" s="12" t="s">
        <v>246</v>
      </c>
      <c r="C19" s="13" t="s">
        <v>247</v>
      </c>
      <c r="D19" s="20" t="n">
        <f aca="false">MAX(0,-SUMPRODUCT((LEFT(T_BAL_2028[Compte],1)&gt;="6")*(T_BAL_2028[Clôture Crédit]-T_BAL_2028[Clôture Débit])))</f>
        <v>0</v>
      </c>
      <c r="E19" s="20" t="n">
        <f aca="false">MAX(0,SUMPRODUCT((LEFT(T_BAL_2028[Compte],1)&gt;="6")*(T_BAL_2028[Clôture Crédit]-T_BAL_2028[Clôture Débit])))</f>
        <v>100886838</v>
      </c>
      <c r="F19" s="20" t="n">
        <f aca="false">MAX(0,(H19-I19)-(D19-E19))</f>
        <v>100886838</v>
      </c>
      <c r="G19" s="20" t="n">
        <f aca="false">MAX(0,(D19-E19)-(H19-I19))</f>
        <v>0</v>
      </c>
      <c r="H19" s="20" t="n">
        <v>0</v>
      </c>
      <c r="I19" s="20" t="n">
        <v>0</v>
      </c>
      <c r="J1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L19" s="37" t="s">
        <v>248</v>
      </c>
      <c r="M19" s="29" t="s">
        <v>249</v>
      </c>
    </row>
    <row r="20" customFormat="false" ht="15" hidden="false" customHeight="false" outlineLevel="0" collapsed="false">
      <c r="A20" s="30" t="n">
        <v>162002</v>
      </c>
      <c r="B20" s="12" t="s">
        <v>250</v>
      </c>
      <c r="C20" s="13" t="s">
        <v>172</v>
      </c>
      <c r="D20" s="15" t="n">
        <f aca="false">IF(LEFT(A20,1)&gt;="6",0,SUMIFS('BALANCE 2028'!$H:$H,'BALANCE 2028'!$A:$A,A20))</f>
        <v>0</v>
      </c>
      <c r="E20" s="15" t="n">
        <f aca="false">IF(LEFT(A20,1)&gt;="6",0,SUMIFS('BALANCE 2028'!$I:$I,'BALANCE 2028'!$A:$A,A20))</f>
        <v>0</v>
      </c>
      <c r="F20" s="15" t="n">
        <f aca="false">ROUND('INVEST ET FINANCEMENT'!H$47,0)+(H20-I20)-(D20-E20)</f>
        <v>0</v>
      </c>
      <c r="G20" s="15" t="n">
        <f aca="false">ROUND('INVEST ET FINANCEMENT'!H$47,0)</f>
        <v>0</v>
      </c>
      <c r="H20" s="20" t="n">
        <v>0</v>
      </c>
      <c r="I20" s="15" t="n">
        <f aca="false">ROUND(E20+'INVEST ET FINANCEMENT'!H$47-'INVEST ET FINANCEMENT'!H$48,0)</f>
        <v>0</v>
      </c>
      <c r="J2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L20" s="37" t="s">
        <v>251</v>
      </c>
      <c r="M20" s="29" t="s">
        <v>252</v>
      </c>
    </row>
    <row r="21" customFormat="false" ht="15" hidden="false" customHeight="false" outlineLevel="0" collapsed="false">
      <c r="A21" s="30" t="n">
        <v>173060</v>
      </c>
      <c r="B21" s="12" t="s">
        <v>253</v>
      </c>
      <c r="C21" s="13" t="s">
        <v>175</v>
      </c>
      <c r="D21" s="15" t="n">
        <f aca="false">IF(LEFT(A21,1)&gt;="6",0,SUMIFS('BALANCE 2028'!$H:$H,'BALANCE 2028'!$A:$A,A21))</f>
        <v>0</v>
      </c>
      <c r="E21" s="15" t="n">
        <f aca="false">IF(LEFT(A21,1)&gt;="6",0,SUMIFS('BALANCE 2028'!$I:$I,'BALANCE 2028'!$A:$A,A21))</f>
        <v>0</v>
      </c>
      <c r="F21" s="15" t="n">
        <f aca="false">ROUND('INVEST ET FINANCEMENT'!H$49,0)</f>
        <v>0</v>
      </c>
      <c r="G21" s="15" t="n">
        <f aca="false">ROUND('INVEST ET FINANCEMENT'!H$49,0)+(D21-E21)-(H21-I21)</f>
        <v>0</v>
      </c>
      <c r="H21" s="20" t="n">
        <v>0</v>
      </c>
      <c r="I21" s="15" t="n">
        <f aca="false">ROUND(E21-'INVEST ET FINANCEMENT'!H$49,0)</f>
        <v>0</v>
      </c>
      <c r="J2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L21" s="37" t="s">
        <v>254</v>
      </c>
      <c r="M21" s="29" t="s">
        <v>255</v>
      </c>
    </row>
    <row r="22" customFormat="false" ht="15" hidden="false" customHeight="false" outlineLevel="0" collapsed="false">
      <c r="A22" s="30" t="n">
        <v>196100</v>
      </c>
      <c r="B22" s="12" t="s">
        <v>256</v>
      </c>
      <c r="C22" s="13" t="s">
        <v>257</v>
      </c>
      <c r="D22" s="15" t="n">
        <f aca="false">IF(LEFT(A22,1)&gt;="6",0,SUMIFS('BALANCE 2028'!$H:$H,'BALANCE 2028'!$A:$A,A22))</f>
        <v>0</v>
      </c>
      <c r="E22" s="15" t="n">
        <f aca="false">IF(LEFT(A22,1)&gt;="6",0,SUMIFS('BALANCE 2028'!$I:$I,'BALANCE 2028'!$A:$A,A22))</f>
        <v>45511080</v>
      </c>
      <c r="F22" s="15" t="n">
        <f aca="false">ROUND(HYPOTHESES!H$20,0)+(H22-I22)-(D22-E22)</f>
        <v>0</v>
      </c>
      <c r="G22" s="15" t="n">
        <f aca="false">ROUND(HYPOTHESES!H$20,0)</f>
        <v>6059296</v>
      </c>
      <c r="H22" s="20" t="n">
        <v>0</v>
      </c>
      <c r="I22" s="15" t="n">
        <f aca="false">ROUND(E22+HYPOTHESES!H$20,0)</f>
        <v>51570376</v>
      </c>
      <c r="J2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L22" s="37" t="s">
        <v>258</v>
      </c>
      <c r="M22" s="29" t="s">
        <v>259</v>
      </c>
    </row>
    <row r="23" customFormat="false" ht="15" hidden="false" customHeight="false" outlineLevel="0" collapsed="false">
      <c r="A23" s="38" t="n">
        <v>234100</v>
      </c>
      <c r="B23" s="39" t="s">
        <v>260</v>
      </c>
      <c r="C23" s="40" t="s">
        <v>261</v>
      </c>
      <c r="D23" s="43" t="n">
        <f aca="false">IF(LEFT(A23,1)&gt;="6",0,SUMIFS('BALANCE 2028'!$H:$H,'BALANCE 2028'!$A:$A,A23))</f>
        <v>103601492</v>
      </c>
      <c r="E23" s="43" t="n">
        <f aca="false">IF(LEFT(A23,1)&gt;="6",0,SUMIFS('BALANCE 2028'!$I:$I,'BALANCE 2028'!$A:$A,A23))</f>
        <v>0</v>
      </c>
      <c r="F23" s="43" t="n">
        <f aca="false">ROUND('INVEST ET FINANCEMENT'!H$9,0)</f>
        <v>0</v>
      </c>
      <c r="G23" s="43" t="n">
        <f aca="false">ROUND('INVEST ET FINANCEMENT'!H$9,0)+(D23-E23)-(H23-I23)</f>
        <v>0</v>
      </c>
      <c r="H23" s="43" t="n">
        <f aca="false">ROUND(D23+'INVEST ET FINANCEMENT'!H$9,0)</f>
        <v>103601492</v>
      </c>
      <c r="I23" s="42" t="n">
        <v>0</v>
      </c>
      <c r="J23" s="42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  <c r="L23" s="37" t="s">
        <v>262</v>
      </c>
      <c r="M23" s="29" t="s">
        <v>263</v>
      </c>
    </row>
    <row r="24" customFormat="false" ht="15" hidden="false" customHeight="false" outlineLevel="0" collapsed="false">
      <c r="A24" s="30" t="n">
        <v>241100</v>
      </c>
      <c r="B24" s="12" t="s">
        <v>264</v>
      </c>
      <c r="C24" s="13" t="s">
        <v>265</v>
      </c>
      <c r="D24" s="15" t="n">
        <f aca="false">IF(LEFT(A24,1)&gt;="6",0,SUMIFS('BALANCE 2028'!$H:$H,'BALANCE 2028'!$A:$A,A24))</f>
        <v>403845268</v>
      </c>
      <c r="E24" s="15" t="n">
        <f aca="false">IF(LEFT(A24,1)&gt;="6",0,SUMIFS('BALANCE 2028'!$I:$I,'BALANCE 2028'!$A:$A,A24))</f>
        <v>0</v>
      </c>
      <c r="F24" s="15" t="n">
        <f aca="false">ROUND('INVEST ET FINANCEMENT'!H$10,0)</f>
        <v>30000000</v>
      </c>
      <c r="G24" s="15" t="n">
        <f aca="false">ROUND('INVEST ET FINANCEMENT'!H$10,0)+(D24-E24)-(H24-I24)</f>
        <v>0</v>
      </c>
      <c r="H24" s="15" t="n">
        <f aca="false">ROUND(D24+'INVEST ET FINANCEMENT'!H$10,0)</f>
        <v>433845268</v>
      </c>
      <c r="I24" s="20" t="n">
        <v>0</v>
      </c>
      <c r="J2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25" customFormat="false" ht="15" hidden="false" customHeight="false" outlineLevel="0" collapsed="false">
      <c r="A25" s="30" t="n">
        <v>244100</v>
      </c>
      <c r="B25" s="12" t="s">
        <v>266</v>
      </c>
      <c r="C25" s="13" t="s">
        <v>265</v>
      </c>
      <c r="D25" s="15" t="n">
        <f aca="false">IF(LEFT(A25,1)&gt;="6",0,SUMIFS('BALANCE 2028'!$H:$H,'BALANCE 2028'!$A:$A,A25))</f>
        <v>9306956</v>
      </c>
      <c r="E25" s="15" t="n">
        <f aca="false">IF(LEFT(A25,1)&gt;="6",0,SUMIFS('BALANCE 2028'!$I:$I,'BALANCE 2028'!$A:$A,A25))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ROUND(D25,0)</f>
        <v>9306956</v>
      </c>
      <c r="I25" s="20" t="n">
        <v>0</v>
      </c>
      <c r="J2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26" customFormat="false" ht="15" hidden="false" customHeight="false" outlineLevel="0" collapsed="false">
      <c r="A26" s="30" t="n">
        <v>244200</v>
      </c>
      <c r="B26" s="12" t="s">
        <v>267</v>
      </c>
      <c r="C26" s="13" t="s">
        <v>265</v>
      </c>
      <c r="D26" s="15" t="n">
        <f aca="false">IF(LEFT(A26,1)&gt;="6",0,SUMIFS('BALANCE 2028'!$H:$H,'BALANCE 2028'!$A:$A,A26))</f>
        <v>28910459</v>
      </c>
      <c r="E26" s="15" t="n">
        <f aca="false">IF(LEFT(A26,1)&gt;="6",0,SUMIFS('BALANCE 2028'!$I:$I,'BALANCE 2028'!$A:$A,A26))</f>
        <v>0</v>
      </c>
      <c r="F26" s="15" t="n">
        <f aca="false">ROUND('INVEST ET FINANCEMENT'!H$11,0)</f>
        <v>5000000</v>
      </c>
      <c r="G26" s="15" t="n">
        <f aca="false">ROUND('INVEST ET FINANCEMENT'!H$11,0)+(D26-E26)-(H26-I26)</f>
        <v>0</v>
      </c>
      <c r="H26" s="15" t="n">
        <f aca="false">ROUND(D26+'INVEST ET FINANCEMENT'!H$11,0)</f>
        <v>33910459</v>
      </c>
      <c r="I26" s="20" t="n">
        <v>0</v>
      </c>
      <c r="J2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27" customFormat="false" ht="15" hidden="false" customHeight="false" outlineLevel="0" collapsed="false">
      <c r="A27" s="30" t="n">
        <v>245100</v>
      </c>
      <c r="B27" s="12" t="s">
        <v>268</v>
      </c>
      <c r="C27" s="13" t="s">
        <v>269</v>
      </c>
      <c r="D27" s="15" t="n">
        <f aca="false">IF(LEFT(A27,1)&gt;="6",0,SUMIFS('BALANCE 2028'!$H:$H,'BALANCE 2028'!$A:$A,A27))</f>
        <v>463638205</v>
      </c>
      <c r="E27" s="15" t="n">
        <f aca="false">IF(LEFT(A27,1)&gt;="6",0,SUMIFS('BALANCE 2028'!$I:$I,'BALANCE 2028'!$A:$A,A27))</f>
        <v>0</v>
      </c>
      <c r="F27" s="15" t="n">
        <f aca="false">ROUND('INVEST ET FINANCEMENT'!H$12,0)</f>
        <v>0</v>
      </c>
      <c r="G27" s="15" t="n">
        <f aca="false">ROUND('INVEST ET FINANCEMENT'!H$12,0)+(D27-E27)-(H27-I27)</f>
        <v>0</v>
      </c>
      <c r="H27" s="15" t="n">
        <f aca="false">ROUND(D27+'INVEST ET FINANCEMENT'!H$12,0)</f>
        <v>463638205</v>
      </c>
      <c r="I27" s="20" t="n">
        <v>0</v>
      </c>
      <c r="J2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28" customFormat="false" ht="15" hidden="false" customHeight="false" outlineLevel="0" collapsed="false">
      <c r="A28" s="30" t="n">
        <v>245600</v>
      </c>
      <c r="B28" s="12" t="s">
        <v>270</v>
      </c>
      <c r="C28" s="13" t="s">
        <v>269</v>
      </c>
      <c r="D28" s="15" t="n">
        <f aca="false">IF(LEFT(A28,1)&gt;="6",0,SUMIFS('BALANCE 2028'!$H:$H,'BALANCE 2028'!$A:$A,A28))</f>
        <v>28619694</v>
      </c>
      <c r="E28" s="15" t="n">
        <f aca="false">IF(LEFT(A28,1)&gt;="6",0,SUMIFS('BALANCE 2028'!$I:$I,'BALANCE 2028'!$A:$A,A28))</f>
        <v>0</v>
      </c>
      <c r="F28" s="20" t="n">
        <f aca="false">MAX(0,(H28-I28)-(D28-E28))</f>
        <v>0</v>
      </c>
      <c r="G28" s="20" t="n">
        <f aca="false">MAX(0,(D28-E28)-(H28-I28))</f>
        <v>0</v>
      </c>
      <c r="H28" s="20" t="n">
        <f aca="false">ROUND(D28,0)</f>
        <v>28619694</v>
      </c>
      <c r="I28" s="20" t="n">
        <v>0</v>
      </c>
      <c r="J2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29" customFormat="false" ht="15" hidden="false" customHeight="false" outlineLevel="0" collapsed="false">
      <c r="A29" s="30" t="n">
        <v>271800</v>
      </c>
      <c r="B29" s="12" t="s">
        <v>271</v>
      </c>
      <c r="C29" s="13" t="s">
        <v>272</v>
      </c>
      <c r="D29" s="15" t="n">
        <f aca="false">IF(LEFT(A29,1)&gt;="6",0,SUMIFS('BALANCE 2028'!$H:$H,'BALANCE 2028'!$A:$A,A29))</f>
        <v>25000000</v>
      </c>
      <c r="E29" s="15" t="n">
        <f aca="false">IF(LEFT(A29,1)&gt;="6",0,SUMIFS('BALANCE 2028'!$I:$I,'BALANCE 2028'!$A:$A,A29))</f>
        <v>0</v>
      </c>
      <c r="F29" s="20" t="n">
        <f aca="false">MAX(0,(H29-I29)-(D29-E29))</f>
        <v>0</v>
      </c>
      <c r="G29" s="20" t="n">
        <f aca="false">MAX(0,(D29-E29)-(H29-I29))</f>
        <v>0</v>
      </c>
      <c r="H29" s="20" t="n">
        <f aca="false">ROUND(D29,0)</f>
        <v>25000000</v>
      </c>
      <c r="I29" s="20" t="n">
        <v>0</v>
      </c>
      <c r="J2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0" customFormat="false" ht="15" hidden="false" customHeight="false" outlineLevel="0" collapsed="false">
      <c r="A30" s="30" t="n">
        <v>275100</v>
      </c>
      <c r="B30" s="12" t="s">
        <v>273</v>
      </c>
      <c r="C30" s="13" t="s">
        <v>272</v>
      </c>
      <c r="D30" s="15" t="n">
        <f aca="false">IF(LEFT(A30,1)&gt;="6",0,SUMIFS('BALANCE 2028'!$H:$H,'BALANCE 2028'!$A:$A,A30))</f>
        <v>231420138</v>
      </c>
      <c r="E30" s="15" t="n">
        <f aca="false">IF(LEFT(A30,1)&gt;="6",0,SUMIFS('BALANCE 2028'!$I:$I,'BALANCE 2028'!$A:$A,A30))</f>
        <v>0</v>
      </c>
      <c r="F30" s="15" t="n">
        <f aca="false">ROUND('INVEST ET FINANCEMENT'!H$13,0)</f>
        <v>0</v>
      </c>
      <c r="G30" s="15" t="n">
        <f aca="false">ROUND('INVEST ET FINANCEMENT'!H$13,0)+(D30-E30)-(H30-I30)</f>
        <v>0</v>
      </c>
      <c r="H30" s="15" t="n">
        <f aca="false">ROUND(D30+'INVEST ET FINANCEMENT'!H$13,0)</f>
        <v>231420138</v>
      </c>
      <c r="I30" s="20" t="n">
        <v>0</v>
      </c>
      <c r="J3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1" customFormat="false" ht="15" hidden="false" customHeight="false" outlineLevel="0" collapsed="false">
      <c r="A31" s="30" t="n">
        <v>283400</v>
      </c>
      <c r="B31" s="12" t="s">
        <v>274</v>
      </c>
      <c r="C31" s="13" t="s">
        <v>261</v>
      </c>
      <c r="D31" s="15" t="n">
        <f aca="false">IF(LEFT(A31,1)&gt;="6",0,SUMIFS('BALANCE 2028'!$H:$H,'BALANCE 2028'!$A:$A,A31))</f>
        <v>0</v>
      </c>
      <c r="E31" s="15" t="n">
        <f aca="false">IF(LEFT(A31,1)&gt;="6",0,SUMIFS('BALANCE 2028'!$I:$I,'BALANCE 2028'!$A:$A,A31))</f>
        <v>103601492</v>
      </c>
      <c r="F31" s="15" t="n">
        <f aca="false">ROUND('INVEST ET FINANCEMENT'!H$31,0)+(H31-I31)-(D31-E31)</f>
        <v>0</v>
      </c>
      <c r="G31" s="15" t="n">
        <f aca="false">ROUND('INVEST ET FINANCEMENT'!H$31,0)</f>
        <v>0</v>
      </c>
      <c r="H31" s="20" t="n">
        <v>0</v>
      </c>
      <c r="I31" s="15" t="n">
        <f aca="false">ROUND(E31+'INVEST ET FINANCEMENT'!H$31,0)</f>
        <v>103601492</v>
      </c>
      <c r="J3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2" customFormat="false" ht="15" hidden="false" customHeight="false" outlineLevel="0" collapsed="false">
      <c r="A32" s="30" t="n">
        <v>284100</v>
      </c>
      <c r="B32" s="12" t="s">
        <v>275</v>
      </c>
      <c r="C32" s="13" t="s">
        <v>265</v>
      </c>
      <c r="D32" s="15" t="n">
        <f aca="false">IF(LEFT(A32,1)&gt;="6",0,SUMIFS('BALANCE 2028'!$H:$H,'BALANCE 2028'!$A:$A,A32))</f>
        <v>0</v>
      </c>
      <c r="E32" s="15" t="n">
        <f aca="false">IF(LEFT(A32,1)&gt;="6",0,SUMIFS('BALANCE 2028'!$I:$I,'BALANCE 2028'!$A:$A,A32))</f>
        <v>254753613</v>
      </c>
      <c r="F32" s="15" t="n">
        <f aca="false">ROUND('INVEST ET FINANCEMENT'!H$34,0)+(H32-I32)-(D32-E32)</f>
        <v>0</v>
      </c>
      <c r="G32" s="15" t="n">
        <f aca="false">ROUND('INVEST ET FINANCEMENT'!H$34,0)</f>
        <v>68854932</v>
      </c>
      <c r="H32" s="20" t="n">
        <v>0</v>
      </c>
      <c r="I32" s="15" t="n">
        <f aca="false">ROUND(E32+'INVEST ET FINANCEMENT'!H$34,0)</f>
        <v>323608545</v>
      </c>
      <c r="J3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3" customFormat="false" ht="15" hidden="false" customHeight="false" outlineLevel="0" collapsed="false">
      <c r="A33" s="30" t="n">
        <v>284400</v>
      </c>
      <c r="B33" s="12" t="s">
        <v>276</v>
      </c>
      <c r="C33" s="13" t="s">
        <v>265</v>
      </c>
      <c r="D33" s="15" t="n">
        <f aca="false">IF(LEFT(A33,1)&gt;="6",0,SUMIFS('BALANCE 2028'!$H:$H,'BALANCE 2028'!$A:$A,A33))</f>
        <v>0</v>
      </c>
      <c r="E33" s="15" t="n">
        <f aca="false">IF(LEFT(A33,1)&gt;="6",0,SUMIFS('BALANCE 2028'!$I:$I,'BALANCE 2028'!$A:$A,A33))</f>
        <v>35717415</v>
      </c>
      <c r="F33" s="15" t="n">
        <f aca="false">ROUND('INVEST ET FINANCEMENT'!H$37,0)+(H33-I33)-(D33-E33)</f>
        <v>0</v>
      </c>
      <c r="G33" s="15" t="n">
        <f aca="false">ROUND('INVEST ET FINANCEMENT'!H$37,0)</f>
        <v>5000000</v>
      </c>
      <c r="H33" s="20" t="n">
        <v>0</v>
      </c>
      <c r="I33" s="15" t="n">
        <f aca="false">ROUND(E33+'INVEST ET FINANCEMENT'!H$37,0)</f>
        <v>40717415</v>
      </c>
      <c r="J3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4" customFormat="false" ht="15" hidden="false" customHeight="false" outlineLevel="0" collapsed="false">
      <c r="A34" s="30" t="n">
        <v>284500</v>
      </c>
      <c r="B34" s="12" t="s">
        <v>277</v>
      </c>
      <c r="C34" s="13" t="s">
        <v>269</v>
      </c>
      <c r="D34" s="15" t="n">
        <f aca="false">IF(LEFT(A34,1)&gt;="6",0,SUMIFS('BALANCE 2028'!$H:$H,'BALANCE 2028'!$A:$A,A34))</f>
        <v>0</v>
      </c>
      <c r="E34" s="15" t="n">
        <f aca="false">IF(LEFT(A34,1)&gt;="6",0,SUMIFS('BALANCE 2028'!$I:$I,'BALANCE 2028'!$A:$A,A34))</f>
        <v>437878181</v>
      </c>
      <c r="F34" s="15" t="n">
        <f aca="false">ROUND('INVEST ET FINANCEMENT'!H$40,0)+(H34-I34)-(D34-E34)</f>
        <v>0</v>
      </c>
      <c r="G34" s="15" t="n">
        <f aca="false">ROUND('INVEST ET FINANCEMENT'!H$40,0)</f>
        <v>24093971</v>
      </c>
      <c r="H34" s="20" t="n">
        <v>0</v>
      </c>
      <c r="I34" s="15" t="n">
        <f aca="false">ROUND(E34+'INVEST ET FINANCEMENT'!H$40,0)</f>
        <v>461972152</v>
      </c>
      <c r="J3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5" customFormat="false" ht="15" hidden="false" customHeight="false" outlineLevel="0" collapsed="false">
      <c r="A35" s="38" t="n">
        <v>401100</v>
      </c>
      <c r="B35" s="39" t="s">
        <v>278</v>
      </c>
      <c r="C35" s="40" t="s">
        <v>279</v>
      </c>
      <c r="D35" s="43" t="n">
        <f aca="false">IF(LEFT(A35,1)&gt;="6",0,SUMIFS('BALANCE 2028'!$H:$H,'BALANCE 2028'!$A:$A,A35))</f>
        <v>0</v>
      </c>
      <c r="E35" s="43" t="n">
        <f aca="false">IF(LEFT(A35,1)&gt;="6",0,SUMIFS('BALANCE 2028'!$I:$I,'BALANCE 2028'!$A:$A,A35))</f>
        <v>89958487</v>
      </c>
      <c r="F35" s="43" t="n">
        <f aca="false">ROUND(HYPOTHESES!H$49*(1+HYPOTHESES!H$10),0)+(H35-I35)-(D35-E35)</f>
        <v>592068886</v>
      </c>
      <c r="G35" s="43" t="n">
        <f aca="false">ROUND(HYPOTHESES!H$49*(1+HYPOTHESES!H$10),0)</f>
        <v>596566811</v>
      </c>
      <c r="H35" s="42" t="n">
        <v>0</v>
      </c>
      <c r="I35" s="43" t="n">
        <f aca="false">ROUND(HYPOTHESES!H$49*(1+HYPOTHESES!H$10)*HYPOTHESES!H$23/360,0)</f>
        <v>94456412</v>
      </c>
      <c r="J35" s="42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6" customFormat="false" ht="15" hidden="false" customHeight="false" outlineLevel="0" collapsed="false">
      <c r="A36" s="30" t="n">
        <v>409100</v>
      </c>
      <c r="B36" s="12" t="s">
        <v>280</v>
      </c>
      <c r="C36" s="13" t="s">
        <v>281</v>
      </c>
      <c r="D36" s="15" t="n">
        <f aca="false">IF(LEFT(A36,1)&gt;="6",0,SUMIFS('BALANCE 2028'!$H:$H,'BALANCE 2028'!$A:$A,A36))</f>
        <v>0</v>
      </c>
      <c r="E36" s="15" t="n">
        <f aca="false">IF(LEFT(A36,1)&gt;="6",0,SUMIFS('BALANCE 2028'!$I:$I,'BALANCE 2028'!$A:$A,A36))</f>
        <v>0</v>
      </c>
      <c r="F36" s="20" t="n">
        <f aca="false">MAX(0,(H36-I36)-(D36-E36))</f>
        <v>0</v>
      </c>
      <c r="G36" s="20" t="n">
        <f aca="false">MAX(0,(D36-E36)-(H36-I36))</f>
        <v>0</v>
      </c>
      <c r="H36" s="15" t="n">
        <f aca="false">ROUND(IF(LEFT(A36,1)&gt;="6",IF(C36="RE",IF(HYPOTHESES!$C$43=0,0,HYPOTHESES!H$43*SUMIFS('BALANCE 2024'!$H:$H,'BALANCE 2024'!$A:$A,A36)/HYPOTHESES!$C$43),IF(C36="RG",IF(HYPOTHESES!$C$44=0,0,HYPOTHESES!H$44*SUMIFS('BALANCE 2024'!$H:$H,'BALANCE 2024'!$A:$A,A36)/HYPOTHESES!$C$44),IF(C36="RH",IF(HYPOTHESES!$C$45=0,0,HYPOTHESES!H$45*SUMIFS('BALANCE 2024'!$H:$H,'BALANCE 2024'!$A:$A,A36)/HYPOTHESES!$C$45),IF(C36="RI",IF(HYPOTHESES!$C$46=0,0,HYPOTHESES!H$46*SUMIFS('BALANCE 2024'!$H:$H,'BALANCE 2024'!$A:$A,A36)/HYPOTHESES!$C$46),IF(C36="RJ",IF(HYPOTHESES!$C$47=0,0,HYPOTHESES!H$47*SUMIFS('BALANCE 2024'!$H:$H,'BALANCE 2024'!$A:$A,A36)/HYPOTHESES!$C$47),IF(C36="RK",IF(HYPOTHESES!$C$48=0,0,HYPOTHESES!H$48*SUMIFS('BALANCE 2024'!$H:$H,'BALANCE 2024'!$A:$A,A36)/HYPOTHESES!$C$48),0)))))),MAX(0,D36-E36)),0)</f>
        <v>0</v>
      </c>
      <c r="I36" s="20" t="n">
        <f aca="false">ROUND(IF(LEFT(A36,1)&gt;="6",0,MAX(0,E36-D36)),0)</f>
        <v>0</v>
      </c>
      <c r="J3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7" customFormat="false" ht="15" hidden="false" customHeight="false" outlineLevel="0" collapsed="false">
      <c r="A37" s="30" t="n">
        <v>411100</v>
      </c>
      <c r="B37" s="12" t="s">
        <v>282</v>
      </c>
      <c r="C37" s="13" t="s">
        <v>283</v>
      </c>
      <c r="D37" s="15" t="n">
        <f aca="false">IF(LEFT(A37,1)&gt;="6",0,SUMIFS('BALANCE 2028'!$H:$H,'BALANCE 2028'!$A:$A,A37))</f>
        <v>560701818</v>
      </c>
      <c r="E37" s="15" t="n">
        <f aca="false">IF(LEFT(A37,1)&gt;="6",0,SUMIFS('BALANCE 2028'!$I:$I,'BALANCE 2028'!$A:$A,A37))</f>
        <v>0</v>
      </c>
      <c r="F37" s="15" t="n">
        <f aca="false">ROUND(HYPOTHESES!H$42*(1+HYPOTHESES!H$10),0)</f>
        <v>1075864402</v>
      </c>
      <c r="G37" s="15" t="n">
        <f aca="false">ROUND(HYPOTHESES!H$42*(1+HYPOTHESES!H$10),0)+(D37-E37)-(H37-I37)</f>
        <v>1047829311</v>
      </c>
      <c r="H37" s="15" t="n">
        <f aca="false">ROUND(HYPOTHESES!H$42*(1+HYPOTHESES!H$10)*HYPOTHESES!H$22/360,0)</f>
        <v>588736909</v>
      </c>
      <c r="I37" s="20" t="n">
        <v>0</v>
      </c>
      <c r="J3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8" customFormat="false" ht="15" hidden="false" customHeight="false" outlineLevel="0" collapsed="false">
      <c r="A38" s="30" t="n">
        <v>422000</v>
      </c>
      <c r="B38" s="12" t="s">
        <v>284</v>
      </c>
      <c r="C38" s="13" t="s">
        <v>285</v>
      </c>
      <c r="D38" s="15" t="n">
        <f aca="false">IF(LEFT(A38,1)&gt;="6",0,SUMIFS('BALANCE 2028'!$H:$H,'BALANCE 2028'!$A:$A,A38))</f>
        <v>0</v>
      </c>
      <c r="E38" s="15" t="n">
        <f aca="false">IF(LEFT(A38,1)&gt;="6",0,SUMIFS('BALANCE 2028'!$I:$I,'BALANCE 2028'!$A:$A,A38))</f>
        <v>13804066</v>
      </c>
      <c r="F38" s="15" t="n">
        <f aca="false">ROUND(IF(HYPOTHESES!$C$48=0,0,'BALANCE 2024'!$G$38*HYPOTHESES!H$48/HYPOTHESES!$C$48),0)+(H38-I38)-(D38-E38)</f>
        <v>104981478</v>
      </c>
      <c r="G38" s="15" t="n">
        <f aca="false">ROUND(IF(HYPOTHESES!$C$48=0,0,'BALANCE 2024'!$G$38*HYPOTHESES!H$48/HYPOTHESES!$C$48),0)</f>
        <v>105671681</v>
      </c>
      <c r="H38" s="20" t="n">
        <v>0</v>
      </c>
      <c r="I38" s="15" t="n">
        <f aca="false">ROUND(IF(HYPOTHESES!$C$48=0,0,'BALANCE 2024'!$I$38*HYPOTHESES!H$48/HYPOTHESES!$C$48),0)</f>
        <v>14494269</v>
      </c>
      <c r="J3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39" customFormat="false" ht="15" hidden="false" customHeight="false" outlineLevel="0" collapsed="false">
      <c r="A39" s="30" t="n">
        <v>431301</v>
      </c>
      <c r="B39" s="12" t="s">
        <v>286</v>
      </c>
      <c r="C39" s="13" t="s">
        <v>285</v>
      </c>
      <c r="D39" s="15" t="n">
        <f aca="false">IF(LEFT(A39,1)&gt;="6",0,SUMIFS('BALANCE 2028'!$H:$H,'BALANCE 2028'!$A:$A,A39))</f>
        <v>0</v>
      </c>
      <c r="E39" s="15" t="n">
        <f aca="false">IF(LEFT(A39,1)&gt;="6",0,SUMIFS('BALANCE 2028'!$I:$I,'BALANCE 2028'!$A:$A,A39))</f>
        <v>6017391</v>
      </c>
      <c r="F39" s="15" t="n">
        <f aca="false">ROUND(IF(HYPOTHESES!$C$48=0,0,'BALANCE 2024'!$G$39*HYPOTHESES!H$48/HYPOTHESES!$C$48),0)+(H39-I39)-(D39-E39)</f>
        <v>8807529</v>
      </c>
      <c r="G39" s="15" t="n">
        <f aca="false">ROUND(IF(HYPOTHESES!$C$48=0,0,'BALANCE 2024'!$G$39*HYPOTHESES!H$48/HYPOTHESES!$C$48),0)</f>
        <v>9108398</v>
      </c>
      <c r="H39" s="20" t="n">
        <v>0</v>
      </c>
      <c r="I39" s="15" t="n">
        <f aca="false">ROUND(IF(HYPOTHESES!$C$48=0,0,'BALANCE 2024'!$I$39*HYPOTHESES!H$48/HYPOTHESES!$C$48),0)</f>
        <v>6318260</v>
      </c>
      <c r="J3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0" customFormat="false" ht="15" hidden="false" customHeight="false" outlineLevel="0" collapsed="false">
      <c r="A40" s="30" t="n">
        <v>431302</v>
      </c>
      <c r="B40" s="12" t="s">
        <v>287</v>
      </c>
      <c r="C40" s="13" t="s">
        <v>285</v>
      </c>
      <c r="D40" s="15" t="n">
        <f aca="false">IF(LEFT(A40,1)&gt;="6",0,SUMIFS('BALANCE 2028'!$H:$H,'BALANCE 2028'!$A:$A,A40))</f>
        <v>0</v>
      </c>
      <c r="E40" s="15" t="n">
        <f aca="false">IF(LEFT(A40,1)&gt;="6",0,SUMIFS('BALANCE 2028'!$I:$I,'BALANCE 2028'!$A:$A,A40))</f>
        <v>1488944</v>
      </c>
      <c r="F40" s="15" t="n">
        <f aca="false">ROUND(IF(HYPOTHESES!$C$48=0,0,'BALANCE 2024'!$G$40*HYPOTHESES!H$48/HYPOTHESES!$C$48),0)+(H40-I40)-(D40-E40)</f>
        <v>14825284</v>
      </c>
      <c r="G40" s="15" t="n">
        <f aca="false">ROUND(IF(HYPOTHESES!$C$48=0,0,'BALANCE 2024'!$G$40*HYPOTHESES!H$48/HYPOTHESES!$C$48),0)</f>
        <v>14899731</v>
      </c>
      <c r="H40" s="20" t="n">
        <v>0</v>
      </c>
      <c r="I40" s="15" t="n">
        <f aca="false">ROUND(IF(HYPOTHESES!$C$48=0,0,'BALANCE 2024'!$I$40*HYPOTHESES!H$48/HYPOTHESES!$C$48),0)</f>
        <v>1563391</v>
      </c>
      <c r="J4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1" customFormat="false" ht="15" hidden="false" customHeight="false" outlineLevel="0" collapsed="false">
      <c r="A41" s="30" t="n">
        <v>431802</v>
      </c>
      <c r="B41" s="12" t="s">
        <v>288</v>
      </c>
      <c r="C41" s="13" t="s">
        <v>285</v>
      </c>
      <c r="D41" s="15" t="n">
        <f aca="false">IF(LEFT(A41,1)&gt;="6",0,SUMIFS('BALANCE 2028'!$H:$H,'BALANCE 2028'!$A:$A,A41))</f>
        <v>0</v>
      </c>
      <c r="E41" s="15" t="n">
        <f aca="false">IF(LEFT(A41,1)&gt;="6",0,SUMIFS('BALANCE 2028'!$I:$I,'BALANCE 2028'!$A:$A,A41))</f>
        <v>200529</v>
      </c>
      <c r="F41" s="15" t="n">
        <f aca="false">ROUND(IF(HYPOTHESES!$C$48=0,0,'BALANCE 2024'!$G$41*HYPOTHESES!H$48/HYPOTHESES!$C$48),0)+(H41-I41)-(D41-E41)</f>
        <v>493965</v>
      </c>
      <c r="G41" s="15" t="n">
        <f aca="false">ROUND(IF(HYPOTHESES!$C$48=0,0,'BALANCE 2024'!$G$41*HYPOTHESES!H$48/HYPOTHESES!$C$48),0)</f>
        <v>503991</v>
      </c>
      <c r="H41" s="20" t="n">
        <v>0</v>
      </c>
      <c r="I41" s="15" t="n">
        <f aca="false">ROUND(IF(HYPOTHESES!$C$48=0,0,'BALANCE 2024'!$I$41*HYPOTHESES!H$48/HYPOTHESES!$C$48),0)</f>
        <v>210555</v>
      </c>
      <c r="J4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2" customFormat="false" ht="15" hidden="false" customHeight="false" outlineLevel="0" collapsed="false">
      <c r="A42" s="30" t="n">
        <v>433300</v>
      </c>
      <c r="B42" s="12" t="s">
        <v>289</v>
      </c>
      <c r="C42" s="13" t="s">
        <v>285</v>
      </c>
      <c r="D42" s="15" t="n">
        <f aca="false">IF(LEFT(A42,1)&gt;="6",0,SUMIFS('BALANCE 2028'!$H:$H,'BALANCE 2028'!$A:$A,A42))</f>
        <v>0</v>
      </c>
      <c r="E42" s="15" t="n">
        <f aca="false">IF(LEFT(A42,1)&gt;="6",0,SUMIFS('BALANCE 2028'!$I:$I,'BALANCE 2028'!$A:$A,A42))</f>
        <v>0</v>
      </c>
      <c r="F42" s="15" t="n">
        <f aca="false">ROUND(IF(HYPOTHESES!$C$48=0,0,'BALANCE 2024'!$G$42*HYPOTHESES!H$48/HYPOTHESES!$C$48),0)+(H42-I42)-(D42-E42)</f>
        <v>0</v>
      </c>
      <c r="G42" s="15" t="n">
        <f aca="false">ROUND(IF(HYPOTHESES!$C$48=0,0,'BALANCE 2024'!$G$42*HYPOTHESES!H$48/HYPOTHESES!$C$48),0)</f>
        <v>0</v>
      </c>
      <c r="H42" s="20" t="n">
        <v>0</v>
      </c>
      <c r="I42" s="15" t="n">
        <f aca="false">ROUND(IF(HYPOTHESES!$C$48=0,0,'BALANCE 2024'!$I$42*HYPOTHESES!H$48/HYPOTHESES!$C$48),0)</f>
        <v>0</v>
      </c>
      <c r="J4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3" customFormat="false" ht="15" hidden="false" customHeight="false" outlineLevel="0" collapsed="false">
      <c r="A43" s="30" t="n">
        <v>441000</v>
      </c>
      <c r="B43" s="12" t="s">
        <v>290</v>
      </c>
      <c r="C43" s="13" t="s">
        <v>285</v>
      </c>
      <c r="D43" s="15" t="n">
        <f aca="false">IF(LEFT(A43,1)&gt;="6",0,SUMIFS('BALANCE 2028'!$H:$H,'BALANCE 2028'!$A:$A,A43))</f>
        <v>0</v>
      </c>
      <c r="E43" s="15" t="n">
        <f aca="false">IF(LEFT(A43,1)&gt;="6",0,SUMIFS('BALANCE 2028'!$I:$I,'BALANCE 2028'!$A:$A,A43))</f>
        <v>33628946</v>
      </c>
      <c r="F43" s="15" t="n">
        <f aca="false">ROUND(HYPOTHESES!H$56,0)+(H43-I43)-(D43-E43)</f>
        <v>33628946</v>
      </c>
      <c r="G43" s="15" t="n">
        <f aca="false">ROUND(HYPOTHESES!H$56,0)</f>
        <v>36026715</v>
      </c>
      <c r="H43" s="20" t="n">
        <v>0</v>
      </c>
      <c r="I43" s="15" t="n">
        <f aca="false">ROUND(HYPOTHESES!H$56,0)</f>
        <v>36026715</v>
      </c>
      <c r="J4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4" customFormat="false" ht="15" hidden="false" customHeight="false" outlineLevel="0" collapsed="false">
      <c r="A44" s="30" t="n">
        <v>442800</v>
      </c>
      <c r="B44" s="12" t="s">
        <v>291</v>
      </c>
      <c r="C44" s="13" t="s">
        <v>285</v>
      </c>
      <c r="D44" s="15" t="n">
        <f aca="false">IF(LEFT(A44,1)&gt;="6",0,SUMIFS('BALANCE 2028'!$H:$H,'BALANCE 2028'!$A:$A,A44))</f>
        <v>0</v>
      </c>
      <c r="E44" s="15" t="n">
        <f aca="false">IF(LEFT(A44,1)&gt;="6",0,SUMIFS('BALANCE 2028'!$I:$I,'BALANCE 2028'!$A:$A,A44))</f>
        <v>898365</v>
      </c>
      <c r="F44" s="15" t="n">
        <f aca="false">ROUND(IF(HYPOTHESES!$C$46=0,0,'BALANCE 2024'!$G$44*HYPOTHESES!H$46/HYPOTHESES!$C$46),0)+(H44-I44)-(D44-E44)</f>
        <v>898365</v>
      </c>
      <c r="G44" s="15" t="n">
        <f aca="false">ROUND(IF(HYPOTHESES!$C$46=0,0,'BALANCE 2024'!$G$44*HYPOTHESES!H$46/HYPOTHESES!$C$46),0)</f>
        <v>943283</v>
      </c>
      <c r="H44" s="20" t="n">
        <v>0</v>
      </c>
      <c r="I44" s="15" t="n">
        <f aca="false">ROUND(IF(HYPOTHESES!$C$46=0,0,'BALANCE 2024'!$I$44*HYPOTHESES!H$46/HYPOTHESES!$C$46),0)</f>
        <v>943283</v>
      </c>
      <c r="J4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5" customFormat="false" ht="15" hidden="false" customHeight="false" outlineLevel="0" collapsed="false">
      <c r="A45" s="30" t="n">
        <v>442801</v>
      </c>
      <c r="B45" s="12" t="s">
        <v>292</v>
      </c>
      <c r="C45" s="13" t="s">
        <v>285</v>
      </c>
      <c r="D45" s="15" t="n">
        <f aca="false">IF(LEFT(A45,1)&gt;="6",0,SUMIFS('BALANCE 2028'!$H:$H,'BALANCE 2028'!$A:$A,A45))</f>
        <v>0</v>
      </c>
      <c r="E45" s="15" t="n">
        <f aca="false">IF(LEFT(A45,1)&gt;="6",0,SUMIFS('BALANCE 2028'!$I:$I,'BALANCE 2028'!$A:$A,A45))</f>
        <v>128834</v>
      </c>
      <c r="F45" s="15" t="n">
        <f aca="false">ROUND(IF(HYPOTHESES!$C$46=0,0,'BALANCE 2024'!$G$45*HYPOTHESES!H$46/HYPOTHESES!$C$46),0)+(H45-I45)-(D45-E45)</f>
        <v>128834</v>
      </c>
      <c r="G45" s="15" t="n">
        <f aca="false">ROUND(IF(HYPOTHESES!$C$46=0,0,'BALANCE 2024'!$G$45*HYPOTHESES!H$46/HYPOTHESES!$C$46),0)</f>
        <v>135275</v>
      </c>
      <c r="H45" s="20" t="n">
        <v>0</v>
      </c>
      <c r="I45" s="15" t="n">
        <f aca="false">ROUND(IF(HYPOTHESES!$C$46=0,0,'BALANCE 2024'!$I$45*HYPOTHESES!H$46/HYPOTHESES!$C$46),0)</f>
        <v>135275</v>
      </c>
      <c r="J4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6" customFormat="false" ht="15" hidden="false" customHeight="false" outlineLevel="0" collapsed="false">
      <c r="A46" s="30" t="n">
        <v>442802</v>
      </c>
      <c r="B46" s="12" t="s">
        <v>293</v>
      </c>
      <c r="C46" s="13" t="s">
        <v>285</v>
      </c>
      <c r="D46" s="15" t="n">
        <f aca="false">IF(LEFT(A46,1)&gt;="6",0,SUMIFS('BALANCE 2028'!$H:$H,'BALANCE 2028'!$A:$A,A46))</f>
        <v>0</v>
      </c>
      <c r="E46" s="15" t="n">
        <f aca="false">IF(LEFT(A46,1)&gt;="6",0,SUMIFS('BALANCE 2028'!$I:$I,'BALANCE 2028'!$A:$A,A46))</f>
        <v>193259</v>
      </c>
      <c r="F46" s="15" t="n">
        <f aca="false">ROUND(IF(HYPOTHESES!$C$46=0,0,'BALANCE 2024'!$G$46*HYPOTHESES!H$46/HYPOTHESES!$C$46),0)+(H46-I46)-(D46-E46)</f>
        <v>193259</v>
      </c>
      <c r="G46" s="15" t="n">
        <f aca="false">ROUND(IF(HYPOTHESES!$C$46=0,0,'BALANCE 2024'!$G$46*HYPOTHESES!H$46/HYPOTHESES!$C$46),0)</f>
        <v>202922</v>
      </c>
      <c r="H46" s="20" t="n">
        <v>0</v>
      </c>
      <c r="I46" s="15" t="n">
        <f aca="false">ROUND(IF(HYPOTHESES!$C$46=0,0,'BALANCE 2024'!$I$46*HYPOTHESES!H$46/HYPOTHESES!$C$46),0)</f>
        <v>202922</v>
      </c>
      <c r="J4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7" customFormat="false" ht="15" hidden="false" customHeight="false" outlineLevel="0" collapsed="false">
      <c r="A47" s="30" t="n">
        <v>442803</v>
      </c>
      <c r="B47" s="12" t="s">
        <v>294</v>
      </c>
      <c r="C47" s="13" t="s">
        <v>285</v>
      </c>
      <c r="D47" s="15" t="n">
        <f aca="false">IF(LEFT(A47,1)&gt;="6",0,SUMIFS('BALANCE 2028'!$H:$H,'BALANCE 2028'!$A:$A,A47))</f>
        <v>0</v>
      </c>
      <c r="E47" s="15" t="n">
        <f aca="false">IF(LEFT(A47,1)&gt;="6",0,SUMIFS('BALANCE 2028'!$I:$I,'BALANCE 2028'!$A:$A,A47))</f>
        <v>193258</v>
      </c>
      <c r="F47" s="15" t="n">
        <f aca="false">ROUND(IF(HYPOTHESES!$C$46=0,0,'BALANCE 2024'!$G$47*HYPOTHESES!H$46/HYPOTHESES!$C$46),0)+(H47-I47)-(D47-E47)</f>
        <v>193258</v>
      </c>
      <c r="G47" s="15" t="n">
        <f aca="false">ROUND(IF(HYPOTHESES!$C$46=0,0,'BALANCE 2024'!$G$47*HYPOTHESES!H$46/HYPOTHESES!$C$46),0)</f>
        <v>202921</v>
      </c>
      <c r="H47" s="20" t="n">
        <v>0</v>
      </c>
      <c r="I47" s="15" t="n">
        <f aca="false">ROUND(IF(HYPOTHESES!$C$46=0,0,'BALANCE 2024'!$I$47*HYPOTHESES!H$46/HYPOTHESES!$C$46),0)</f>
        <v>202921</v>
      </c>
      <c r="J4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8" customFormat="false" ht="15" hidden="false" customHeight="false" outlineLevel="0" collapsed="false">
      <c r="A48" s="30" t="n">
        <v>442820</v>
      </c>
      <c r="B48" s="12" t="s">
        <v>295</v>
      </c>
      <c r="C48" s="13" t="s">
        <v>285</v>
      </c>
      <c r="D48" s="15" t="n">
        <f aca="false">IF(LEFT(A48,1)&gt;="6",0,SUMIFS('BALANCE 2028'!$H:$H,'BALANCE 2028'!$A:$A,A48))</f>
        <v>0</v>
      </c>
      <c r="E48" s="15" t="n">
        <f aca="false">IF(LEFT(A48,1)&gt;="6",0,SUMIFS('BALANCE 2028'!$I:$I,'BALANCE 2028'!$A:$A,A48))</f>
        <v>455101</v>
      </c>
      <c r="F48" s="15" t="n">
        <f aca="false">ROUND(IF(HYPOTHESES!$C$46=0,0,'BALANCE 2024'!$G$48*HYPOTHESES!H$46/HYPOTHESES!$C$46),0)+(H48-I48)-(D48-E48)</f>
        <v>1051710</v>
      </c>
      <c r="G48" s="15" t="n">
        <f aca="false">ROUND(IF(HYPOTHESES!$C$46=0,0,'BALANCE 2024'!$G$48*HYPOTHESES!H$46/HYPOTHESES!$C$46),0)</f>
        <v>1074465</v>
      </c>
      <c r="H48" s="20" t="n">
        <v>0</v>
      </c>
      <c r="I48" s="15" t="n">
        <f aca="false">ROUND(IF(HYPOTHESES!$C$46=0,0,'BALANCE 2024'!$I$48*HYPOTHESES!H$46/HYPOTHESES!$C$46),0)</f>
        <v>477856</v>
      </c>
      <c r="J4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49" customFormat="false" ht="15" hidden="false" customHeight="false" outlineLevel="0" collapsed="false">
      <c r="A49" s="30" t="n">
        <v>442840</v>
      </c>
      <c r="B49" s="12" t="s">
        <v>296</v>
      </c>
      <c r="C49" s="13" t="s">
        <v>285</v>
      </c>
      <c r="D49" s="15" t="n">
        <f aca="false">IF(LEFT(A49,1)&gt;="6",0,SUMIFS('BALANCE 2028'!$H:$H,'BALANCE 2028'!$A:$A,A49))</f>
        <v>0</v>
      </c>
      <c r="E49" s="15" t="n">
        <f aca="false">IF(LEFT(A49,1)&gt;="6",0,SUMIFS('BALANCE 2028'!$I:$I,'BALANCE 2028'!$A:$A,A49))</f>
        <v>6190002</v>
      </c>
      <c r="F49" s="15" t="n">
        <f aca="false">ROUND(IF(HYPOTHESES!$C$46=0,0,'BALANCE 2024'!$G$49*HYPOTHESES!H$46/HYPOTHESES!$C$46),0)+(H49-I49)-(D49-E49)</f>
        <v>11461270</v>
      </c>
      <c r="G49" s="15" t="n">
        <f aca="false">ROUND(IF(HYPOTHESES!$C$46=0,0,'BALANCE 2024'!$G$49*HYPOTHESES!H$46/HYPOTHESES!$C$46),0)</f>
        <v>11770770</v>
      </c>
      <c r="H49" s="20" t="n">
        <v>0</v>
      </c>
      <c r="I49" s="15" t="n">
        <f aca="false">ROUND(IF(HYPOTHESES!$C$46=0,0,'BALANCE 2024'!$I$49*HYPOTHESES!H$46/HYPOTHESES!$C$46),0)</f>
        <v>6499502</v>
      </c>
      <c r="J4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0" customFormat="false" ht="15" hidden="false" customHeight="false" outlineLevel="0" collapsed="false">
      <c r="A50" s="30" t="n">
        <v>443300</v>
      </c>
      <c r="B50" s="12" t="s">
        <v>297</v>
      </c>
      <c r="C50" s="13" t="s">
        <v>285</v>
      </c>
      <c r="D50" s="15" t="n">
        <f aca="false">IF(LEFT(A50,1)&gt;="6",0,SUMIFS('BALANCE 2028'!$H:$H,'BALANCE 2028'!$A:$A,A50))</f>
        <v>0</v>
      </c>
      <c r="E50" s="15" t="n">
        <f aca="false">IF(LEFT(A50,1)&gt;="6",0,SUMIFS('BALANCE 2028'!$I:$I,'BALANCE 2028'!$A:$A,A50))</f>
        <v>64647439</v>
      </c>
      <c r="F50" s="15" t="n">
        <f aca="false">ROUND(HYPOTHESES!H$42*HYPOTHESES!H$10,0)+(H50-I50)-(D50-E50)</f>
        <v>160882537</v>
      </c>
      <c r="G50" s="15" t="n">
        <f aca="false">ROUND(HYPOTHESES!H$42*HYPOTHESES!H$10,0)</f>
        <v>164114909</v>
      </c>
      <c r="H50" s="20" t="n">
        <v>0</v>
      </c>
      <c r="I50" s="15" t="n">
        <f aca="false">ROUND(IF('BALANCE 2024'!$H$37=0,0,'BALANCE 2024'!$I$50*H37/'BALANCE 2024'!$H$37),0)</f>
        <v>67879811</v>
      </c>
      <c r="J5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1" customFormat="false" ht="15" hidden="false" customHeight="false" outlineLevel="0" collapsed="false">
      <c r="A51" s="30" t="n">
        <v>446000</v>
      </c>
      <c r="B51" s="12" t="s">
        <v>298</v>
      </c>
      <c r="C51" s="13" t="s">
        <v>285</v>
      </c>
      <c r="D51" s="15" t="n">
        <f aca="false">IF(LEFT(A51,1)&gt;="6",0,SUMIFS('BALANCE 2028'!$H:$H,'BALANCE 2028'!$A:$A,A51))</f>
        <v>0</v>
      </c>
      <c r="E51" s="15" t="n">
        <f aca="false">IF(LEFT(A51,1)&gt;="6",0,SUMIFS('BALANCE 2028'!$I:$I,'BALANCE 2028'!$A:$A,A51))</f>
        <v>247600</v>
      </c>
      <c r="F51" s="15" t="n">
        <f aca="false">ROUND(IF(HYPOTHESES!$C$46=0,0,'BALANCE 2024'!$G$51*HYPOTHESES!H$46/HYPOTHESES!$C$46),0)+(H51-I51)-(D51-E51)</f>
        <v>262789</v>
      </c>
      <c r="G51" s="15" t="n">
        <f aca="false">ROUND(IF(HYPOTHESES!$C$46=0,0,'BALANCE 2024'!$G$51*HYPOTHESES!H$46/HYPOTHESES!$C$46),0)</f>
        <v>275169</v>
      </c>
      <c r="H51" s="20" t="n">
        <v>0</v>
      </c>
      <c r="I51" s="15" t="n">
        <f aca="false">ROUND(IF(HYPOTHESES!$C$46=0,0,'BALANCE 2024'!$I$51*HYPOTHESES!H$46/HYPOTHESES!$C$46),0)</f>
        <v>259980</v>
      </c>
      <c r="J5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2" customFormat="false" ht="15" hidden="false" customHeight="false" outlineLevel="0" collapsed="false">
      <c r="A52" s="30" t="n">
        <v>447201</v>
      </c>
      <c r="B52" s="12" t="s">
        <v>299</v>
      </c>
      <c r="C52" s="13" t="s">
        <v>285</v>
      </c>
      <c r="D52" s="15" t="n">
        <f aca="false">IF(LEFT(A52,1)&gt;="6",0,SUMIFS('BALANCE 2028'!$H:$H,'BALANCE 2028'!$A:$A,A52))</f>
        <v>0</v>
      </c>
      <c r="E52" s="15" t="n">
        <f aca="false">IF(LEFT(A52,1)&gt;="6",0,SUMIFS('BALANCE 2028'!$I:$I,'BALANCE 2028'!$A:$A,A52))</f>
        <v>2020466</v>
      </c>
      <c r="F52" s="15" t="n">
        <f aca="false">ROUND(IF(HYPOTHESES!$C$48=0,0,'BALANCE 2024'!$G$52*HYPOTHESES!H$48/HYPOTHESES!$C$48),0)+(H52-I52)-(D52-E52)</f>
        <v>7571699</v>
      </c>
      <c r="G52" s="15" t="n">
        <f aca="false">ROUND(IF(HYPOTHESES!$C$48=0,0,'BALANCE 2024'!$G$52*HYPOTHESES!H$48/HYPOTHESES!$C$48),0)</f>
        <v>7672722</v>
      </c>
      <c r="H52" s="20" t="n">
        <v>0</v>
      </c>
      <c r="I52" s="15" t="n">
        <f aca="false">ROUND(IF(HYPOTHESES!$C$48=0,0,'BALANCE 2024'!$I$52*HYPOTHESES!H$48/HYPOTHESES!$C$48),0)</f>
        <v>2121489</v>
      </c>
      <c r="J5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3" customFormat="false" ht="15" hidden="false" customHeight="false" outlineLevel="0" collapsed="false">
      <c r="A53" s="30" t="n">
        <v>462100</v>
      </c>
      <c r="B53" s="12" t="s">
        <v>300</v>
      </c>
      <c r="C53" s="13" t="s">
        <v>301</v>
      </c>
      <c r="D53" s="15" t="n">
        <f aca="false">IF(LEFT(A53,1)&gt;="6",0,SUMIFS('BALANCE 2028'!$H:$H,'BALANCE 2028'!$A:$A,A53))</f>
        <v>0</v>
      </c>
      <c r="E53" s="15" t="n">
        <f aca="false">IF(LEFT(A53,1)&gt;="6",0,SUMIFS('BALANCE 2028'!$I:$I,'BALANCE 2028'!$A:$A,A53))</f>
        <v>0</v>
      </c>
      <c r="F53" s="15" t="n">
        <f aca="false">ROUND('INVEST ET FINANCEMENT'!H$53,0)+(H53-I53)-(D53-E53)</f>
        <v>0</v>
      </c>
      <c r="G53" s="15" t="n">
        <f aca="false">ROUND('INVEST ET FINANCEMENT'!H$53,0)</f>
        <v>0</v>
      </c>
      <c r="H53" s="20" t="n">
        <v>0</v>
      </c>
      <c r="I53" s="15" t="n">
        <f aca="false">ROUND('INVEST ET FINANCEMENT'!H$54,0)</f>
        <v>0</v>
      </c>
      <c r="J5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4" customFormat="false" ht="15" hidden="false" customHeight="false" outlineLevel="0" collapsed="false">
      <c r="A54" s="30" t="n">
        <v>471200</v>
      </c>
      <c r="B54" s="12" t="s">
        <v>302</v>
      </c>
      <c r="C54" s="13" t="s">
        <v>303</v>
      </c>
      <c r="D54" s="15" t="n">
        <f aca="false">IF(LEFT(A54,1)&gt;="6",0,SUMIFS('BALANCE 2028'!$H:$H,'BALANCE 2028'!$A:$A,A54))</f>
        <v>0</v>
      </c>
      <c r="E54" s="15" t="n">
        <f aca="false">IF(LEFT(A54,1)&gt;="6",0,SUMIFS('BALANCE 2028'!$I:$I,'BALANCE 2028'!$A:$A,A54))</f>
        <v>0</v>
      </c>
      <c r="F54" s="20" t="n">
        <f aca="false">MAX(0,(H54-I54)-(D54-E54))</f>
        <v>-0</v>
      </c>
      <c r="G54" s="20" t="n">
        <f aca="false">MAX(0,(D54-E54)-(H54-I54))</f>
        <v>0</v>
      </c>
      <c r="H54" s="15" t="n">
        <f aca="false">ROUND(MAX(0,-(E54-D54+HYPOTHESES!H$31)),0)</f>
        <v>-0</v>
      </c>
      <c r="I54" s="15" t="n">
        <f aca="false">ROUND(MAX(0,(E54-D54+HYPOTHESES!H$31)),0)</f>
        <v>0</v>
      </c>
      <c r="J5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5" customFormat="false" ht="15" hidden="false" customHeight="false" outlineLevel="0" collapsed="false">
      <c r="A55" s="30" t="n">
        <v>481200</v>
      </c>
      <c r="B55" s="12" t="s">
        <v>304</v>
      </c>
      <c r="C55" s="13" t="s">
        <v>305</v>
      </c>
      <c r="D55" s="15" t="n">
        <f aca="false">IF(LEFT(A55,1)&gt;="6",0,SUMIFS('BALANCE 2028'!$H:$H,'BALANCE 2028'!$A:$A,A55))</f>
        <v>0</v>
      </c>
      <c r="E55" s="15" t="n">
        <f aca="false">IF(LEFT(A55,1)&gt;="6",0,SUMIFS('BALANCE 2028'!$I:$I,'BALANCE 2028'!$A:$A,A55))</f>
        <v>27291667</v>
      </c>
      <c r="F55" s="15" t="n">
        <f aca="false">ROUND('INVEST ET FINANCEMENT'!H$41,0)+(H55-I55)-(D55-E55)</f>
        <v>49555556</v>
      </c>
      <c r="G55" s="15" t="n">
        <f aca="false">ROUND('INVEST ET FINANCEMENT'!H$41,0)</f>
        <v>35000000</v>
      </c>
      <c r="H55" s="20" t="n">
        <v>0</v>
      </c>
      <c r="I55" s="15" t="n">
        <f aca="false">ROUND(HYPOTHESES!H$28,0)</f>
        <v>12736111</v>
      </c>
      <c r="J5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6" customFormat="false" ht="15" hidden="false" customHeight="false" outlineLevel="0" collapsed="false">
      <c r="A56" s="38" t="n">
        <v>604300</v>
      </c>
      <c r="B56" s="39" t="s">
        <v>306</v>
      </c>
      <c r="C56" s="40" t="s">
        <v>307</v>
      </c>
      <c r="D56" s="43" t="n">
        <f aca="false">IF(LEFT(A56,1)&gt;="6",0,SUMIFS('BALANCE 2028'!$H:$H,'BALANCE 2028'!$A:$A,A56))</f>
        <v>0</v>
      </c>
      <c r="E56" s="43" t="n">
        <f aca="false">IF(LEFT(A56,1)&gt;="6",0,SUMIFS('BALANCE 2028'!$I:$I,'BALANCE 2028'!$A:$A,A56))</f>
        <v>0</v>
      </c>
      <c r="F56" s="42" t="n">
        <f aca="false">MAX(0,(H56-I56)-(D56-E56))</f>
        <v>1626409</v>
      </c>
      <c r="G56" s="42" t="n">
        <f aca="false">MAX(0,(D56-E56)-(H56-I56))</f>
        <v>0</v>
      </c>
      <c r="H56" s="43" t="n">
        <f aca="false">ROUND(IF(LEFT(A56,1)&gt;="6",IF(C56="RE",IF(HYPOTHESES!$C$43=0,0,HYPOTHESES!H$43*SUMIFS('BALANCE 2024'!$H:$H,'BALANCE 2024'!$A:$A,A56)/HYPOTHESES!$C$43),IF(C56="RG",IF(HYPOTHESES!$C$44=0,0,HYPOTHESES!H$44*SUMIFS('BALANCE 2024'!$H:$H,'BALANCE 2024'!$A:$A,A56)/HYPOTHESES!$C$44),IF(C56="RH",IF(HYPOTHESES!$C$45=0,0,HYPOTHESES!H$45*SUMIFS('BALANCE 2024'!$H:$H,'BALANCE 2024'!$A:$A,A56)/HYPOTHESES!$C$45),IF(C56="RI",IF(HYPOTHESES!$C$46=0,0,HYPOTHESES!H$46*SUMIFS('BALANCE 2024'!$H:$H,'BALANCE 2024'!$A:$A,A56)/HYPOTHESES!$C$46),IF(C56="RJ",IF(HYPOTHESES!$C$47=0,0,HYPOTHESES!H$47*SUMIFS('BALANCE 2024'!$H:$H,'BALANCE 2024'!$A:$A,A56)/HYPOTHESES!$C$47),IF(C56="RK",IF(HYPOTHESES!$C$48=0,0,HYPOTHESES!H$48*SUMIFS('BALANCE 2024'!$H:$H,'BALANCE 2024'!$A:$A,A56)/HYPOTHESES!$C$48),0)))))),MAX(0,D56-E56)),0)</f>
        <v>1626409</v>
      </c>
      <c r="I56" s="42" t="n">
        <v>0</v>
      </c>
      <c r="J56" s="42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7" customFormat="false" ht="15" hidden="false" customHeight="false" outlineLevel="0" collapsed="false">
      <c r="A57" s="30" t="n">
        <v>605100</v>
      </c>
      <c r="B57" s="12" t="s">
        <v>308</v>
      </c>
      <c r="C57" s="13" t="s">
        <v>307</v>
      </c>
      <c r="D57" s="15" t="n">
        <f aca="false">IF(LEFT(A57,1)&gt;="6",0,SUMIFS('BALANCE 2028'!$H:$H,'BALANCE 2028'!$A:$A,A57))</f>
        <v>0</v>
      </c>
      <c r="E57" s="15" t="n">
        <f aca="false">IF(LEFT(A57,1)&gt;="6",0,SUMIFS('BALANCE 2028'!$I:$I,'BALANCE 2028'!$A:$A,A57))</f>
        <v>0</v>
      </c>
      <c r="F57" s="20" t="n">
        <f aca="false">MAX(0,(H57-I57)-(D57-E57))</f>
        <v>162038</v>
      </c>
      <c r="G57" s="20" t="n">
        <f aca="false">MAX(0,(D57-E57)-(H57-I57))</f>
        <v>0</v>
      </c>
      <c r="H57" s="15" t="n">
        <f aca="false">ROUND(IF(LEFT(A57,1)&gt;="6",IF(C57="RE",IF(HYPOTHESES!$C$43=0,0,HYPOTHESES!H$43*SUMIFS('BALANCE 2024'!$H:$H,'BALANCE 2024'!$A:$A,A57)/HYPOTHESES!$C$43),IF(C57="RG",IF(HYPOTHESES!$C$44=0,0,HYPOTHESES!H$44*SUMIFS('BALANCE 2024'!$H:$H,'BALANCE 2024'!$A:$A,A57)/HYPOTHESES!$C$44),IF(C57="RH",IF(HYPOTHESES!$C$45=0,0,HYPOTHESES!H$45*SUMIFS('BALANCE 2024'!$H:$H,'BALANCE 2024'!$A:$A,A57)/HYPOTHESES!$C$45),IF(C57="RI",IF(HYPOTHESES!$C$46=0,0,HYPOTHESES!H$46*SUMIFS('BALANCE 2024'!$H:$H,'BALANCE 2024'!$A:$A,A57)/HYPOTHESES!$C$46),IF(C57="RJ",IF(HYPOTHESES!$C$47=0,0,HYPOTHESES!H$47*SUMIFS('BALANCE 2024'!$H:$H,'BALANCE 2024'!$A:$A,A57)/HYPOTHESES!$C$47),IF(C57="RK",IF(HYPOTHESES!$C$48=0,0,HYPOTHESES!H$48*SUMIFS('BALANCE 2024'!$H:$H,'BALANCE 2024'!$A:$A,A57)/HYPOTHESES!$C$48),0)))))),MAX(0,D57-E57)),0)</f>
        <v>162038</v>
      </c>
      <c r="I57" s="20" t="n">
        <v>0</v>
      </c>
      <c r="J5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8" customFormat="false" ht="15" hidden="false" customHeight="false" outlineLevel="0" collapsed="false">
      <c r="A58" s="30" t="n">
        <v>605200</v>
      </c>
      <c r="B58" s="12" t="s">
        <v>309</v>
      </c>
      <c r="C58" s="13" t="s">
        <v>307</v>
      </c>
      <c r="D58" s="15" t="n">
        <f aca="false">IF(LEFT(A58,1)&gt;="6",0,SUMIFS('BALANCE 2028'!$H:$H,'BALANCE 2028'!$A:$A,A58))</f>
        <v>0</v>
      </c>
      <c r="E58" s="15" t="n">
        <f aca="false">IF(LEFT(A58,1)&gt;="6",0,SUMIFS('BALANCE 2028'!$I:$I,'BALANCE 2028'!$A:$A,A58))</f>
        <v>0</v>
      </c>
      <c r="F58" s="20" t="n">
        <f aca="false">MAX(0,(H58-I58)-(D58-E58))</f>
        <v>51978295</v>
      </c>
      <c r="G58" s="20" t="n">
        <f aca="false">MAX(0,(D58-E58)-(H58-I58))</f>
        <v>0</v>
      </c>
      <c r="H58" s="15" t="n">
        <f aca="false">ROUND(IF(LEFT(A58,1)&gt;="6",IF(C58="RE",IF(HYPOTHESES!$C$43=0,0,HYPOTHESES!H$43*SUMIFS('BALANCE 2024'!$H:$H,'BALANCE 2024'!$A:$A,A58)/HYPOTHESES!$C$43),IF(C58="RG",IF(HYPOTHESES!$C$44=0,0,HYPOTHESES!H$44*SUMIFS('BALANCE 2024'!$H:$H,'BALANCE 2024'!$A:$A,A58)/HYPOTHESES!$C$44),IF(C58="RH",IF(HYPOTHESES!$C$45=0,0,HYPOTHESES!H$45*SUMIFS('BALANCE 2024'!$H:$H,'BALANCE 2024'!$A:$A,A58)/HYPOTHESES!$C$45),IF(C58="RI",IF(HYPOTHESES!$C$46=0,0,HYPOTHESES!H$46*SUMIFS('BALANCE 2024'!$H:$H,'BALANCE 2024'!$A:$A,A58)/HYPOTHESES!$C$46),IF(C58="RJ",IF(HYPOTHESES!$C$47=0,0,HYPOTHESES!H$47*SUMIFS('BALANCE 2024'!$H:$H,'BALANCE 2024'!$A:$A,A58)/HYPOTHESES!$C$47),IF(C58="RK",IF(HYPOTHESES!$C$48=0,0,HYPOTHESES!H$48*SUMIFS('BALANCE 2024'!$H:$H,'BALANCE 2024'!$A:$A,A58)/HYPOTHESES!$C$48),0)))))),MAX(0,D58-E58)),0)</f>
        <v>51978295</v>
      </c>
      <c r="I58" s="20" t="n">
        <v>0</v>
      </c>
      <c r="J5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59" customFormat="false" ht="15" hidden="false" customHeight="false" outlineLevel="0" collapsed="false">
      <c r="A59" s="30" t="n">
        <v>605300</v>
      </c>
      <c r="B59" s="12" t="s">
        <v>310</v>
      </c>
      <c r="C59" s="13" t="s">
        <v>307</v>
      </c>
      <c r="D59" s="15" t="n">
        <f aca="false">IF(LEFT(A59,1)&gt;="6",0,SUMIFS('BALANCE 2028'!$H:$H,'BALANCE 2028'!$A:$A,A59))</f>
        <v>0</v>
      </c>
      <c r="E59" s="15" t="n">
        <f aca="false">IF(LEFT(A59,1)&gt;="6",0,SUMIFS('BALANCE 2028'!$I:$I,'BALANCE 2028'!$A:$A,A59))</f>
        <v>0</v>
      </c>
      <c r="F59" s="20" t="n">
        <f aca="false">MAX(0,(H59-I59)-(D59-E59))</f>
        <v>25804914</v>
      </c>
      <c r="G59" s="20" t="n">
        <f aca="false">MAX(0,(D59-E59)-(H59-I59))</f>
        <v>0</v>
      </c>
      <c r="H59" s="15" t="n">
        <f aca="false">ROUND(IF(LEFT(A59,1)&gt;="6",IF(C59="RE",IF(HYPOTHESES!$C$43=0,0,HYPOTHESES!H$43*SUMIFS('BALANCE 2024'!$H:$H,'BALANCE 2024'!$A:$A,A59)/HYPOTHESES!$C$43),IF(C59="RG",IF(HYPOTHESES!$C$44=0,0,HYPOTHESES!H$44*SUMIFS('BALANCE 2024'!$H:$H,'BALANCE 2024'!$A:$A,A59)/HYPOTHESES!$C$44),IF(C59="RH",IF(HYPOTHESES!$C$45=0,0,HYPOTHESES!H$45*SUMIFS('BALANCE 2024'!$H:$H,'BALANCE 2024'!$A:$A,A59)/HYPOTHESES!$C$45),IF(C59="RI",IF(HYPOTHESES!$C$46=0,0,HYPOTHESES!H$46*SUMIFS('BALANCE 2024'!$H:$H,'BALANCE 2024'!$A:$A,A59)/HYPOTHESES!$C$46),IF(C59="RJ",IF(HYPOTHESES!$C$47=0,0,HYPOTHESES!H$47*SUMIFS('BALANCE 2024'!$H:$H,'BALANCE 2024'!$A:$A,A59)/HYPOTHESES!$C$47),IF(C59="RK",IF(HYPOTHESES!$C$48=0,0,HYPOTHESES!H$48*SUMIFS('BALANCE 2024'!$H:$H,'BALANCE 2024'!$A:$A,A59)/HYPOTHESES!$C$48),0)))))),MAX(0,D59-E59)),0)</f>
        <v>25804914</v>
      </c>
      <c r="I59" s="20" t="n">
        <v>0</v>
      </c>
      <c r="J5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0" customFormat="false" ht="15" hidden="false" customHeight="false" outlineLevel="0" collapsed="false">
      <c r="A60" s="30" t="n">
        <v>605500</v>
      </c>
      <c r="B60" s="12" t="s">
        <v>311</v>
      </c>
      <c r="C60" s="13" t="s">
        <v>307</v>
      </c>
      <c r="D60" s="15" t="n">
        <f aca="false">IF(LEFT(A60,1)&gt;="6",0,SUMIFS('BALANCE 2028'!$H:$H,'BALANCE 2028'!$A:$A,A60))</f>
        <v>0</v>
      </c>
      <c r="E60" s="15" t="n">
        <f aca="false">IF(LEFT(A60,1)&gt;="6",0,SUMIFS('BALANCE 2028'!$I:$I,'BALANCE 2028'!$A:$A,A60))</f>
        <v>0</v>
      </c>
      <c r="F60" s="20" t="n">
        <f aca="false">MAX(0,(H60-I60)-(D60-E60))</f>
        <v>16744874</v>
      </c>
      <c r="G60" s="20" t="n">
        <f aca="false">MAX(0,(D60-E60)-(H60-I60))</f>
        <v>0</v>
      </c>
      <c r="H60" s="15" t="n">
        <f aca="false">ROUND(IF(LEFT(A60,1)&gt;="6",IF(C60="RE",IF(HYPOTHESES!$C$43=0,0,HYPOTHESES!H$43*SUMIFS('BALANCE 2024'!$H:$H,'BALANCE 2024'!$A:$A,A60)/HYPOTHESES!$C$43),IF(C60="RG",IF(HYPOTHESES!$C$44=0,0,HYPOTHESES!H$44*SUMIFS('BALANCE 2024'!$H:$H,'BALANCE 2024'!$A:$A,A60)/HYPOTHESES!$C$44),IF(C60="RH",IF(HYPOTHESES!$C$45=0,0,HYPOTHESES!H$45*SUMIFS('BALANCE 2024'!$H:$H,'BALANCE 2024'!$A:$A,A60)/HYPOTHESES!$C$45),IF(C60="RI",IF(HYPOTHESES!$C$46=0,0,HYPOTHESES!H$46*SUMIFS('BALANCE 2024'!$H:$H,'BALANCE 2024'!$A:$A,A60)/HYPOTHESES!$C$46),IF(C60="RJ",IF(HYPOTHESES!$C$47=0,0,HYPOTHESES!H$47*SUMIFS('BALANCE 2024'!$H:$H,'BALANCE 2024'!$A:$A,A60)/HYPOTHESES!$C$47),IF(C60="RK",IF(HYPOTHESES!$C$48=0,0,HYPOTHESES!H$48*SUMIFS('BALANCE 2024'!$H:$H,'BALANCE 2024'!$A:$A,A60)/HYPOTHESES!$C$48),0)))))),MAX(0,D60-E60)),0)</f>
        <v>16744874</v>
      </c>
      <c r="I60" s="20" t="n">
        <v>0</v>
      </c>
      <c r="J6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1" customFormat="false" ht="15" hidden="false" customHeight="false" outlineLevel="0" collapsed="false">
      <c r="A61" s="30" t="n">
        <v>605600</v>
      </c>
      <c r="B61" s="12" t="s">
        <v>312</v>
      </c>
      <c r="C61" s="13" t="s">
        <v>307</v>
      </c>
      <c r="D61" s="15" t="n">
        <f aca="false">IF(LEFT(A61,1)&gt;="6",0,SUMIFS('BALANCE 2028'!$H:$H,'BALANCE 2028'!$A:$A,A61))</f>
        <v>0</v>
      </c>
      <c r="E61" s="15" t="n">
        <f aca="false">IF(LEFT(A61,1)&gt;="6",0,SUMIFS('BALANCE 2028'!$I:$I,'BALANCE 2028'!$A:$A,A61))</f>
        <v>0</v>
      </c>
      <c r="F61" s="20" t="n">
        <f aca="false">MAX(0,(H61-I61)-(D61-E61))</f>
        <v>4801744</v>
      </c>
      <c r="G61" s="20" t="n">
        <f aca="false">MAX(0,(D61-E61)-(H61-I61))</f>
        <v>0</v>
      </c>
      <c r="H61" s="15" t="n">
        <f aca="false">ROUND(IF(LEFT(A61,1)&gt;="6",IF(C61="RE",IF(HYPOTHESES!$C$43=0,0,HYPOTHESES!H$43*SUMIFS('BALANCE 2024'!$H:$H,'BALANCE 2024'!$A:$A,A61)/HYPOTHESES!$C$43),IF(C61="RG",IF(HYPOTHESES!$C$44=0,0,HYPOTHESES!H$44*SUMIFS('BALANCE 2024'!$H:$H,'BALANCE 2024'!$A:$A,A61)/HYPOTHESES!$C$44),IF(C61="RH",IF(HYPOTHESES!$C$45=0,0,HYPOTHESES!H$45*SUMIFS('BALANCE 2024'!$H:$H,'BALANCE 2024'!$A:$A,A61)/HYPOTHESES!$C$45),IF(C61="RI",IF(HYPOTHESES!$C$46=0,0,HYPOTHESES!H$46*SUMIFS('BALANCE 2024'!$H:$H,'BALANCE 2024'!$A:$A,A61)/HYPOTHESES!$C$46),IF(C61="RJ",IF(HYPOTHESES!$C$47=0,0,HYPOTHESES!H$47*SUMIFS('BALANCE 2024'!$H:$H,'BALANCE 2024'!$A:$A,A61)/HYPOTHESES!$C$47),IF(C61="RK",IF(HYPOTHESES!$C$48=0,0,HYPOTHESES!H$48*SUMIFS('BALANCE 2024'!$H:$H,'BALANCE 2024'!$A:$A,A61)/HYPOTHESES!$C$48),0)))))),MAX(0,D61-E61)),0)</f>
        <v>4801744</v>
      </c>
      <c r="I61" s="20" t="n">
        <v>0</v>
      </c>
      <c r="J6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2" customFormat="false" ht="15" hidden="false" customHeight="false" outlineLevel="0" collapsed="false">
      <c r="A62" s="30" t="n">
        <v>605700</v>
      </c>
      <c r="B62" s="12" t="s">
        <v>313</v>
      </c>
      <c r="C62" s="13" t="s">
        <v>307</v>
      </c>
      <c r="D62" s="15" t="n">
        <f aca="false">IF(LEFT(A62,1)&gt;="6",0,SUMIFS('BALANCE 2028'!$H:$H,'BALANCE 2028'!$A:$A,A62))</f>
        <v>0</v>
      </c>
      <c r="E62" s="15" t="n">
        <f aca="false">IF(LEFT(A62,1)&gt;="6",0,SUMIFS('BALANCE 2028'!$I:$I,'BALANCE 2028'!$A:$A,A62))</f>
        <v>0</v>
      </c>
      <c r="F62" s="20" t="n">
        <f aca="false">MAX(0,(H62-I62)-(D62-E62))</f>
        <v>104265570</v>
      </c>
      <c r="G62" s="20" t="n">
        <f aca="false">MAX(0,(D62-E62)-(H62-I62))</f>
        <v>0</v>
      </c>
      <c r="H62" s="15" t="n">
        <f aca="false">ROUND(IF(LEFT(A62,1)&gt;="6",IF(C62="RE",IF(HYPOTHESES!$C$43=0,0,HYPOTHESES!H$43*SUMIFS('BALANCE 2024'!$H:$H,'BALANCE 2024'!$A:$A,A62)/HYPOTHESES!$C$43),IF(C62="RG",IF(HYPOTHESES!$C$44=0,0,HYPOTHESES!H$44*SUMIFS('BALANCE 2024'!$H:$H,'BALANCE 2024'!$A:$A,A62)/HYPOTHESES!$C$44),IF(C62="RH",IF(HYPOTHESES!$C$45=0,0,HYPOTHESES!H$45*SUMIFS('BALANCE 2024'!$H:$H,'BALANCE 2024'!$A:$A,A62)/HYPOTHESES!$C$45),IF(C62="RI",IF(HYPOTHESES!$C$46=0,0,HYPOTHESES!H$46*SUMIFS('BALANCE 2024'!$H:$H,'BALANCE 2024'!$A:$A,A62)/HYPOTHESES!$C$46),IF(C62="RJ",IF(HYPOTHESES!$C$47=0,0,HYPOTHESES!H$47*SUMIFS('BALANCE 2024'!$H:$H,'BALANCE 2024'!$A:$A,A62)/HYPOTHESES!$C$47),IF(C62="RK",IF(HYPOTHESES!$C$48=0,0,HYPOTHESES!H$48*SUMIFS('BALANCE 2024'!$H:$H,'BALANCE 2024'!$A:$A,A62)/HYPOTHESES!$C$48),0)))))),MAX(0,D62-E62)),0)</f>
        <v>104265570</v>
      </c>
      <c r="I62" s="20" t="n">
        <v>0</v>
      </c>
      <c r="J6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3" customFormat="false" ht="15" hidden="false" customHeight="false" outlineLevel="0" collapsed="false">
      <c r="A63" s="30" t="n">
        <v>605800</v>
      </c>
      <c r="B63" s="12" t="s">
        <v>314</v>
      </c>
      <c r="C63" s="13" t="s">
        <v>307</v>
      </c>
      <c r="D63" s="15" t="n">
        <f aca="false">IF(LEFT(A63,1)&gt;="6",0,SUMIFS('BALANCE 2028'!$H:$H,'BALANCE 2028'!$A:$A,A63))</f>
        <v>0</v>
      </c>
      <c r="E63" s="15" t="n">
        <f aca="false">IF(LEFT(A63,1)&gt;="6",0,SUMIFS('BALANCE 2028'!$I:$I,'BALANCE 2028'!$A:$A,A63))</f>
        <v>0</v>
      </c>
      <c r="F63" s="20" t="n">
        <f aca="false">MAX(0,(H63-I63)-(D63-E63))</f>
        <v>156398355</v>
      </c>
      <c r="G63" s="20" t="n">
        <f aca="false">MAX(0,(D63-E63)-(H63-I63))</f>
        <v>0</v>
      </c>
      <c r="H63" s="15" t="n">
        <f aca="false">ROUND(IF(HYPOTHESES!$C$43=0,0,HYPOTHESES!H$43-SUMPRODUCT((T_BAL_2029[Poste]="RE")*(T_BAL_2029[Compte]&lt;&gt;605800)*ROUND(HYPOTHESES!H$43*SUMIFS('BALANCE 2024'!$H:$H,'BALANCE 2024'!$A:$A,T_BAL_2029[Compte])/HYPOTHESES!$C$43,0))),0)</f>
        <v>156398355</v>
      </c>
      <c r="I63" s="20" t="n">
        <v>0</v>
      </c>
      <c r="J6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4" customFormat="false" ht="15" hidden="false" customHeight="false" outlineLevel="0" collapsed="false">
      <c r="A64" s="30" t="n">
        <v>616000</v>
      </c>
      <c r="B64" s="12" t="s">
        <v>315</v>
      </c>
      <c r="C64" s="13" t="s">
        <v>316</v>
      </c>
      <c r="D64" s="15" t="n">
        <f aca="false">IF(LEFT(A64,1)&gt;="6",0,SUMIFS('BALANCE 2028'!$H:$H,'BALANCE 2028'!$A:$A,A64))</f>
        <v>0</v>
      </c>
      <c r="E64" s="15" t="n">
        <f aca="false">IF(LEFT(A64,1)&gt;="6",0,SUMIFS('BALANCE 2028'!$I:$I,'BALANCE 2028'!$A:$A,A64))</f>
        <v>0</v>
      </c>
      <c r="F64" s="20" t="n">
        <f aca="false">MAX(0,(H64-I64)-(D64-E64))</f>
        <v>121027</v>
      </c>
      <c r="G64" s="20" t="n">
        <f aca="false">MAX(0,(D64-E64)-(H64-I64))</f>
        <v>0</v>
      </c>
      <c r="H64" s="15" t="n">
        <f aca="false">ROUND(IF(LEFT(A64,1)&gt;="6",IF(C64="RE",IF(HYPOTHESES!$C$43=0,0,HYPOTHESES!H$43*SUMIFS('BALANCE 2024'!$H:$H,'BALANCE 2024'!$A:$A,A64)/HYPOTHESES!$C$43),IF(C64="RG",IF(HYPOTHESES!$C$44=0,0,HYPOTHESES!H$44*SUMIFS('BALANCE 2024'!$H:$H,'BALANCE 2024'!$A:$A,A64)/HYPOTHESES!$C$44),IF(C64="RH",IF(HYPOTHESES!$C$45=0,0,HYPOTHESES!H$45*SUMIFS('BALANCE 2024'!$H:$H,'BALANCE 2024'!$A:$A,A64)/HYPOTHESES!$C$45),IF(C64="RI",IF(HYPOTHESES!$C$46=0,0,HYPOTHESES!H$46*SUMIFS('BALANCE 2024'!$H:$H,'BALANCE 2024'!$A:$A,A64)/HYPOTHESES!$C$46),IF(C64="RJ",IF(HYPOTHESES!$C$47=0,0,HYPOTHESES!H$47*SUMIFS('BALANCE 2024'!$H:$H,'BALANCE 2024'!$A:$A,A64)/HYPOTHESES!$C$47),IF(C64="RK",IF(HYPOTHESES!$C$48=0,0,HYPOTHESES!H$48*SUMIFS('BALANCE 2024'!$H:$H,'BALANCE 2024'!$A:$A,A64)/HYPOTHESES!$C$48),0)))))),MAX(0,D64-E64)),0)</f>
        <v>121027</v>
      </c>
      <c r="I64" s="20" t="n">
        <v>0</v>
      </c>
      <c r="J6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5" customFormat="false" ht="15" hidden="false" customHeight="false" outlineLevel="0" collapsed="false">
      <c r="A65" s="30" t="n">
        <v>618200</v>
      </c>
      <c r="B65" s="12" t="s">
        <v>317</v>
      </c>
      <c r="C65" s="13" t="s">
        <v>316</v>
      </c>
      <c r="D65" s="15" t="n">
        <f aca="false">IF(LEFT(A65,1)&gt;="6",0,SUMIFS('BALANCE 2028'!$H:$H,'BALANCE 2028'!$A:$A,A65))</f>
        <v>0</v>
      </c>
      <c r="E65" s="15" t="n">
        <f aca="false">IF(LEFT(A65,1)&gt;="6",0,SUMIFS('BALANCE 2028'!$I:$I,'BALANCE 2028'!$A:$A,A65))</f>
        <v>0</v>
      </c>
      <c r="F65" s="20" t="n">
        <f aca="false">MAX(0,(H65-I65)-(D65-E65))</f>
        <v>2019520</v>
      </c>
      <c r="G65" s="20" t="n">
        <f aca="false">MAX(0,(D65-E65)-(H65-I65))</f>
        <v>0</v>
      </c>
      <c r="H65" s="15" t="n">
        <f aca="false">ROUND(IF(LEFT(A65,1)&gt;="6",IF(C65="RE",IF(HYPOTHESES!$C$43=0,0,HYPOTHESES!H$43*SUMIFS('BALANCE 2024'!$H:$H,'BALANCE 2024'!$A:$A,A65)/HYPOTHESES!$C$43),IF(C65="RG",IF(HYPOTHESES!$C$44=0,0,HYPOTHESES!H$44*SUMIFS('BALANCE 2024'!$H:$H,'BALANCE 2024'!$A:$A,A65)/HYPOTHESES!$C$44),IF(C65="RH",IF(HYPOTHESES!$C$45=0,0,HYPOTHESES!H$45*SUMIFS('BALANCE 2024'!$H:$H,'BALANCE 2024'!$A:$A,A65)/HYPOTHESES!$C$45),IF(C65="RI",IF(HYPOTHESES!$C$46=0,0,HYPOTHESES!H$46*SUMIFS('BALANCE 2024'!$H:$H,'BALANCE 2024'!$A:$A,A65)/HYPOTHESES!$C$46),IF(C65="RJ",IF(HYPOTHESES!$C$47=0,0,HYPOTHESES!H$47*SUMIFS('BALANCE 2024'!$H:$H,'BALANCE 2024'!$A:$A,A65)/HYPOTHESES!$C$47),IF(C65="RK",IF(HYPOTHESES!$C$48=0,0,HYPOTHESES!H$48*SUMIFS('BALANCE 2024'!$H:$H,'BALANCE 2024'!$A:$A,A65)/HYPOTHESES!$C$48),0)))))),MAX(0,D65-E65)),0)</f>
        <v>2019520</v>
      </c>
      <c r="I65" s="20" t="n">
        <v>0</v>
      </c>
      <c r="J6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6" customFormat="false" ht="15" hidden="false" customHeight="false" outlineLevel="0" collapsed="false">
      <c r="A66" s="30" t="n">
        <v>618300</v>
      </c>
      <c r="B66" s="12" t="s">
        <v>318</v>
      </c>
      <c r="C66" s="13" t="s">
        <v>316</v>
      </c>
      <c r="D66" s="15" t="n">
        <f aca="false">IF(LEFT(A66,1)&gt;="6",0,SUMIFS('BALANCE 2028'!$H:$H,'BALANCE 2028'!$A:$A,A66))</f>
        <v>0</v>
      </c>
      <c r="E66" s="15" t="n">
        <f aca="false">IF(LEFT(A66,1)&gt;="6",0,SUMIFS('BALANCE 2028'!$I:$I,'BALANCE 2028'!$A:$A,A66))</f>
        <v>0</v>
      </c>
      <c r="F66" s="20" t="n">
        <f aca="false">MAX(0,(H66-I66)-(D66-E66))</f>
        <v>2782900</v>
      </c>
      <c r="G66" s="20" t="n">
        <f aca="false">MAX(0,(D66-E66)-(H66-I66))</f>
        <v>0</v>
      </c>
      <c r="H66" s="15" t="n">
        <f aca="false">ROUND(IF(HYPOTHESES!$C$44=0,0,HYPOTHESES!H$44-SUMPRODUCT((T_BAL_2029[Poste]="RG")*(T_BAL_2029[Compte]&lt;&gt;618300)*ROUND(HYPOTHESES!H$44*SUMIFS('BALANCE 2024'!$H:$H,'BALANCE 2024'!$A:$A,T_BAL_2029[Compte])/HYPOTHESES!$C$44,0))),0)</f>
        <v>2782900</v>
      </c>
      <c r="I66" s="20" t="n">
        <v>0</v>
      </c>
      <c r="J6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7" customFormat="false" ht="15" hidden="false" customHeight="false" outlineLevel="0" collapsed="false">
      <c r="A67" s="30" t="n">
        <v>622200</v>
      </c>
      <c r="B67" s="12" t="s">
        <v>319</v>
      </c>
      <c r="C67" s="13" t="s">
        <v>320</v>
      </c>
      <c r="D67" s="15" t="n">
        <f aca="false">IF(LEFT(A67,1)&gt;="6",0,SUMIFS('BALANCE 2028'!$H:$H,'BALANCE 2028'!$A:$A,A67))</f>
        <v>0</v>
      </c>
      <c r="E67" s="15" t="n">
        <f aca="false">IF(LEFT(A67,1)&gt;="6",0,SUMIFS('BALANCE 2028'!$I:$I,'BALANCE 2028'!$A:$A,A67))</f>
        <v>0</v>
      </c>
      <c r="F67" s="20" t="n">
        <f aca="false">MAX(0,(H67-I67)-(D67-E67))</f>
        <v>21634910</v>
      </c>
      <c r="G67" s="20" t="n">
        <f aca="false">MAX(0,(D67-E67)-(H67-I67))</f>
        <v>0</v>
      </c>
      <c r="H67" s="15" t="n">
        <f aca="false">ROUND(IF(LEFT(A67,1)&gt;="6",IF(C67="RE",IF(HYPOTHESES!$C$43=0,0,HYPOTHESES!H$43*SUMIFS('BALANCE 2024'!$H:$H,'BALANCE 2024'!$A:$A,A67)/HYPOTHESES!$C$43),IF(C67="RG",IF(HYPOTHESES!$C$44=0,0,HYPOTHESES!H$44*SUMIFS('BALANCE 2024'!$H:$H,'BALANCE 2024'!$A:$A,A67)/HYPOTHESES!$C$44),IF(C67="RH",IF(HYPOTHESES!$C$45=0,0,HYPOTHESES!H$45*SUMIFS('BALANCE 2024'!$H:$H,'BALANCE 2024'!$A:$A,A67)/HYPOTHESES!$C$45),IF(C67="RI",IF(HYPOTHESES!$C$46=0,0,HYPOTHESES!H$46*SUMIFS('BALANCE 2024'!$H:$H,'BALANCE 2024'!$A:$A,A67)/HYPOTHESES!$C$46),IF(C67="RJ",IF(HYPOTHESES!$C$47=0,0,HYPOTHESES!H$47*SUMIFS('BALANCE 2024'!$H:$H,'BALANCE 2024'!$A:$A,A67)/HYPOTHESES!$C$47),IF(C67="RK",IF(HYPOTHESES!$C$48=0,0,HYPOTHESES!H$48*SUMIFS('BALANCE 2024'!$H:$H,'BALANCE 2024'!$A:$A,A67)/HYPOTHESES!$C$48),0)))))),MAX(0,D67-E67)),0)</f>
        <v>21634910</v>
      </c>
      <c r="I67" s="20" t="n">
        <v>0</v>
      </c>
      <c r="J6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8" customFormat="false" ht="15" hidden="false" customHeight="false" outlineLevel="0" collapsed="false">
      <c r="A68" s="30" t="n">
        <v>624200</v>
      </c>
      <c r="B68" s="12" t="s">
        <v>321</v>
      </c>
      <c r="C68" s="13" t="s">
        <v>320</v>
      </c>
      <c r="D68" s="15" t="n">
        <f aca="false">IF(LEFT(A68,1)&gt;="6",0,SUMIFS('BALANCE 2028'!$H:$H,'BALANCE 2028'!$A:$A,A68))</f>
        <v>0</v>
      </c>
      <c r="E68" s="15" t="n">
        <f aca="false">IF(LEFT(A68,1)&gt;="6",0,SUMIFS('BALANCE 2028'!$I:$I,'BALANCE 2028'!$A:$A,A68))</f>
        <v>0</v>
      </c>
      <c r="F68" s="20" t="n">
        <f aca="false">MAX(0,(H68-I68)-(D68-E68))</f>
        <v>44483630</v>
      </c>
      <c r="G68" s="20" t="n">
        <f aca="false">MAX(0,(D68-E68)-(H68-I68))</f>
        <v>0</v>
      </c>
      <c r="H68" s="15" t="n">
        <f aca="false">ROUND(IF(HYPOTHESES!$C$45=0,0,HYPOTHESES!H$45-SUMPRODUCT((T_BAL_2029[Poste]="RH")*(T_BAL_2029[Compte]&lt;&gt;624200)*ROUND(HYPOTHESES!H$45*SUMIFS('BALANCE 2024'!$H:$H,'BALANCE 2024'!$A:$A,T_BAL_2029[Compte])/HYPOTHESES!$C$45,0))),0)</f>
        <v>44483630</v>
      </c>
      <c r="I68" s="20" t="n">
        <v>0</v>
      </c>
      <c r="J6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69" customFormat="false" ht="15" hidden="false" customHeight="false" outlineLevel="0" collapsed="false">
      <c r="A69" s="30" t="n">
        <v>625800</v>
      </c>
      <c r="B69" s="12" t="s">
        <v>322</v>
      </c>
      <c r="C69" s="13" t="s">
        <v>320</v>
      </c>
      <c r="D69" s="15" t="n">
        <f aca="false">IF(LEFT(A69,1)&gt;="6",0,SUMIFS('BALANCE 2028'!$H:$H,'BALANCE 2028'!$A:$A,A69))</f>
        <v>0</v>
      </c>
      <c r="E69" s="15" t="n">
        <f aca="false">IF(LEFT(A69,1)&gt;="6",0,SUMIFS('BALANCE 2028'!$I:$I,'BALANCE 2028'!$A:$A,A69))</f>
        <v>0</v>
      </c>
      <c r="F69" s="20" t="n">
        <f aca="false">MAX(0,(H69-I69)-(D69-E69))</f>
        <v>5969111</v>
      </c>
      <c r="G69" s="20" t="n">
        <f aca="false">MAX(0,(D69-E69)-(H69-I69))</f>
        <v>0</v>
      </c>
      <c r="H69" s="15" t="n">
        <f aca="false">ROUND(IF(LEFT(A69,1)&gt;="6",IF(C69="RE",IF(HYPOTHESES!$C$43=0,0,HYPOTHESES!H$43*SUMIFS('BALANCE 2024'!$H:$H,'BALANCE 2024'!$A:$A,A69)/HYPOTHESES!$C$43),IF(C69="RG",IF(HYPOTHESES!$C$44=0,0,HYPOTHESES!H$44*SUMIFS('BALANCE 2024'!$H:$H,'BALANCE 2024'!$A:$A,A69)/HYPOTHESES!$C$44),IF(C69="RH",IF(HYPOTHESES!$C$45=0,0,HYPOTHESES!H$45*SUMIFS('BALANCE 2024'!$H:$H,'BALANCE 2024'!$A:$A,A69)/HYPOTHESES!$C$45),IF(C69="RI",IF(HYPOTHESES!$C$46=0,0,HYPOTHESES!H$46*SUMIFS('BALANCE 2024'!$H:$H,'BALANCE 2024'!$A:$A,A69)/HYPOTHESES!$C$46),IF(C69="RJ",IF(HYPOTHESES!$C$47=0,0,HYPOTHESES!H$47*SUMIFS('BALANCE 2024'!$H:$H,'BALANCE 2024'!$A:$A,A69)/HYPOTHESES!$C$47),IF(C69="RK",IF(HYPOTHESES!$C$48=0,0,HYPOTHESES!H$48*SUMIFS('BALANCE 2024'!$H:$H,'BALANCE 2024'!$A:$A,A69)/HYPOTHESES!$C$48),0)))))),MAX(0,D69-E69)),0)</f>
        <v>5969111</v>
      </c>
      <c r="I69" s="20" t="n">
        <v>0</v>
      </c>
      <c r="J6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0" customFormat="false" ht="15" hidden="false" customHeight="false" outlineLevel="0" collapsed="false">
      <c r="A70" s="30" t="n">
        <v>626600</v>
      </c>
      <c r="B70" s="12" t="s">
        <v>323</v>
      </c>
      <c r="C70" s="13" t="s">
        <v>320</v>
      </c>
      <c r="D70" s="15" t="n">
        <f aca="false">IF(LEFT(A70,1)&gt;="6",0,SUMIFS('BALANCE 2028'!$H:$H,'BALANCE 2028'!$A:$A,A70))</f>
        <v>0</v>
      </c>
      <c r="E70" s="15" t="n">
        <f aca="false">IF(LEFT(A70,1)&gt;="6",0,SUMIFS('BALANCE 2028'!$I:$I,'BALANCE 2028'!$A:$A,A70))</f>
        <v>0</v>
      </c>
      <c r="F70" s="20" t="n">
        <f aca="false">MAX(0,(H70-I70)-(D70-E70))</f>
        <v>41618</v>
      </c>
      <c r="G70" s="20" t="n">
        <f aca="false">MAX(0,(D70-E70)-(H70-I70))</f>
        <v>0</v>
      </c>
      <c r="H70" s="15" t="n">
        <f aca="false">ROUND(IF(LEFT(A70,1)&gt;="6",IF(C70="RE",IF(HYPOTHESES!$C$43=0,0,HYPOTHESES!H$43*SUMIFS('BALANCE 2024'!$H:$H,'BALANCE 2024'!$A:$A,A70)/HYPOTHESES!$C$43),IF(C70="RG",IF(HYPOTHESES!$C$44=0,0,HYPOTHESES!H$44*SUMIFS('BALANCE 2024'!$H:$H,'BALANCE 2024'!$A:$A,A70)/HYPOTHESES!$C$44),IF(C70="RH",IF(HYPOTHESES!$C$45=0,0,HYPOTHESES!H$45*SUMIFS('BALANCE 2024'!$H:$H,'BALANCE 2024'!$A:$A,A70)/HYPOTHESES!$C$45),IF(C70="RI",IF(HYPOTHESES!$C$46=0,0,HYPOTHESES!H$46*SUMIFS('BALANCE 2024'!$H:$H,'BALANCE 2024'!$A:$A,A70)/HYPOTHESES!$C$46),IF(C70="RJ",IF(HYPOTHESES!$C$47=0,0,HYPOTHESES!H$47*SUMIFS('BALANCE 2024'!$H:$H,'BALANCE 2024'!$A:$A,A70)/HYPOTHESES!$C$47),IF(C70="RK",IF(HYPOTHESES!$C$48=0,0,HYPOTHESES!H$48*SUMIFS('BALANCE 2024'!$H:$H,'BALANCE 2024'!$A:$A,A70)/HYPOTHESES!$C$48),0)))))),MAX(0,D70-E70)),0)</f>
        <v>41618</v>
      </c>
      <c r="I70" s="20" t="n">
        <v>0</v>
      </c>
      <c r="J7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1" customFormat="false" ht="15" hidden="false" customHeight="false" outlineLevel="0" collapsed="false">
      <c r="A71" s="30" t="n">
        <v>627700</v>
      </c>
      <c r="B71" s="12" t="s">
        <v>324</v>
      </c>
      <c r="C71" s="13" t="s">
        <v>320</v>
      </c>
      <c r="D71" s="15" t="n">
        <f aca="false">IF(LEFT(A71,1)&gt;="6",0,SUMIFS('BALANCE 2028'!$H:$H,'BALANCE 2028'!$A:$A,A71))</f>
        <v>0</v>
      </c>
      <c r="E71" s="15" t="n">
        <f aca="false">IF(LEFT(A71,1)&gt;="6",0,SUMIFS('BALANCE 2028'!$I:$I,'BALANCE 2028'!$A:$A,A71))</f>
        <v>0</v>
      </c>
      <c r="F71" s="20" t="n">
        <f aca="false">MAX(0,(H71-I71)-(D71-E71))</f>
        <v>76083</v>
      </c>
      <c r="G71" s="20" t="n">
        <f aca="false">MAX(0,(D71-E71)-(H71-I71))</f>
        <v>0</v>
      </c>
      <c r="H71" s="15" t="n">
        <f aca="false">ROUND(IF(LEFT(A71,1)&gt;="6",IF(C71="RE",IF(HYPOTHESES!$C$43=0,0,HYPOTHESES!H$43*SUMIFS('BALANCE 2024'!$H:$H,'BALANCE 2024'!$A:$A,A71)/HYPOTHESES!$C$43),IF(C71="RG",IF(HYPOTHESES!$C$44=0,0,HYPOTHESES!H$44*SUMIFS('BALANCE 2024'!$H:$H,'BALANCE 2024'!$A:$A,A71)/HYPOTHESES!$C$44),IF(C71="RH",IF(HYPOTHESES!$C$45=0,0,HYPOTHESES!H$45*SUMIFS('BALANCE 2024'!$H:$H,'BALANCE 2024'!$A:$A,A71)/HYPOTHESES!$C$45),IF(C71="RI",IF(HYPOTHESES!$C$46=0,0,HYPOTHESES!H$46*SUMIFS('BALANCE 2024'!$H:$H,'BALANCE 2024'!$A:$A,A71)/HYPOTHESES!$C$46),IF(C71="RJ",IF(HYPOTHESES!$C$47=0,0,HYPOTHESES!H$47*SUMIFS('BALANCE 2024'!$H:$H,'BALANCE 2024'!$A:$A,A71)/HYPOTHESES!$C$47),IF(C71="RK",IF(HYPOTHESES!$C$48=0,0,HYPOTHESES!H$48*SUMIFS('BALANCE 2024'!$H:$H,'BALANCE 2024'!$A:$A,A71)/HYPOTHESES!$C$48),0)))))),MAX(0,D71-E71)),0)</f>
        <v>76083</v>
      </c>
      <c r="I71" s="20" t="n">
        <v>0</v>
      </c>
      <c r="J7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2" customFormat="false" ht="15" hidden="false" customHeight="false" outlineLevel="0" collapsed="false">
      <c r="A72" s="30" t="n">
        <v>628800</v>
      </c>
      <c r="B72" s="12" t="s">
        <v>325</v>
      </c>
      <c r="C72" s="13" t="s">
        <v>320</v>
      </c>
      <c r="D72" s="15" t="n">
        <f aca="false">IF(LEFT(A72,1)&gt;="6",0,SUMIFS('BALANCE 2028'!$H:$H,'BALANCE 2028'!$A:$A,A72))</f>
        <v>0</v>
      </c>
      <c r="E72" s="15" t="n">
        <f aca="false">IF(LEFT(A72,1)&gt;="6",0,SUMIFS('BALANCE 2028'!$I:$I,'BALANCE 2028'!$A:$A,A72))</f>
        <v>0</v>
      </c>
      <c r="F72" s="20" t="n">
        <f aca="false">MAX(0,(H72-I72)-(D72-E72))</f>
        <v>1032701</v>
      </c>
      <c r="G72" s="20" t="n">
        <f aca="false">MAX(0,(D72-E72)-(H72-I72))</f>
        <v>0</v>
      </c>
      <c r="H72" s="15" t="n">
        <f aca="false">ROUND(IF(LEFT(A72,1)&gt;="6",IF(C72="RE",IF(HYPOTHESES!$C$43=0,0,HYPOTHESES!H$43*SUMIFS('BALANCE 2024'!$H:$H,'BALANCE 2024'!$A:$A,A72)/HYPOTHESES!$C$43),IF(C72="RG",IF(HYPOTHESES!$C$44=0,0,HYPOTHESES!H$44*SUMIFS('BALANCE 2024'!$H:$H,'BALANCE 2024'!$A:$A,A72)/HYPOTHESES!$C$44),IF(C72="RH",IF(HYPOTHESES!$C$45=0,0,HYPOTHESES!H$45*SUMIFS('BALANCE 2024'!$H:$H,'BALANCE 2024'!$A:$A,A72)/HYPOTHESES!$C$45),IF(C72="RI",IF(HYPOTHESES!$C$46=0,0,HYPOTHESES!H$46*SUMIFS('BALANCE 2024'!$H:$H,'BALANCE 2024'!$A:$A,A72)/HYPOTHESES!$C$46),IF(C72="RJ",IF(HYPOTHESES!$C$47=0,0,HYPOTHESES!H$47*SUMIFS('BALANCE 2024'!$H:$H,'BALANCE 2024'!$A:$A,A72)/HYPOTHESES!$C$47),IF(C72="RK",IF(HYPOTHESES!$C$48=0,0,HYPOTHESES!H$48*SUMIFS('BALANCE 2024'!$H:$H,'BALANCE 2024'!$A:$A,A72)/HYPOTHESES!$C$48),0)))))),MAX(0,D72-E72)),0)</f>
        <v>1032701</v>
      </c>
      <c r="I72" s="20" t="n">
        <v>0</v>
      </c>
      <c r="J7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3" customFormat="false" ht="15" hidden="false" customHeight="false" outlineLevel="0" collapsed="false">
      <c r="A73" s="30" t="n">
        <v>631800</v>
      </c>
      <c r="B73" s="12" t="s">
        <v>326</v>
      </c>
      <c r="C73" s="13" t="s">
        <v>320</v>
      </c>
      <c r="D73" s="15" t="n">
        <f aca="false">IF(LEFT(A73,1)&gt;="6",0,SUMIFS('BALANCE 2028'!$H:$H,'BALANCE 2028'!$A:$A,A73))</f>
        <v>0</v>
      </c>
      <c r="E73" s="15" t="n">
        <f aca="false">IF(LEFT(A73,1)&gt;="6",0,SUMIFS('BALANCE 2028'!$I:$I,'BALANCE 2028'!$A:$A,A73))</f>
        <v>0</v>
      </c>
      <c r="F73" s="20" t="n">
        <f aca="false">MAX(0,(H73-I73)-(D73-E73))</f>
        <v>29379832</v>
      </c>
      <c r="G73" s="20" t="n">
        <f aca="false">MAX(0,(D73-E73)-(H73-I73))</f>
        <v>0</v>
      </c>
      <c r="H73" s="15" t="n">
        <f aca="false">ROUND(IF(LEFT(A73,1)&gt;="6",IF(C73="RE",IF(HYPOTHESES!$C$43=0,0,HYPOTHESES!H$43*SUMIFS('BALANCE 2024'!$H:$H,'BALANCE 2024'!$A:$A,A73)/HYPOTHESES!$C$43),IF(C73="RG",IF(HYPOTHESES!$C$44=0,0,HYPOTHESES!H$44*SUMIFS('BALANCE 2024'!$H:$H,'BALANCE 2024'!$A:$A,A73)/HYPOTHESES!$C$44),IF(C73="RH",IF(HYPOTHESES!$C$45=0,0,HYPOTHESES!H$45*SUMIFS('BALANCE 2024'!$H:$H,'BALANCE 2024'!$A:$A,A73)/HYPOTHESES!$C$45),IF(C73="RI",IF(HYPOTHESES!$C$46=0,0,HYPOTHESES!H$46*SUMIFS('BALANCE 2024'!$H:$H,'BALANCE 2024'!$A:$A,A73)/HYPOTHESES!$C$46),IF(C73="RJ",IF(HYPOTHESES!$C$47=0,0,HYPOTHESES!H$47*SUMIFS('BALANCE 2024'!$H:$H,'BALANCE 2024'!$A:$A,A73)/HYPOTHESES!$C$47),IF(C73="RK",IF(HYPOTHESES!$C$48=0,0,HYPOTHESES!H$48*SUMIFS('BALANCE 2024'!$H:$H,'BALANCE 2024'!$A:$A,A73)/HYPOTHESES!$C$48),0)))))),MAX(0,D73-E73)),0)</f>
        <v>29379832</v>
      </c>
      <c r="I73" s="20" t="n">
        <v>0</v>
      </c>
      <c r="J7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4" customFormat="false" ht="15" hidden="false" customHeight="false" outlineLevel="0" collapsed="false">
      <c r="A74" s="30" t="n">
        <v>632800</v>
      </c>
      <c r="B74" s="12" t="s">
        <v>327</v>
      </c>
      <c r="C74" s="13" t="s">
        <v>320</v>
      </c>
      <c r="D74" s="15" t="n">
        <f aca="false">IF(LEFT(A74,1)&gt;="6",0,SUMIFS('BALANCE 2028'!$H:$H,'BALANCE 2028'!$A:$A,A74))</f>
        <v>0</v>
      </c>
      <c r="E74" s="15" t="n">
        <f aca="false">IF(LEFT(A74,1)&gt;="6",0,SUMIFS('BALANCE 2028'!$I:$I,'BALANCE 2028'!$A:$A,A74))</f>
        <v>0</v>
      </c>
      <c r="F74" s="20" t="n">
        <f aca="false">MAX(0,(H74-I74)-(D74-E74))</f>
        <v>6181607</v>
      </c>
      <c r="G74" s="20" t="n">
        <f aca="false">MAX(0,(D74-E74)-(H74-I74))</f>
        <v>0</v>
      </c>
      <c r="H74" s="15" t="n">
        <f aca="false">ROUND(IF(LEFT(A74,1)&gt;="6",IF(C74="RE",IF(HYPOTHESES!$C$43=0,0,HYPOTHESES!H$43*SUMIFS('BALANCE 2024'!$H:$H,'BALANCE 2024'!$A:$A,A74)/HYPOTHESES!$C$43),IF(C74="RG",IF(HYPOTHESES!$C$44=0,0,HYPOTHESES!H$44*SUMIFS('BALANCE 2024'!$H:$H,'BALANCE 2024'!$A:$A,A74)/HYPOTHESES!$C$44),IF(C74="RH",IF(HYPOTHESES!$C$45=0,0,HYPOTHESES!H$45*SUMIFS('BALANCE 2024'!$H:$H,'BALANCE 2024'!$A:$A,A74)/HYPOTHESES!$C$45),IF(C74="RI",IF(HYPOTHESES!$C$46=0,0,HYPOTHESES!H$46*SUMIFS('BALANCE 2024'!$H:$H,'BALANCE 2024'!$A:$A,A74)/HYPOTHESES!$C$46),IF(C74="RJ",IF(HYPOTHESES!$C$47=0,0,HYPOTHESES!H$47*SUMIFS('BALANCE 2024'!$H:$H,'BALANCE 2024'!$A:$A,A74)/HYPOTHESES!$C$47),IF(C74="RK",IF(HYPOTHESES!$C$48=0,0,HYPOTHESES!H$48*SUMIFS('BALANCE 2024'!$H:$H,'BALANCE 2024'!$A:$A,A74)/HYPOTHESES!$C$48),0)))))),MAX(0,D74-E74)),0)</f>
        <v>6181607</v>
      </c>
      <c r="I74" s="20" t="n">
        <v>0</v>
      </c>
      <c r="J7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5" customFormat="false" ht="15" hidden="false" customHeight="false" outlineLevel="0" collapsed="false">
      <c r="A75" s="30" t="n">
        <v>638800</v>
      </c>
      <c r="B75" s="12" t="s">
        <v>328</v>
      </c>
      <c r="C75" s="13" t="s">
        <v>320</v>
      </c>
      <c r="D75" s="15" t="n">
        <f aca="false">IF(LEFT(A75,1)&gt;="6",0,SUMIFS('BALANCE 2028'!$H:$H,'BALANCE 2028'!$A:$A,A75))</f>
        <v>0</v>
      </c>
      <c r="E75" s="15" t="n">
        <f aca="false">IF(LEFT(A75,1)&gt;="6",0,SUMIFS('BALANCE 2028'!$I:$I,'BALANCE 2028'!$A:$A,A75))</f>
        <v>0</v>
      </c>
      <c r="F75" s="20" t="n">
        <f aca="false">MAX(0,(H75-I75)-(D75-E75))</f>
        <v>30059956</v>
      </c>
      <c r="G75" s="20" t="n">
        <f aca="false">MAX(0,(D75-E75)-(H75-I75))</f>
        <v>0</v>
      </c>
      <c r="H75" s="15" t="n">
        <f aca="false">ROUND(IF(LEFT(A75,1)&gt;="6",IF(C75="RE",IF(HYPOTHESES!$C$43=0,0,HYPOTHESES!H$43*SUMIFS('BALANCE 2024'!$H:$H,'BALANCE 2024'!$A:$A,A75)/HYPOTHESES!$C$43),IF(C75="RG",IF(HYPOTHESES!$C$44=0,0,HYPOTHESES!H$44*SUMIFS('BALANCE 2024'!$H:$H,'BALANCE 2024'!$A:$A,A75)/HYPOTHESES!$C$44),IF(C75="RH",IF(HYPOTHESES!$C$45=0,0,HYPOTHESES!H$45*SUMIFS('BALANCE 2024'!$H:$H,'BALANCE 2024'!$A:$A,A75)/HYPOTHESES!$C$45),IF(C75="RI",IF(HYPOTHESES!$C$46=0,0,HYPOTHESES!H$46*SUMIFS('BALANCE 2024'!$H:$H,'BALANCE 2024'!$A:$A,A75)/HYPOTHESES!$C$46),IF(C75="RJ",IF(HYPOTHESES!$C$47=0,0,HYPOTHESES!H$47*SUMIFS('BALANCE 2024'!$H:$H,'BALANCE 2024'!$A:$A,A75)/HYPOTHESES!$C$47),IF(C75="RK",IF(HYPOTHESES!$C$48=0,0,HYPOTHESES!H$48*SUMIFS('BALANCE 2024'!$H:$H,'BALANCE 2024'!$A:$A,A75)/HYPOTHESES!$C$48),0)))))),MAX(0,D75-E75)),0)</f>
        <v>30059956</v>
      </c>
      <c r="I75" s="20" t="n">
        <v>0</v>
      </c>
      <c r="J7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6" customFormat="false" ht="15" hidden="false" customHeight="false" outlineLevel="0" collapsed="false">
      <c r="A76" s="30" t="n">
        <v>641100</v>
      </c>
      <c r="B76" s="12" t="s">
        <v>329</v>
      </c>
      <c r="C76" s="13" t="s">
        <v>330</v>
      </c>
      <c r="D76" s="15" t="n">
        <f aca="false">IF(LEFT(A76,1)&gt;="6",0,SUMIFS('BALANCE 2028'!$H:$H,'BALANCE 2028'!$A:$A,A76))</f>
        <v>0</v>
      </c>
      <c r="E76" s="15" t="n">
        <f aca="false">IF(LEFT(A76,1)&gt;="6",0,SUMIFS('BALANCE 2028'!$I:$I,'BALANCE 2028'!$A:$A,A76))</f>
        <v>0</v>
      </c>
      <c r="F76" s="20" t="n">
        <f aca="false">MAX(0,(H76-I76)-(D76-E76))</f>
        <v>467964</v>
      </c>
      <c r="G76" s="20" t="n">
        <f aca="false">MAX(0,(D76-E76)-(H76-I76))</f>
        <v>0</v>
      </c>
      <c r="H76" s="15" t="n">
        <f aca="false">ROUND(IF(LEFT(A76,1)&gt;="6",IF(C76="RE",IF(HYPOTHESES!$C$43=0,0,HYPOTHESES!H$43*SUMIFS('BALANCE 2024'!$H:$H,'BALANCE 2024'!$A:$A,A76)/HYPOTHESES!$C$43),IF(C76="RG",IF(HYPOTHESES!$C$44=0,0,HYPOTHESES!H$44*SUMIFS('BALANCE 2024'!$H:$H,'BALANCE 2024'!$A:$A,A76)/HYPOTHESES!$C$44),IF(C76="RH",IF(HYPOTHESES!$C$45=0,0,HYPOTHESES!H$45*SUMIFS('BALANCE 2024'!$H:$H,'BALANCE 2024'!$A:$A,A76)/HYPOTHESES!$C$45),IF(C76="RI",IF(HYPOTHESES!$C$46=0,0,HYPOTHESES!H$46*SUMIFS('BALANCE 2024'!$H:$H,'BALANCE 2024'!$A:$A,A76)/HYPOTHESES!$C$46),IF(C76="RJ",IF(HYPOTHESES!$C$47=0,0,HYPOTHESES!H$47*SUMIFS('BALANCE 2024'!$H:$H,'BALANCE 2024'!$A:$A,A76)/HYPOTHESES!$C$47),IF(C76="RK",IF(HYPOTHESES!$C$48=0,0,HYPOTHESES!H$48*SUMIFS('BALANCE 2024'!$H:$H,'BALANCE 2024'!$A:$A,A76)/HYPOTHESES!$C$48),0)))))),MAX(0,D76-E76)),0)</f>
        <v>467964</v>
      </c>
      <c r="I76" s="20" t="n">
        <v>0</v>
      </c>
      <c r="J7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7" customFormat="false" ht="15" hidden="false" customHeight="false" outlineLevel="0" collapsed="false">
      <c r="A77" s="30" t="n">
        <v>641201</v>
      </c>
      <c r="B77" s="12" t="s">
        <v>331</v>
      </c>
      <c r="C77" s="13" t="s">
        <v>330</v>
      </c>
      <c r="D77" s="15" t="n">
        <f aca="false">IF(LEFT(A77,1)&gt;="6",0,SUMIFS('BALANCE 2028'!$H:$H,'BALANCE 2028'!$A:$A,A77))</f>
        <v>0</v>
      </c>
      <c r="E77" s="15" t="n">
        <f aca="false">IF(LEFT(A77,1)&gt;="6",0,SUMIFS('BALANCE 2028'!$I:$I,'BALANCE 2028'!$A:$A,A77))</f>
        <v>0</v>
      </c>
      <c r="F77" s="20" t="n">
        <f aca="false">MAX(0,(H77-I77)-(D77-E77))</f>
        <v>11770772</v>
      </c>
      <c r="G77" s="20" t="n">
        <f aca="false">MAX(0,(D77-E77)-(H77-I77))</f>
        <v>0</v>
      </c>
      <c r="H77" s="15" t="n">
        <f aca="false">ROUND(IF(HYPOTHESES!$C$46=0,0,HYPOTHESES!H$46-SUMPRODUCT((T_BAL_2029[Poste]="RI")*(T_BAL_2029[Compte]&lt;&gt;641201)*ROUND(HYPOTHESES!H$46*SUMIFS('BALANCE 2024'!$H:$H,'BALANCE 2024'!$A:$A,T_BAL_2029[Compte])/HYPOTHESES!$C$46,0))),0)</f>
        <v>11770772</v>
      </c>
      <c r="I77" s="20" t="n">
        <v>0</v>
      </c>
      <c r="J7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8" customFormat="false" ht="15" hidden="false" customHeight="false" outlineLevel="0" collapsed="false">
      <c r="A78" s="30" t="n">
        <v>641202</v>
      </c>
      <c r="B78" s="12" t="s">
        <v>332</v>
      </c>
      <c r="C78" s="13" t="s">
        <v>330</v>
      </c>
      <c r="D78" s="15" t="n">
        <f aca="false">IF(LEFT(A78,1)&gt;="6",0,SUMIFS('BALANCE 2028'!$H:$H,'BALANCE 2028'!$A:$A,A78))</f>
        <v>0</v>
      </c>
      <c r="E78" s="15" t="n">
        <f aca="false">IF(LEFT(A78,1)&gt;="6",0,SUMIFS('BALANCE 2028'!$I:$I,'BALANCE 2028'!$A:$A,A78))</f>
        <v>0</v>
      </c>
      <c r="F78" s="20" t="n">
        <f aca="false">MAX(0,(H78-I78)-(D78-E78))</f>
        <v>2013149</v>
      </c>
      <c r="G78" s="20" t="n">
        <f aca="false">MAX(0,(D78-E78)-(H78-I78))</f>
        <v>0</v>
      </c>
      <c r="H78" s="15" t="n">
        <f aca="false">ROUND(IF(LEFT(A78,1)&gt;="6",IF(C78="RE",IF(HYPOTHESES!$C$43=0,0,HYPOTHESES!H$43*SUMIFS('BALANCE 2024'!$H:$H,'BALANCE 2024'!$A:$A,A78)/HYPOTHESES!$C$43),IF(C78="RG",IF(HYPOTHESES!$C$44=0,0,HYPOTHESES!H$44*SUMIFS('BALANCE 2024'!$H:$H,'BALANCE 2024'!$A:$A,A78)/HYPOTHESES!$C$44),IF(C78="RH",IF(HYPOTHESES!$C$45=0,0,HYPOTHESES!H$45*SUMIFS('BALANCE 2024'!$H:$H,'BALANCE 2024'!$A:$A,A78)/HYPOTHESES!$C$45),IF(C78="RI",IF(HYPOTHESES!$C$46=0,0,HYPOTHESES!H$46*SUMIFS('BALANCE 2024'!$H:$H,'BALANCE 2024'!$A:$A,A78)/HYPOTHESES!$C$46),IF(C78="RJ",IF(HYPOTHESES!$C$47=0,0,HYPOTHESES!H$47*SUMIFS('BALANCE 2024'!$H:$H,'BALANCE 2024'!$A:$A,A78)/HYPOTHESES!$C$47),IF(C78="RK",IF(HYPOTHESES!$C$48=0,0,HYPOTHESES!H$48*SUMIFS('BALANCE 2024'!$H:$H,'BALANCE 2024'!$A:$A,A78)/HYPOTHESES!$C$48),0)))))),MAX(0,D78-E78)),0)</f>
        <v>2013149</v>
      </c>
      <c r="I78" s="20" t="n">
        <v>0</v>
      </c>
      <c r="J7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79" customFormat="false" ht="15" hidden="false" customHeight="false" outlineLevel="0" collapsed="false">
      <c r="A79" s="30" t="n">
        <v>641300</v>
      </c>
      <c r="B79" s="12" t="s">
        <v>333</v>
      </c>
      <c r="C79" s="13" t="s">
        <v>330</v>
      </c>
      <c r="D79" s="15" t="n">
        <f aca="false">IF(LEFT(A79,1)&gt;="6",0,SUMIFS('BALANCE 2028'!$H:$H,'BALANCE 2028'!$A:$A,A79))</f>
        <v>0</v>
      </c>
      <c r="E79" s="15" t="n">
        <f aca="false">IF(LEFT(A79,1)&gt;="6",0,SUMIFS('BALANCE 2028'!$I:$I,'BALANCE 2028'!$A:$A,A79))</f>
        <v>0</v>
      </c>
      <c r="F79" s="20" t="n">
        <f aca="false">MAX(0,(H79-I79)-(D79-E79))</f>
        <v>1074465</v>
      </c>
      <c r="G79" s="20" t="n">
        <f aca="false">MAX(0,(D79-E79)-(H79-I79))</f>
        <v>0</v>
      </c>
      <c r="H79" s="15" t="n">
        <f aca="false">ROUND(IF(LEFT(A79,1)&gt;="6",IF(C79="RE",IF(HYPOTHESES!$C$43=0,0,HYPOTHESES!H$43*SUMIFS('BALANCE 2024'!$H:$H,'BALANCE 2024'!$A:$A,A79)/HYPOTHESES!$C$43),IF(C79="RG",IF(HYPOTHESES!$C$44=0,0,HYPOTHESES!H$44*SUMIFS('BALANCE 2024'!$H:$H,'BALANCE 2024'!$A:$A,A79)/HYPOTHESES!$C$44),IF(C79="RH",IF(HYPOTHESES!$C$45=0,0,HYPOTHESES!H$45*SUMIFS('BALANCE 2024'!$H:$H,'BALANCE 2024'!$A:$A,A79)/HYPOTHESES!$C$45),IF(C79="RI",IF(HYPOTHESES!$C$46=0,0,HYPOTHESES!H$46*SUMIFS('BALANCE 2024'!$H:$H,'BALANCE 2024'!$A:$A,A79)/HYPOTHESES!$C$46),IF(C79="RJ",IF(HYPOTHESES!$C$47=0,0,HYPOTHESES!H$47*SUMIFS('BALANCE 2024'!$H:$H,'BALANCE 2024'!$A:$A,A79)/HYPOTHESES!$C$47),IF(C79="RK",IF(HYPOTHESES!$C$48=0,0,HYPOTHESES!H$48*SUMIFS('BALANCE 2024'!$H:$H,'BALANCE 2024'!$A:$A,A79)/HYPOTHESES!$C$48),0)))))),MAX(0,D79-E79)),0)</f>
        <v>1074465</v>
      </c>
      <c r="I79" s="20" t="n">
        <v>0</v>
      </c>
      <c r="J7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0" customFormat="false" ht="15" hidden="false" customHeight="false" outlineLevel="0" collapsed="false">
      <c r="A80" s="30" t="n">
        <v>641400</v>
      </c>
      <c r="B80" s="12" t="s">
        <v>334</v>
      </c>
      <c r="C80" s="13" t="s">
        <v>330</v>
      </c>
      <c r="D80" s="15" t="n">
        <f aca="false">IF(LEFT(A80,1)&gt;="6",0,SUMIFS('BALANCE 2028'!$H:$H,'BALANCE 2028'!$A:$A,A80))</f>
        <v>0</v>
      </c>
      <c r="E80" s="15" t="n">
        <f aca="false">IF(LEFT(A80,1)&gt;="6",0,SUMIFS('BALANCE 2028'!$I:$I,'BALANCE 2028'!$A:$A,A80))</f>
        <v>0</v>
      </c>
      <c r="F80" s="20" t="n">
        <f aca="false">MAX(0,(H80-I80)-(D80-E80))</f>
        <v>135275</v>
      </c>
      <c r="G80" s="20" t="n">
        <f aca="false">MAX(0,(D80-E80)-(H80-I80))</f>
        <v>0</v>
      </c>
      <c r="H80" s="15" t="n">
        <f aca="false">ROUND(IF(LEFT(A80,1)&gt;="6",IF(C80="RE",IF(HYPOTHESES!$C$43=0,0,HYPOTHESES!H$43*SUMIFS('BALANCE 2024'!$H:$H,'BALANCE 2024'!$A:$A,A80)/HYPOTHESES!$C$43),IF(C80="RG",IF(HYPOTHESES!$C$44=0,0,HYPOTHESES!H$44*SUMIFS('BALANCE 2024'!$H:$H,'BALANCE 2024'!$A:$A,A80)/HYPOTHESES!$C$44),IF(C80="RH",IF(HYPOTHESES!$C$45=0,0,HYPOTHESES!H$45*SUMIFS('BALANCE 2024'!$H:$H,'BALANCE 2024'!$A:$A,A80)/HYPOTHESES!$C$45),IF(C80="RI",IF(HYPOTHESES!$C$46=0,0,HYPOTHESES!H$46*SUMIFS('BALANCE 2024'!$H:$H,'BALANCE 2024'!$A:$A,A80)/HYPOTHESES!$C$46),IF(C80="RJ",IF(HYPOTHESES!$C$47=0,0,HYPOTHESES!H$47*SUMIFS('BALANCE 2024'!$H:$H,'BALANCE 2024'!$A:$A,A80)/HYPOTHESES!$C$47),IF(C80="RK",IF(HYPOTHESES!$C$48=0,0,HYPOTHESES!H$48*SUMIFS('BALANCE 2024'!$H:$H,'BALANCE 2024'!$A:$A,A80)/HYPOTHESES!$C$48),0)))))),MAX(0,D80-E80)),0)</f>
        <v>135275</v>
      </c>
      <c r="I80" s="20" t="n">
        <v>0</v>
      </c>
      <c r="J8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1" customFormat="false" ht="15" hidden="false" customHeight="false" outlineLevel="0" collapsed="false">
      <c r="A81" s="30" t="n">
        <v>641500</v>
      </c>
      <c r="B81" s="12" t="s">
        <v>335</v>
      </c>
      <c r="C81" s="13" t="s">
        <v>330</v>
      </c>
      <c r="D81" s="15" t="n">
        <f aca="false">IF(LEFT(A81,1)&gt;="6",0,SUMIFS('BALANCE 2028'!$H:$H,'BALANCE 2028'!$A:$A,A81))</f>
        <v>0</v>
      </c>
      <c r="E81" s="15" t="n">
        <f aca="false">IF(LEFT(A81,1)&gt;="6",0,SUMIFS('BALANCE 2028'!$I:$I,'BALANCE 2028'!$A:$A,A81))</f>
        <v>0</v>
      </c>
      <c r="F81" s="20" t="n">
        <f aca="false">MAX(0,(H81-I81)-(D81-E81))</f>
        <v>405843</v>
      </c>
      <c r="G81" s="20" t="n">
        <f aca="false">MAX(0,(D81-E81)-(H81-I81))</f>
        <v>0</v>
      </c>
      <c r="H81" s="15" t="n">
        <f aca="false">ROUND(IF(LEFT(A81,1)&gt;="6",IF(C81="RE",IF(HYPOTHESES!$C$43=0,0,HYPOTHESES!H$43*SUMIFS('BALANCE 2024'!$H:$H,'BALANCE 2024'!$A:$A,A81)/HYPOTHESES!$C$43),IF(C81="RG",IF(HYPOTHESES!$C$44=0,0,HYPOTHESES!H$44*SUMIFS('BALANCE 2024'!$H:$H,'BALANCE 2024'!$A:$A,A81)/HYPOTHESES!$C$44),IF(C81="RH",IF(HYPOTHESES!$C$45=0,0,HYPOTHESES!H$45*SUMIFS('BALANCE 2024'!$H:$H,'BALANCE 2024'!$A:$A,A81)/HYPOTHESES!$C$45),IF(C81="RI",IF(HYPOTHESES!$C$46=0,0,HYPOTHESES!H$46*SUMIFS('BALANCE 2024'!$H:$H,'BALANCE 2024'!$A:$A,A81)/HYPOTHESES!$C$46),IF(C81="RJ",IF(HYPOTHESES!$C$47=0,0,HYPOTHESES!H$47*SUMIFS('BALANCE 2024'!$H:$H,'BALANCE 2024'!$A:$A,A81)/HYPOTHESES!$C$47),IF(C81="RK",IF(HYPOTHESES!$C$48=0,0,HYPOTHESES!H$48*SUMIFS('BALANCE 2024'!$H:$H,'BALANCE 2024'!$A:$A,A81)/HYPOTHESES!$C$48),0)))))),MAX(0,D81-E81)),0)</f>
        <v>405843</v>
      </c>
      <c r="I81" s="20" t="n">
        <v>0</v>
      </c>
      <c r="J8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2" customFormat="false" ht="15" hidden="false" customHeight="false" outlineLevel="0" collapsed="false">
      <c r="A82" s="30" t="n">
        <v>641830</v>
      </c>
      <c r="B82" s="12" t="s">
        <v>336</v>
      </c>
      <c r="C82" s="13" t="s">
        <v>330</v>
      </c>
      <c r="D82" s="15" t="n">
        <f aca="false">IF(LEFT(A82,1)&gt;="6",0,SUMIFS('BALANCE 2028'!$H:$H,'BALANCE 2028'!$A:$A,A82))</f>
        <v>0</v>
      </c>
      <c r="E82" s="15" t="n">
        <f aca="false">IF(LEFT(A82,1)&gt;="6",0,SUMIFS('BALANCE 2028'!$I:$I,'BALANCE 2028'!$A:$A,A82))</f>
        <v>0</v>
      </c>
      <c r="F82" s="20" t="n">
        <f aca="false">MAX(0,(H82-I82)-(D82-E82))</f>
        <v>275169</v>
      </c>
      <c r="G82" s="20" t="n">
        <f aca="false">MAX(0,(D82-E82)-(H82-I82))</f>
        <v>0</v>
      </c>
      <c r="H82" s="15" t="n">
        <f aca="false">ROUND(IF(LEFT(A82,1)&gt;="6",IF(C82="RE",IF(HYPOTHESES!$C$43=0,0,HYPOTHESES!H$43*SUMIFS('BALANCE 2024'!$H:$H,'BALANCE 2024'!$A:$A,A82)/HYPOTHESES!$C$43),IF(C82="RG",IF(HYPOTHESES!$C$44=0,0,HYPOTHESES!H$44*SUMIFS('BALANCE 2024'!$H:$H,'BALANCE 2024'!$A:$A,A82)/HYPOTHESES!$C$44),IF(C82="RH",IF(HYPOTHESES!$C$45=0,0,HYPOTHESES!H$45*SUMIFS('BALANCE 2024'!$H:$H,'BALANCE 2024'!$A:$A,A82)/HYPOTHESES!$C$45),IF(C82="RI",IF(HYPOTHESES!$C$46=0,0,HYPOTHESES!H$46*SUMIFS('BALANCE 2024'!$H:$H,'BALANCE 2024'!$A:$A,A82)/HYPOTHESES!$C$46),IF(C82="RJ",IF(HYPOTHESES!$C$47=0,0,HYPOTHESES!H$47*SUMIFS('BALANCE 2024'!$H:$H,'BALANCE 2024'!$A:$A,A82)/HYPOTHESES!$C$47),IF(C82="RK",IF(HYPOTHESES!$C$48=0,0,HYPOTHESES!H$48*SUMIFS('BALANCE 2024'!$H:$H,'BALANCE 2024'!$A:$A,A82)/HYPOTHESES!$C$48),0)))))),MAX(0,D82-E82)),0)</f>
        <v>275169</v>
      </c>
      <c r="I82" s="20" t="n">
        <v>0</v>
      </c>
      <c r="J8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3" customFormat="false" ht="15" hidden="false" customHeight="false" outlineLevel="0" collapsed="false">
      <c r="A83" s="30" t="n">
        <v>646200</v>
      </c>
      <c r="B83" s="12" t="s">
        <v>337</v>
      </c>
      <c r="C83" s="13" t="s">
        <v>330</v>
      </c>
      <c r="D83" s="15" t="n">
        <f aca="false">IF(LEFT(A83,1)&gt;="6",0,SUMIFS('BALANCE 2028'!$H:$H,'BALANCE 2028'!$A:$A,A83))</f>
        <v>0</v>
      </c>
      <c r="E83" s="15" t="n">
        <f aca="false">IF(LEFT(A83,1)&gt;="6",0,SUMIFS('BALANCE 2028'!$I:$I,'BALANCE 2028'!$A:$A,A83))</f>
        <v>0</v>
      </c>
      <c r="F83" s="20" t="n">
        <f aca="false">MAX(0,(H83-I83)-(D83-E83))</f>
        <v>2243169</v>
      </c>
      <c r="G83" s="20" t="n">
        <f aca="false">MAX(0,(D83-E83)-(H83-I83))</f>
        <v>0</v>
      </c>
      <c r="H83" s="15" t="n">
        <f aca="false">ROUND(IF(LEFT(A83,1)&gt;="6",IF(C83="RE",IF(HYPOTHESES!$C$43=0,0,HYPOTHESES!H$43*SUMIFS('BALANCE 2024'!$H:$H,'BALANCE 2024'!$A:$A,A83)/HYPOTHESES!$C$43),IF(C83="RG",IF(HYPOTHESES!$C$44=0,0,HYPOTHESES!H$44*SUMIFS('BALANCE 2024'!$H:$H,'BALANCE 2024'!$A:$A,A83)/HYPOTHESES!$C$44),IF(C83="RH",IF(HYPOTHESES!$C$45=0,0,HYPOTHESES!H$45*SUMIFS('BALANCE 2024'!$H:$H,'BALANCE 2024'!$A:$A,A83)/HYPOTHESES!$C$45),IF(C83="RI",IF(HYPOTHESES!$C$46=0,0,HYPOTHESES!H$46*SUMIFS('BALANCE 2024'!$H:$H,'BALANCE 2024'!$A:$A,A83)/HYPOTHESES!$C$46),IF(C83="RJ",IF(HYPOTHESES!$C$47=0,0,HYPOTHESES!H$47*SUMIFS('BALANCE 2024'!$H:$H,'BALANCE 2024'!$A:$A,A83)/HYPOTHESES!$C$47),IF(C83="RK",IF(HYPOTHESES!$C$48=0,0,HYPOTHESES!H$48*SUMIFS('BALANCE 2024'!$H:$H,'BALANCE 2024'!$A:$A,A83)/HYPOTHESES!$C$48),0)))))),MAX(0,D83-E83)),0)</f>
        <v>2243169</v>
      </c>
      <c r="I83" s="20" t="n">
        <v>0</v>
      </c>
      <c r="J8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4" customFormat="false" ht="15" hidden="false" customHeight="false" outlineLevel="0" collapsed="false">
      <c r="A84" s="30" t="n">
        <v>648000</v>
      </c>
      <c r="B84" s="12" t="s">
        <v>338</v>
      </c>
      <c r="C84" s="13" t="s">
        <v>330</v>
      </c>
      <c r="D84" s="15" t="n">
        <f aca="false">IF(LEFT(A84,1)&gt;="6",0,SUMIFS('BALANCE 2028'!$H:$H,'BALANCE 2028'!$A:$A,A84))</f>
        <v>0</v>
      </c>
      <c r="E84" s="15" t="n">
        <f aca="false">IF(LEFT(A84,1)&gt;="6",0,SUMIFS('BALANCE 2028'!$I:$I,'BALANCE 2028'!$A:$A,A84))</f>
        <v>0</v>
      </c>
      <c r="F84" s="20" t="n">
        <f aca="false">MAX(0,(H84-I84)-(D84-E84))</f>
        <v>943283</v>
      </c>
      <c r="G84" s="20" t="n">
        <f aca="false">MAX(0,(D84-E84)-(H84-I84))</f>
        <v>0</v>
      </c>
      <c r="H84" s="15" t="n">
        <f aca="false">ROUND(IF(LEFT(A84,1)&gt;="6",IF(C84="RE",IF(HYPOTHESES!$C$43=0,0,HYPOTHESES!H$43*SUMIFS('BALANCE 2024'!$H:$H,'BALANCE 2024'!$A:$A,A84)/HYPOTHESES!$C$43),IF(C84="RG",IF(HYPOTHESES!$C$44=0,0,HYPOTHESES!H$44*SUMIFS('BALANCE 2024'!$H:$H,'BALANCE 2024'!$A:$A,A84)/HYPOTHESES!$C$44),IF(C84="RH",IF(HYPOTHESES!$C$45=0,0,HYPOTHESES!H$45*SUMIFS('BALANCE 2024'!$H:$H,'BALANCE 2024'!$A:$A,A84)/HYPOTHESES!$C$45),IF(C84="RI",IF(HYPOTHESES!$C$46=0,0,HYPOTHESES!H$46*SUMIFS('BALANCE 2024'!$H:$H,'BALANCE 2024'!$A:$A,A84)/HYPOTHESES!$C$46),IF(C84="RJ",IF(HYPOTHESES!$C$47=0,0,HYPOTHESES!H$47*SUMIFS('BALANCE 2024'!$H:$H,'BALANCE 2024'!$A:$A,A84)/HYPOTHESES!$C$47),IF(C84="RK",IF(HYPOTHESES!$C$48=0,0,HYPOTHESES!H$48*SUMIFS('BALANCE 2024'!$H:$H,'BALANCE 2024'!$A:$A,A84)/HYPOTHESES!$C$48),0)))))),MAX(0,D84-E84)),0)</f>
        <v>943283</v>
      </c>
      <c r="I84" s="20" t="n">
        <v>0</v>
      </c>
      <c r="J8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5" customFormat="false" ht="15" hidden="false" customHeight="false" outlineLevel="0" collapsed="false">
      <c r="A85" s="30" t="n">
        <v>658800</v>
      </c>
      <c r="B85" s="12" t="s">
        <v>339</v>
      </c>
      <c r="C85" s="13" t="s">
        <v>340</v>
      </c>
      <c r="D85" s="15" t="n">
        <f aca="false">IF(LEFT(A85,1)&gt;="6",0,SUMIFS('BALANCE 2028'!$H:$H,'BALANCE 2028'!$A:$A,A85))</f>
        <v>0</v>
      </c>
      <c r="E85" s="15" t="n">
        <f aca="false">IF(LEFT(A85,1)&gt;="6",0,SUMIFS('BALANCE 2028'!$I:$I,'BALANCE 2028'!$A:$A,A85))</f>
        <v>0</v>
      </c>
      <c r="F85" s="20" t="n">
        <f aca="false">MAX(0,(H85-I85)-(D85-E85))</f>
        <v>1732324</v>
      </c>
      <c r="G85" s="20" t="n">
        <f aca="false">MAX(0,(D85-E85)-(H85-I85))</f>
        <v>0</v>
      </c>
      <c r="H85" s="15" t="n">
        <f aca="false">ROUND(IF(HYPOTHESES!$C$47=0,0,HYPOTHESES!H$47-SUMPRODUCT((T_BAL_2029[Poste]="RJ")*(T_BAL_2029[Compte]&lt;&gt;658800)*ROUND(HYPOTHESES!H$47*SUMIFS('BALANCE 2024'!$H:$H,'BALANCE 2024'!$A:$A,T_BAL_2029[Compte])/HYPOTHESES!$C$47,0))),0)</f>
        <v>1732324</v>
      </c>
      <c r="I85" s="20" t="n">
        <v>0</v>
      </c>
      <c r="J8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6" customFormat="false" ht="15" hidden="false" customHeight="false" outlineLevel="0" collapsed="false">
      <c r="A86" s="30" t="n">
        <v>661100</v>
      </c>
      <c r="B86" s="12" t="s">
        <v>341</v>
      </c>
      <c r="C86" s="13" t="s">
        <v>342</v>
      </c>
      <c r="D86" s="15" t="n">
        <f aca="false">IF(LEFT(A86,1)&gt;="6",0,SUMIFS('BALANCE 2028'!$H:$H,'BALANCE 2028'!$A:$A,A86))</f>
        <v>0</v>
      </c>
      <c r="E86" s="15" t="n">
        <f aca="false">IF(LEFT(A86,1)&gt;="6",0,SUMIFS('BALANCE 2028'!$I:$I,'BALANCE 2028'!$A:$A,A86))</f>
        <v>0</v>
      </c>
      <c r="F86" s="20" t="n">
        <f aca="false">MAX(0,(H86-I86)-(D86-E86))</f>
        <v>76686151</v>
      </c>
      <c r="G86" s="20" t="n">
        <f aca="false">MAX(0,(D86-E86)-(H86-I86))</f>
        <v>0</v>
      </c>
      <c r="H86" s="15" t="n">
        <f aca="false">ROUND(IF(HYPOTHESES!$C$48=0,0,HYPOTHESES!H$48-SUMPRODUCT((T_BAL_2029[Poste]="RK")*(T_BAL_2029[Compte]&lt;&gt;661100)*ROUND(HYPOTHESES!H$48*SUMIFS('BALANCE 2024'!$H:$H,'BALANCE 2024'!$A:$A,T_BAL_2029[Compte])/HYPOTHESES!$C$48,0))),0)</f>
        <v>76686151</v>
      </c>
      <c r="I86" s="20" t="n">
        <v>0</v>
      </c>
      <c r="J8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7" customFormat="false" ht="15" hidden="false" customHeight="false" outlineLevel="0" collapsed="false">
      <c r="A87" s="30" t="n">
        <v>661200</v>
      </c>
      <c r="B87" s="12" t="s">
        <v>343</v>
      </c>
      <c r="C87" s="13" t="s">
        <v>342</v>
      </c>
      <c r="D87" s="15" t="n">
        <f aca="false">IF(LEFT(A87,1)&gt;="6",0,SUMIFS('BALANCE 2028'!$H:$H,'BALANCE 2028'!$A:$A,A87))</f>
        <v>0</v>
      </c>
      <c r="E87" s="15" t="n">
        <f aca="false">IF(LEFT(A87,1)&gt;="6",0,SUMIFS('BALANCE 2028'!$I:$I,'BALANCE 2028'!$A:$A,A87))</f>
        <v>0</v>
      </c>
      <c r="F87" s="20" t="n">
        <f aca="false">MAX(0,(H87-I87)-(D87-E87))</f>
        <v>25923790</v>
      </c>
      <c r="G87" s="20" t="n">
        <f aca="false">MAX(0,(D87-E87)-(H87-I87))</f>
        <v>0</v>
      </c>
      <c r="H87" s="15" t="n">
        <f aca="false">ROUND(IF(LEFT(A87,1)&gt;="6",IF(C87="RE",IF(HYPOTHESES!$C$43=0,0,HYPOTHESES!H$43*SUMIFS('BALANCE 2024'!$H:$H,'BALANCE 2024'!$A:$A,A87)/HYPOTHESES!$C$43),IF(C87="RG",IF(HYPOTHESES!$C$44=0,0,HYPOTHESES!H$44*SUMIFS('BALANCE 2024'!$H:$H,'BALANCE 2024'!$A:$A,A87)/HYPOTHESES!$C$44),IF(C87="RH",IF(HYPOTHESES!$C$45=0,0,HYPOTHESES!H$45*SUMIFS('BALANCE 2024'!$H:$H,'BALANCE 2024'!$A:$A,A87)/HYPOTHESES!$C$45),IF(C87="RI",IF(HYPOTHESES!$C$46=0,0,HYPOTHESES!H$46*SUMIFS('BALANCE 2024'!$H:$H,'BALANCE 2024'!$A:$A,A87)/HYPOTHESES!$C$46),IF(C87="RJ",IF(HYPOTHESES!$C$47=0,0,HYPOTHESES!H$47*SUMIFS('BALANCE 2024'!$H:$H,'BALANCE 2024'!$A:$A,A87)/HYPOTHESES!$C$47),IF(C87="RK",IF(HYPOTHESES!$C$48=0,0,HYPOTHESES!H$48*SUMIFS('BALANCE 2024'!$H:$H,'BALANCE 2024'!$A:$A,A87)/HYPOTHESES!$C$48),0)))))),MAX(0,D87-E87)),0)</f>
        <v>25923790</v>
      </c>
      <c r="I87" s="20" t="n">
        <v>0</v>
      </c>
      <c r="J8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8" customFormat="false" ht="15" hidden="false" customHeight="false" outlineLevel="0" collapsed="false">
      <c r="A88" s="30" t="n">
        <v>661300</v>
      </c>
      <c r="B88" s="12" t="s">
        <v>344</v>
      </c>
      <c r="C88" s="13" t="s">
        <v>342</v>
      </c>
      <c r="D88" s="15" t="n">
        <f aca="false">IF(LEFT(A88,1)&gt;="6",0,SUMIFS('BALANCE 2028'!$H:$H,'BALANCE 2028'!$A:$A,A88))</f>
        <v>0</v>
      </c>
      <c r="E88" s="15" t="n">
        <f aca="false">IF(LEFT(A88,1)&gt;="6",0,SUMIFS('BALANCE 2028'!$I:$I,'BALANCE 2028'!$A:$A,A88))</f>
        <v>0</v>
      </c>
      <c r="F88" s="20" t="n">
        <f aca="false">MAX(0,(H88-I88)-(D88-E88))</f>
        <v>8553600</v>
      </c>
      <c r="G88" s="20" t="n">
        <f aca="false">MAX(0,(D88-E88)-(H88-I88))</f>
        <v>0</v>
      </c>
      <c r="H88" s="15" t="n">
        <f aca="false">ROUND(IF(LEFT(A88,1)&gt;="6",IF(C88="RE",IF(HYPOTHESES!$C$43=0,0,HYPOTHESES!H$43*SUMIFS('BALANCE 2024'!$H:$H,'BALANCE 2024'!$A:$A,A88)/HYPOTHESES!$C$43),IF(C88="RG",IF(HYPOTHESES!$C$44=0,0,HYPOTHESES!H$44*SUMIFS('BALANCE 2024'!$H:$H,'BALANCE 2024'!$A:$A,A88)/HYPOTHESES!$C$44),IF(C88="RH",IF(HYPOTHESES!$C$45=0,0,HYPOTHESES!H$45*SUMIFS('BALANCE 2024'!$H:$H,'BALANCE 2024'!$A:$A,A88)/HYPOTHESES!$C$45),IF(C88="RI",IF(HYPOTHESES!$C$46=0,0,HYPOTHESES!H$46*SUMIFS('BALANCE 2024'!$H:$H,'BALANCE 2024'!$A:$A,A88)/HYPOTHESES!$C$46),IF(C88="RJ",IF(HYPOTHESES!$C$47=0,0,HYPOTHESES!H$47*SUMIFS('BALANCE 2024'!$H:$H,'BALANCE 2024'!$A:$A,A88)/HYPOTHESES!$C$47),IF(C88="RK",IF(HYPOTHESES!$C$48=0,0,HYPOTHESES!H$48*SUMIFS('BALANCE 2024'!$H:$H,'BALANCE 2024'!$A:$A,A88)/HYPOTHESES!$C$48),0)))))),MAX(0,D88-E88)),0)</f>
        <v>8553600</v>
      </c>
      <c r="I88" s="20" t="n">
        <v>0</v>
      </c>
      <c r="J8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89" customFormat="false" ht="15" hidden="false" customHeight="false" outlineLevel="0" collapsed="false">
      <c r="A89" s="30" t="n">
        <v>661400</v>
      </c>
      <c r="B89" s="12" t="s">
        <v>345</v>
      </c>
      <c r="C89" s="13" t="s">
        <v>342</v>
      </c>
      <c r="D89" s="15" t="n">
        <f aca="false">IF(LEFT(A89,1)&gt;="6",0,SUMIFS('BALANCE 2028'!$H:$H,'BALANCE 2028'!$A:$A,A89))</f>
        <v>0</v>
      </c>
      <c r="E89" s="15" t="n">
        <f aca="false">IF(LEFT(A89,1)&gt;="6",0,SUMIFS('BALANCE 2028'!$I:$I,'BALANCE 2028'!$A:$A,A89))</f>
        <v>0</v>
      </c>
      <c r="F89" s="20" t="n">
        <f aca="false">MAX(0,(H89-I89)-(D89-E89))</f>
        <v>8638032</v>
      </c>
      <c r="G89" s="20" t="n">
        <f aca="false">MAX(0,(D89-E89)-(H89-I89))</f>
        <v>0</v>
      </c>
      <c r="H89" s="15" t="n">
        <f aca="false">ROUND(IF(LEFT(A89,1)&gt;="6",IF(C89="RE",IF(HYPOTHESES!$C$43=0,0,HYPOTHESES!H$43*SUMIFS('BALANCE 2024'!$H:$H,'BALANCE 2024'!$A:$A,A89)/HYPOTHESES!$C$43),IF(C89="RG",IF(HYPOTHESES!$C$44=0,0,HYPOTHESES!H$44*SUMIFS('BALANCE 2024'!$H:$H,'BALANCE 2024'!$A:$A,A89)/HYPOTHESES!$C$44),IF(C89="RH",IF(HYPOTHESES!$C$45=0,0,HYPOTHESES!H$45*SUMIFS('BALANCE 2024'!$H:$H,'BALANCE 2024'!$A:$A,A89)/HYPOTHESES!$C$45),IF(C89="RI",IF(HYPOTHESES!$C$46=0,0,HYPOTHESES!H$46*SUMIFS('BALANCE 2024'!$H:$H,'BALANCE 2024'!$A:$A,A89)/HYPOTHESES!$C$46),IF(C89="RJ",IF(HYPOTHESES!$C$47=0,0,HYPOTHESES!H$47*SUMIFS('BALANCE 2024'!$H:$H,'BALANCE 2024'!$A:$A,A89)/HYPOTHESES!$C$47),IF(C89="RK",IF(HYPOTHESES!$C$48=0,0,HYPOTHESES!H$48*SUMIFS('BALANCE 2024'!$H:$H,'BALANCE 2024'!$A:$A,A89)/HYPOTHESES!$C$48),0)))))),MAX(0,D89-E89)),0)</f>
        <v>8638032</v>
      </c>
      <c r="I89" s="20" t="n">
        <v>0</v>
      </c>
      <c r="J89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0" customFormat="false" ht="15" hidden="false" customHeight="false" outlineLevel="0" collapsed="false">
      <c r="A90" s="30" t="n">
        <v>663400</v>
      </c>
      <c r="B90" s="12" t="s">
        <v>346</v>
      </c>
      <c r="C90" s="13" t="s">
        <v>342</v>
      </c>
      <c r="D90" s="15" t="n">
        <f aca="false">IF(LEFT(A90,1)&gt;="6",0,SUMIFS('BALANCE 2028'!$H:$H,'BALANCE 2028'!$A:$A,A90))</f>
        <v>0</v>
      </c>
      <c r="E90" s="15" t="n">
        <f aca="false">IF(LEFT(A90,1)&gt;="6",0,SUMIFS('BALANCE 2028'!$I:$I,'BALANCE 2028'!$A:$A,A90))</f>
        <v>0</v>
      </c>
      <c r="F90" s="20" t="n">
        <f aca="false">MAX(0,(H90-I90)-(D90-E90))</f>
        <v>8946552</v>
      </c>
      <c r="G90" s="20" t="n">
        <f aca="false">MAX(0,(D90-E90)-(H90-I90))</f>
        <v>0</v>
      </c>
      <c r="H90" s="15" t="n">
        <f aca="false">ROUND(IF(LEFT(A90,1)&gt;="6",IF(C90="RE",IF(HYPOTHESES!$C$43=0,0,HYPOTHESES!H$43*SUMIFS('BALANCE 2024'!$H:$H,'BALANCE 2024'!$A:$A,A90)/HYPOTHESES!$C$43),IF(C90="RG",IF(HYPOTHESES!$C$44=0,0,HYPOTHESES!H$44*SUMIFS('BALANCE 2024'!$H:$H,'BALANCE 2024'!$A:$A,A90)/HYPOTHESES!$C$44),IF(C90="RH",IF(HYPOTHESES!$C$45=0,0,HYPOTHESES!H$45*SUMIFS('BALANCE 2024'!$H:$H,'BALANCE 2024'!$A:$A,A90)/HYPOTHESES!$C$45),IF(C90="RI",IF(HYPOTHESES!$C$46=0,0,HYPOTHESES!H$46*SUMIFS('BALANCE 2024'!$H:$H,'BALANCE 2024'!$A:$A,A90)/HYPOTHESES!$C$46),IF(C90="RJ",IF(HYPOTHESES!$C$47=0,0,HYPOTHESES!H$47*SUMIFS('BALANCE 2024'!$H:$H,'BALANCE 2024'!$A:$A,A90)/HYPOTHESES!$C$47),IF(C90="RK",IF(HYPOTHESES!$C$48=0,0,HYPOTHESES!H$48*SUMIFS('BALANCE 2024'!$H:$H,'BALANCE 2024'!$A:$A,A90)/HYPOTHESES!$C$48),0)))))),MAX(0,D90-E90)),0)</f>
        <v>8946552</v>
      </c>
      <c r="I90" s="20" t="n">
        <v>0</v>
      </c>
      <c r="J9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1" customFormat="false" ht="15" hidden="false" customHeight="false" outlineLevel="0" collapsed="false">
      <c r="A91" s="30" t="n">
        <v>664104</v>
      </c>
      <c r="B91" s="12" t="s">
        <v>347</v>
      </c>
      <c r="C91" s="13" t="s">
        <v>342</v>
      </c>
      <c r="D91" s="15" t="n">
        <f aca="false">IF(LEFT(A91,1)&gt;="6",0,SUMIFS('BALANCE 2028'!$H:$H,'BALANCE 2028'!$A:$A,A91))</f>
        <v>0</v>
      </c>
      <c r="E91" s="15" t="n">
        <f aca="false">IF(LEFT(A91,1)&gt;="6",0,SUMIFS('BALANCE 2028'!$I:$I,'BALANCE 2028'!$A:$A,A91))</f>
        <v>0</v>
      </c>
      <c r="F91" s="20" t="n">
        <f aca="false">MAX(0,(H91-I91)-(D91-E91))</f>
        <v>9108398</v>
      </c>
      <c r="G91" s="20" t="n">
        <f aca="false">MAX(0,(D91-E91)-(H91-I91))</f>
        <v>0</v>
      </c>
      <c r="H91" s="15" t="n">
        <f aca="false">ROUND(IF(LEFT(A91,1)&gt;="6",IF(C91="RE",IF(HYPOTHESES!$C$43=0,0,HYPOTHESES!H$43*SUMIFS('BALANCE 2024'!$H:$H,'BALANCE 2024'!$A:$A,A91)/HYPOTHESES!$C$43),IF(C91="RG",IF(HYPOTHESES!$C$44=0,0,HYPOTHESES!H$44*SUMIFS('BALANCE 2024'!$H:$H,'BALANCE 2024'!$A:$A,A91)/HYPOTHESES!$C$44),IF(C91="RH",IF(HYPOTHESES!$C$45=0,0,HYPOTHESES!H$45*SUMIFS('BALANCE 2024'!$H:$H,'BALANCE 2024'!$A:$A,A91)/HYPOTHESES!$C$45),IF(C91="RI",IF(HYPOTHESES!$C$46=0,0,HYPOTHESES!H$46*SUMIFS('BALANCE 2024'!$H:$H,'BALANCE 2024'!$A:$A,A91)/HYPOTHESES!$C$46),IF(C91="RJ",IF(HYPOTHESES!$C$47=0,0,HYPOTHESES!H$47*SUMIFS('BALANCE 2024'!$H:$H,'BALANCE 2024'!$A:$A,A91)/HYPOTHESES!$C$47),IF(C91="RK",IF(HYPOTHESES!$C$48=0,0,HYPOTHESES!H$48*SUMIFS('BALANCE 2024'!$H:$H,'BALANCE 2024'!$A:$A,A91)/HYPOTHESES!$C$48),0)))))),MAX(0,D91-E91)),0)</f>
        <v>9108398</v>
      </c>
      <c r="I91" s="20" t="n">
        <v>0</v>
      </c>
      <c r="J91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2" customFormat="false" ht="15" hidden="false" customHeight="false" outlineLevel="0" collapsed="false">
      <c r="A92" s="30" t="n">
        <v>671201</v>
      </c>
      <c r="B92" s="12" t="s">
        <v>348</v>
      </c>
      <c r="C92" s="13" t="s">
        <v>349</v>
      </c>
      <c r="D92" s="15" t="n">
        <f aca="false">IF(LEFT(A92,1)&gt;="6",0,SUMIFS('BALANCE 2028'!$H:$H,'BALANCE 2028'!$A:$A,A92))</f>
        <v>0</v>
      </c>
      <c r="E92" s="15" t="n">
        <f aca="false">IF(LEFT(A92,1)&gt;="6",0,SUMIFS('BALANCE 2028'!$I:$I,'BALANCE 2028'!$A:$A,A92))</f>
        <v>0</v>
      </c>
      <c r="F92" s="20" t="n">
        <f aca="false">MAX(0,(H92-I92)-(D92-E92))</f>
        <v>0</v>
      </c>
      <c r="G92" s="20" t="n">
        <f aca="false">MAX(0,(D92-E92)-(H92-I92))</f>
        <v>0</v>
      </c>
      <c r="H92" s="15" t="n">
        <f aca="false">ROUND('INVEST ET FINANCEMENT'!H$64,0)</f>
        <v>0</v>
      </c>
      <c r="I92" s="20" t="n">
        <v>0</v>
      </c>
      <c r="J9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3" customFormat="false" ht="15" hidden="false" customHeight="false" outlineLevel="0" collapsed="false">
      <c r="A93" s="30" t="n">
        <v>672301</v>
      </c>
      <c r="B93" s="12" t="s">
        <v>350</v>
      </c>
      <c r="C93" s="13" t="s">
        <v>349</v>
      </c>
      <c r="D93" s="15" t="n">
        <f aca="false">IF(LEFT(A93,1)&gt;="6",0,SUMIFS('BALANCE 2028'!$H:$H,'BALANCE 2028'!$A:$A,A93))</f>
        <v>0</v>
      </c>
      <c r="E93" s="15" t="n">
        <f aca="false">IF(LEFT(A93,1)&gt;="6",0,SUMIFS('BALANCE 2028'!$I:$I,'BALANCE 2028'!$A:$A,A93))</f>
        <v>0</v>
      </c>
      <c r="F93" s="20" t="n">
        <f aca="false">MAX(0,(H93-I93)-(D93-E93))</f>
        <v>0</v>
      </c>
      <c r="G93" s="20" t="n">
        <f aca="false">MAX(0,(D93-E93)-(H93-I93))</f>
        <v>0</v>
      </c>
      <c r="H93" s="15" t="n">
        <f aca="false">ROUND('INVEST ET FINANCEMENT'!H$65,0)</f>
        <v>0</v>
      </c>
      <c r="I93" s="20" t="n">
        <v>0</v>
      </c>
      <c r="J93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4" customFormat="false" ht="15" hidden="false" customHeight="false" outlineLevel="0" collapsed="false">
      <c r="A94" s="30" t="n">
        <v>681301</v>
      </c>
      <c r="B94" s="12" t="s">
        <v>351</v>
      </c>
      <c r="C94" s="13" t="s">
        <v>352</v>
      </c>
      <c r="D94" s="15" t="n">
        <f aca="false">IF(LEFT(A94,1)&gt;="6",0,SUMIFS('BALANCE 2028'!$H:$H,'BALANCE 2028'!$A:$A,A94))</f>
        <v>0</v>
      </c>
      <c r="E94" s="15" t="n">
        <f aca="false">IF(LEFT(A94,1)&gt;="6",0,SUMIFS('BALANCE 2028'!$I:$I,'BALANCE 2028'!$A:$A,A94))</f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ROUND('INVEST ET FINANCEMENT'!H$31,0)</f>
        <v>0</v>
      </c>
      <c r="I94" s="20" t="n">
        <v>0</v>
      </c>
      <c r="J94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5" customFormat="false" ht="15" hidden="false" customHeight="false" outlineLevel="0" collapsed="false">
      <c r="A95" s="30" t="n">
        <v>681302</v>
      </c>
      <c r="B95" s="12" t="s">
        <v>353</v>
      </c>
      <c r="C95" s="13" t="s">
        <v>352</v>
      </c>
      <c r="D95" s="15" t="n">
        <f aca="false">IF(LEFT(A95,1)&gt;="6",0,SUMIFS('BALANCE 2028'!$H:$H,'BALANCE 2028'!$A:$A,A95))</f>
        <v>0</v>
      </c>
      <c r="E95" s="15" t="n">
        <f aca="false">IF(LEFT(A95,1)&gt;="6",0,SUMIFS('BALANCE 2028'!$I:$I,'BALANCE 2028'!$A:$A,A95))</f>
        <v>0</v>
      </c>
      <c r="F95" s="20" t="n">
        <f aca="false">MAX(0,(H95-I95)-(D95-E95))</f>
        <v>68854932</v>
      </c>
      <c r="G95" s="20" t="n">
        <f aca="false">MAX(0,(D95-E95)-(H95-I95))</f>
        <v>0</v>
      </c>
      <c r="H95" s="15" t="n">
        <f aca="false">ROUND('INVEST ET FINANCEMENT'!H$34,0)</f>
        <v>68854932</v>
      </c>
      <c r="I95" s="20" t="n">
        <v>0</v>
      </c>
      <c r="J95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6" customFormat="false" ht="15" hidden="false" customHeight="false" outlineLevel="0" collapsed="false">
      <c r="A96" s="30" t="n">
        <v>681303</v>
      </c>
      <c r="B96" s="12" t="s">
        <v>354</v>
      </c>
      <c r="C96" s="13" t="s">
        <v>352</v>
      </c>
      <c r="D96" s="15" t="n">
        <f aca="false">IF(LEFT(A96,1)&gt;="6",0,SUMIFS('BALANCE 2028'!$H:$H,'BALANCE 2028'!$A:$A,A96))</f>
        <v>0</v>
      </c>
      <c r="E96" s="15" t="n">
        <f aca="false">IF(LEFT(A96,1)&gt;="6",0,SUMIFS('BALANCE 2028'!$I:$I,'BALANCE 2028'!$A:$A,A96))</f>
        <v>0</v>
      </c>
      <c r="F96" s="20" t="n">
        <f aca="false">MAX(0,(H96-I96)-(D96-E96))</f>
        <v>5000000</v>
      </c>
      <c r="G96" s="20" t="n">
        <f aca="false">MAX(0,(D96-E96)-(H96-I96))</f>
        <v>0</v>
      </c>
      <c r="H96" s="15" t="n">
        <f aca="false">ROUND('INVEST ET FINANCEMENT'!H$37,0)</f>
        <v>5000000</v>
      </c>
      <c r="I96" s="20" t="n">
        <v>0</v>
      </c>
      <c r="J96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7" customFormat="false" ht="15" hidden="false" customHeight="false" outlineLevel="0" collapsed="false">
      <c r="A97" s="30" t="n">
        <v>681304</v>
      </c>
      <c r="B97" s="12" t="s">
        <v>355</v>
      </c>
      <c r="C97" s="13" t="s">
        <v>352</v>
      </c>
      <c r="D97" s="15" t="n">
        <f aca="false">IF(LEFT(A97,1)&gt;="6",0,SUMIFS('BALANCE 2028'!$H:$H,'BALANCE 2028'!$A:$A,A97))</f>
        <v>0</v>
      </c>
      <c r="E97" s="15" t="n">
        <f aca="false">IF(LEFT(A97,1)&gt;="6",0,SUMIFS('BALANCE 2028'!$I:$I,'BALANCE 2028'!$A:$A,A97))</f>
        <v>0</v>
      </c>
      <c r="F97" s="20" t="n">
        <f aca="false">MAX(0,(H97-I97)-(D97-E97))</f>
        <v>24093971</v>
      </c>
      <c r="G97" s="20" t="n">
        <f aca="false">MAX(0,(D97-E97)-(H97-I97))</f>
        <v>0</v>
      </c>
      <c r="H97" s="15" t="n">
        <f aca="false">ROUND('INVEST ET FINANCEMENT'!H$40,0)</f>
        <v>24093971</v>
      </c>
      <c r="I97" s="20" t="n">
        <v>0</v>
      </c>
      <c r="J97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8" customFormat="false" ht="15" hidden="false" customHeight="false" outlineLevel="0" collapsed="false">
      <c r="A98" s="30" t="n">
        <v>691100</v>
      </c>
      <c r="B98" s="12" t="s">
        <v>356</v>
      </c>
      <c r="C98" s="13" t="s">
        <v>352</v>
      </c>
      <c r="D98" s="15" t="n">
        <f aca="false">IF(LEFT(A98,1)&gt;="6",0,SUMIFS('BALANCE 2028'!$H:$H,'BALANCE 2028'!$A:$A,A98))</f>
        <v>0</v>
      </c>
      <c r="E98" s="15" t="n">
        <f aca="false">IF(LEFT(A98,1)&gt;="6",0,SUMIFS('BALANCE 2028'!$I:$I,'BALANCE 2028'!$A:$A,A98))</f>
        <v>0</v>
      </c>
      <c r="F98" s="20" t="n">
        <f aca="false">MAX(0,(H98-I98)-(D98-E98))</f>
        <v>6059296</v>
      </c>
      <c r="G98" s="20" t="n">
        <f aca="false">MAX(0,(D98-E98)-(H98-I98))</f>
        <v>0</v>
      </c>
      <c r="H98" s="15" t="n">
        <f aca="false">ROUND(HYPOTHESES!H$50,0)</f>
        <v>6059296</v>
      </c>
      <c r="I98" s="20" t="n">
        <v>0</v>
      </c>
      <c r="J98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99" customFormat="false" ht="15" hidden="false" customHeight="false" outlineLevel="0" collapsed="false">
      <c r="A99" s="38" t="n">
        <v>705100</v>
      </c>
      <c r="B99" s="39" t="s">
        <v>357</v>
      </c>
      <c r="C99" s="40" t="s">
        <v>358</v>
      </c>
      <c r="D99" s="43" t="n">
        <f aca="false">IF(LEFT(A99,1)&gt;="6",0,SUMIFS('BALANCE 2028'!$H:$H,'BALANCE 2028'!$A:$A,A99))</f>
        <v>0</v>
      </c>
      <c r="E99" s="43" t="n">
        <f aca="false">IF(LEFT(A99,1)&gt;="6",0,SUMIFS('BALANCE 2028'!$I:$I,'BALANCE 2028'!$A:$A,A99))</f>
        <v>0</v>
      </c>
      <c r="F99" s="42" t="n">
        <f aca="false">MAX(0,(H99-I99)-(D99-E99))</f>
        <v>0</v>
      </c>
      <c r="G99" s="42" t="n">
        <f aca="false">MAX(0,(D99-E99)-(H99-I99))</f>
        <v>911749493</v>
      </c>
      <c r="H99" s="42" t="n">
        <v>0</v>
      </c>
      <c r="I99" s="43" t="n">
        <f aca="false">ROUND(HYPOTHESES!H$42,0)</f>
        <v>911749493</v>
      </c>
      <c r="J99" s="42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100" customFormat="false" ht="15" hidden="false" customHeight="false" outlineLevel="0" collapsed="false">
      <c r="A100" s="30" t="n">
        <v>771200</v>
      </c>
      <c r="B100" s="12" t="s">
        <v>359</v>
      </c>
      <c r="C100" s="13" t="s">
        <v>360</v>
      </c>
      <c r="D100" s="15" t="n">
        <f aca="false">IF(LEFT(A100,1)&gt;="6",0,SUMIFS('BALANCE 2028'!$H:$H,'BALANCE 2028'!$A:$A,A100))</f>
        <v>0</v>
      </c>
      <c r="E100" s="15" t="n">
        <f aca="false">IF(LEFT(A100,1)&gt;="6",0,SUMIFS('BALANCE 2028'!$I:$I,'BALANCE 2028'!$A:$A,A100))</f>
        <v>0</v>
      </c>
      <c r="F100" s="20" t="n">
        <f aca="false">MAX(0,(H100-I100)-(D100-E100))</f>
        <v>0</v>
      </c>
      <c r="G100" s="20" t="n">
        <f aca="false">MAX(0,(D100-E100)-(H100-I100))</f>
        <v>848594</v>
      </c>
      <c r="H100" s="20" t="n">
        <v>0</v>
      </c>
      <c r="I100" s="15" t="n">
        <f aca="false">ROUND(HYPOTHESES!H$51,0)</f>
        <v>848594</v>
      </c>
      <c r="J100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101" customFormat="false" ht="15" hidden="false" customHeight="false" outlineLevel="0" collapsed="false">
      <c r="A101" s="38" t="n">
        <v>891100</v>
      </c>
      <c r="B101" s="39" t="s">
        <v>361</v>
      </c>
      <c r="C101" s="40" t="s">
        <v>362</v>
      </c>
      <c r="D101" s="43" t="n">
        <f aca="false">IF(LEFT(A101,1)&gt;="6",0,SUMIFS('BALANCE 2028'!$H:$H,'BALANCE 2028'!$A:$A,A101))</f>
        <v>0</v>
      </c>
      <c r="E101" s="43" t="n">
        <f aca="false">IF(LEFT(A101,1)&gt;="6",0,SUMIFS('BALANCE 2028'!$I:$I,'BALANCE 2028'!$A:$A,A101))</f>
        <v>0</v>
      </c>
      <c r="F101" s="42" t="n">
        <f aca="false">MAX(0,(H101-I101)-(D101-E101))</f>
        <v>36026715</v>
      </c>
      <c r="G101" s="42" t="n">
        <f aca="false">MAX(0,(D101-E101)-(H101-I101))</f>
        <v>0</v>
      </c>
      <c r="H101" s="43" t="n">
        <f aca="false">ROUND(IF(HYPOTHESES!H$54&gt;=HYPOTHESES!H$55,HYPOTHESES!H$56,0),0)</f>
        <v>36026715</v>
      </c>
      <c r="I101" s="42" t="n">
        <v>0</v>
      </c>
      <c r="J101" s="42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  <row r="102" customFormat="false" ht="15" hidden="false" customHeight="false" outlineLevel="0" collapsed="false">
      <c r="A102" s="30" t="n">
        <v>895000</v>
      </c>
      <c r="B102" s="12" t="s">
        <v>363</v>
      </c>
      <c r="C102" s="13" t="s">
        <v>362</v>
      </c>
      <c r="D102" s="15" t="n">
        <f aca="false">IF(LEFT(A102,1)&gt;="6",0,SUMIFS('BALANCE 2028'!$H:$H,'BALANCE 2028'!$A:$A,A102))</f>
        <v>0</v>
      </c>
      <c r="E102" s="15" t="n">
        <f aca="false">IF(LEFT(A102,1)&gt;="6",0,SUMIFS('BALANCE 2028'!$I:$I,'BALANCE 2028'!$A:$A,A102))</f>
        <v>0</v>
      </c>
      <c r="F102" s="20" t="n">
        <f aca="false">MAX(0,(H102-I102)-(D102-E102))</f>
        <v>0</v>
      </c>
      <c r="G102" s="20" t="n">
        <f aca="false">MAX(0,(D102-E102)-(H102-I102))</f>
        <v>0</v>
      </c>
      <c r="H102" s="15" t="n">
        <f aca="false">ROUND(IF(HYPOTHESES!H$54&lt;HYPOTHESES!H$55,HYPOTHESES!H$56,0),0)</f>
        <v>0</v>
      </c>
      <c r="I102" s="20" t="n">
        <v>0</v>
      </c>
      <c r="J102" s="20" t="n">
        <f aca="false">(T_BAL_2029[[#This Row],[Ouverture Débit]]-T_BAL_2029[[#This Row],[Ouverture Crédit]])+(T_BAL_2029[[#This Row],[Mouvements Débit]]-T_BAL_2029[[#This Row],[Mouvements Crédit]])-(T_BAL_2029[[#This Row],[Clôture Débit]]-T_BAL_2029[[#This Row],[Clôture Crédit]])</f>
        <v>0</v>
      </c>
    </row>
  </sheetData>
  <mergeCells count="8">
    <mergeCell ref="A1:J1"/>
    <mergeCell ref="D3:E3"/>
    <mergeCell ref="F3:G3"/>
    <mergeCell ref="H3:I3"/>
    <mergeCell ref="L3:M3"/>
    <mergeCell ref="D14:E14"/>
    <mergeCell ref="F14:G14"/>
    <mergeCell ref="H14:I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373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374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375</v>
      </c>
      <c r="B5" s="27" t="s">
        <v>376</v>
      </c>
      <c r="C5" s="27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7" t="s">
        <v>377</v>
      </c>
    </row>
    <row r="6" customFormat="false" ht="15" hidden="false" customHeight="false" outlineLevel="0" collapsed="false">
      <c r="A6" s="13" t="s">
        <v>378</v>
      </c>
      <c r="B6" s="12" t="s">
        <v>379</v>
      </c>
      <c r="C6" s="15" t="n">
        <f aca="false">SUMIFS('BALANCE 2024'!$H:$H,'BALANCE 2024'!$C:$C,"AD")-(SUMIFS('BALANCE 2024'!$I:$I,'BALANCE 2024'!$C:$C,"AD"))</f>
        <v>0</v>
      </c>
      <c r="D6" s="15" t="n">
        <f aca="false">SUMIFS('BALANCE 2025'!$H:$H,'BALANCE 2025'!$C:$C,"AD")-(SUMIFS('BALANCE 2025'!$I:$I,'BALANCE 2025'!$C:$C,"AD"))</f>
        <v>0</v>
      </c>
      <c r="E6" s="15" t="n">
        <f aca="false">SUMIFS('BALANCE 2026'!$H:$H,'BALANCE 2026'!$C:$C,"AD")-(SUMIFS('BALANCE 2026'!$I:$I,'BALANCE 2026'!$C:$C,"AD"))</f>
        <v>0</v>
      </c>
      <c r="F6" s="15" t="n">
        <f aca="false">SUMIFS('BALANCE 2027'!$H:$H,'BALANCE 2027'!$C:$C,"AD")-(SUMIFS('BALANCE 2027'!$I:$I,'BALANCE 2027'!$C:$C,"AD"))</f>
        <v>0</v>
      </c>
      <c r="G6" s="15" t="n">
        <f aca="false">SUMIFS('BALANCE 2028'!$H:$H,'BALANCE 2028'!$C:$C,"AD")-(SUMIFS('BALANCE 2028'!$I:$I,'BALANCE 2028'!$C:$C,"AD"))</f>
        <v>0</v>
      </c>
      <c r="H6" s="15" t="n">
        <f aca="false">SUMIFS('BALANCE 2029'!$H:$H,'BALANCE 2029'!$C:$C,"AD")-(SUMIFS('BALANCE 2029'!$I:$I,'BALANCE 2029'!$C:$C,"AD"))</f>
        <v>0</v>
      </c>
    </row>
    <row r="7" customFormat="false" ht="15" hidden="false" customHeight="false" outlineLevel="0" collapsed="false">
      <c r="A7" s="13" t="s">
        <v>380</v>
      </c>
      <c r="B7" s="12" t="s">
        <v>381</v>
      </c>
      <c r="C7" s="15" t="n">
        <f aca="false">SUMIFS('BALANCE 2024'!$H:$H,'BALANCE 2024'!$C:$C,"AJ")-(SUMIFS('BALANCE 2024'!$I:$I,'BALANCE 2024'!$C:$C,"AJ"))</f>
        <v>0</v>
      </c>
      <c r="D7" s="15" t="n">
        <f aca="false">SUMIFS('BALANCE 2025'!$H:$H,'BALANCE 2025'!$C:$C,"AJ")-(SUMIFS('BALANCE 2025'!$I:$I,'BALANCE 2025'!$C:$C,"AJ"))</f>
        <v>0</v>
      </c>
      <c r="E7" s="15" t="n">
        <f aca="false">SUMIFS('BALANCE 2026'!$H:$H,'BALANCE 2026'!$C:$C,"AJ")-(SUMIFS('BALANCE 2026'!$I:$I,'BALANCE 2026'!$C:$C,"AJ"))</f>
        <v>0</v>
      </c>
      <c r="F7" s="15" t="n">
        <f aca="false">SUMIFS('BALANCE 2027'!$H:$H,'BALANCE 2027'!$C:$C,"AJ")-(SUMIFS('BALANCE 2027'!$I:$I,'BALANCE 2027'!$C:$C,"AJ"))</f>
        <v>0</v>
      </c>
      <c r="G7" s="15" t="n">
        <f aca="false">SUMIFS('BALANCE 2028'!$H:$H,'BALANCE 2028'!$C:$C,"AJ")-(SUMIFS('BALANCE 2028'!$I:$I,'BALANCE 2028'!$C:$C,"AJ"))</f>
        <v>0</v>
      </c>
      <c r="H7" s="15" t="n">
        <f aca="false">SUMIFS('BALANCE 2029'!$H:$H,'BALANCE 2029'!$C:$C,"AJ")-(SUMIFS('BALANCE 2029'!$I:$I,'BALANCE 2029'!$C:$C,"AJ"))</f>
        <v>0</v>
      </c>
    </row>
    <row r="8" customFormat="false" ht="15" hidden="false" customHeight="false" outlineLevel="0" collapsed="false">
      <c r="A8" s="13" t="s">
        <v>382</v>
      </c>
      <c r="B8" s="12" t="s">
        <v>383</v>
      </c>
      <c r="C8" s="15" t="n">
        <f aca="false">SUMIFS('BALANCE 2024'!$H:$H,'BALANCE 2024'!$C:$C,"AK")-(SUMIFS('BALANCE 2024'!$I:$I,'BALANCE 2024'!$C:$C,"AK"))</f>
        <v>0</v>
      </c>
      <c r="D8" s="15" t="n">
        <f aca="false">SUMIFS('BALANCE 2025'!$H:$H,'BALANCE 2025'!$C:$C,"AK")-(SUMIFS('BALANCE 2025'!$I:$I,'BALANCE 2025'!$C:$C,"AK"))</f>
        <v>0</v>
      </c>
      <c r="E8" s="15" t="n">
        <f aca="false">SUMIFS('BALANCE 2026'!$H:$H,'BALANCE 2026'!$C:$C,"AK")-(SUMIFS('BALANCE 2026'!$I:$I,'BALANCE 2026'!$C:$C,"AK"))</f>
        <v>0</v>
      </c>
      <c r="F8" s="15" t="n">
        <f aca="false">SUMIFS('BALANCE 2027'!$H:$H,'BALANCE 2027'!$C:$C,"AK")-(SUMIFS('BALANCE 2027'!$I:$I,'BALANCE 2027'!$C:$C,"AK"))</f>
        <v>0</v>
      </c>
      <c r="G8" s="15" t="n">
        <f aca="false">SUMIFS('BALANCE 2028'!$H:$H,'BALANCE 2028'!$C:$C,"AK")-(SUMIFS('BALANCE 2028'!$I:$I,'BALANCE 2028'!$C:$C,"AK"))</f>
        <v>0</v>
      </c>
      <c r="H8" s="15" t="n">
        <f aca="false">SUMIFS('BALANCE 2029'!$H:$H,'BALANCE 2029'!$C:$C,"AK")-(SUMIFS('BALANCE 2029'!$I:$I,'BALANCE 2029'!$C:$C,"AK"))</f>
        <v>0</v>
      </c>
    </row>
    <row r="9" customFormat="false" ht="15" hidden="false" customHeight="false" outlineLevel="0" collapsed="false">
      <c r="A9" s="13" t="s">
        <v>261</v>
      </c>
      <c r="B9" s="12" t="s">
        <v>384</v>
      </c>
      <c r="C9" s="15" t="n">
        <f aca="false">SUMIFS('BALANCE 2024'!$H:$H,'BALANCE 2024'!$C:$C,"AL")-(SUMIFS('BALANCE 2024'!$I:$I,'BALANCE 2024'!$C:$C,"AL"))</f>
        <v>61665016</v>
      </c>
      <c r="D9" s="15" t="n">
        <f aca="false">SUMIFS('BALANCE 2025'!$H:$H,'BALANCE 2025'!$C:$C,"AL")-(SUMIFS('BALANCE 2025'!$I:$I,'BALANCE 2025'!$C:$C,"AL"))</f>
        <v>42382171</v>
      </c>
      <c r="E9" s="15" t="n">
        <f aca="false">SUMIFS('BALANCE 2026'!$H:$H,'BALANCE 2026'!$C:$C,"AL")-(SUMIFS('BALANCE 2026'!$I:$I,'BALANCE 2026'!$C:$C,"AL"))</f>
        <v>23099326</v>
      </c>
      <c r="F9" s="15" t="n">
        <f aca="false">SUMIFS('BALANCE 2027'!$H:$H,'BALANCE 2027'!$C:$C,"AL")-(SUMIFS('BALANCE 2027'!$I:$I,'BALANCE 2027'!$C:$C,"AL"))</f>
        <v>3816481</v>
      </c>
      <c r="G9" s="15" t="n">
        <f aca="false">SUMIFS('BALANCE 2028'!$H:$H,'BALANCE 2028'!$C:$C,"AL")-(SUMIFS('BALANCE 2028'!$I:$I,'BALANCE 2028'!$C:$C,"AL"))</f>
        <v>0</v>
      </c>
      <c r="H9" s="15" t="n">
        <f aca="false">SUMIFS('BALANCE 2029'!$H:$H,'BALANCE 2029'!$C:$C,"AL")-(SUMIFS('BALANCE 2029'!$I:$I,'BALANCE 2029'!$C:$C,"AL"))</f>
        <v>0</v>
      </c>
    </row>
    <row r="10" customFormat="false" ht="15" hidden="false" customHeight="false" outlineLevel="0" collapsed="false">
      <c r="A10" s="13" t="s">
        <v>265</v>
      </c>
      <c r="B10" s="12" t="s">
        <v>385</v>
      </c>
      <c r="C10" s="15" t="n">
        <f aca="false">SUMIFS('BALANCE 2024'!$H:$H,'BALANCE 2024'!$C:$C,"AM")-(SUMIFS('BALANCE 2024'!$I:$I,'BALANCE 2024'!$C:$C,"AM"))</f>
        <v>267440561</v>
      </c>
      <c r="D10" s="15" t="n">
        <f aca="false">SUMIFS('BALANCE 2025'!$H:$H,'BALANCE 2025'!$C:$C,"AM")-(SUMIFS('BALANCE 2025'!$I:$I,'BALANCE 2025'!$C:$C,"AM"))</f>
        <v>234765624</v>
      </c>
      <c r="E10" s="15" t="n">
        <f aca="false">SUMIFS('BALANCE 2026'!$H:$H,'BALANCE 2026'!$C:$C,"AM")-(SUMIFS('BALANCE 2026'!$I:$I,'BALANCE 2026'!$C:$C,"AM"))</f>
        <v>211301519</v>
      </c>
      <c r="F10" s="15" t="n">
        <f aca="false">SUMIFS('BALANCE 2027'!$H:$H,'BALANCE 2027'!$C:$C,"AM")-(SUMIFS('BALANCE 2027'!$I:$I,'BALANCE 2027'!$C:$C,"AM"))</f>
        <v>184446587</v>
      </c>
      <c r="G10" s="15" t="n">
        <f aca="false">SUMIFS('BALANCE 2028'!$H:$H,'BALANCE 2028'!$C:$C,"AM")-(SUMIFS('BALANCE 2028'!$I:$I,'BALANCE 2028'!$C:$C,"AM"))</f>
        <v>151591655</v>
      </c>
      <c r="H10" s="15" t="n">
        <f aca="false">SUMIFS('BALANCE 2029'!$H:$H,'BALANCE 2029'!$C:$C,"AM")-(SUMIFS('BALANCE 2029'!$I:$I,'BALANCE 2029'!$C:$C,"AM"))</f>
        <v>112736723</v>
      </c>
    </row>
    <row r="11" customFormat="false" ht="15" hidden="false" customHeight="false" outlineLevel="0" collapsed="false">
      <c r="A11" s="13" t="s">
        <v>269</v>
      </c>
      <c r="B11" s="12" t="s">
        <v>119</v>
      </c>
      <c r="C11" s="15" t="n">
        <f aca="false">SUMIFS('BALANCE 2024'!$H:$H,'BALANCE 2024'!$C:$C,"AN")-(SUMIFS('BALANCE 2024'!$I:$I,'BALANCE 2024'!$C:$C,"AN"))</f>
        <v>73755603</v>
      </c>
      <c r="D11" s="15" t="n">
        <f aca="false">SUMIFS('BALANCE 2025'!$H:$H,'BALANCE 2025'!$C:$C,"AN")-(SUMIFS('BALANCE 2025'!$I:$I,'BALANCE 2025'!$C:$C,"AN"))</f>
        <v>70390445</v>
      </c>
      <c r="E11" s="15" t="n">
        <f aca="false">SUMIFS('BALANCE 2026'!$H:$H,'BALANCE 2026'!$C:$C,"AN")-(SUMIFS('BALANCE 2026'!$I:$I,'BALANCE 2026'!$C:$C,"AN"))</f>
        <v>54432067</v>
      </c>
      <c r="F11" s="15" t="n">
        <f aca="false">SUMIFS('BALANCE 2027'!$H:$H,'BALANCE 2027'!$C:$C,"AN")-(SUMIFS('BALANCE 2027'!$I:$I,'BALANCE 2027'!$C:$C,"AN"))</f>
        <v>38473689</v>
      </c>
      <c r="G11" s="15" t="n">
        <f aca="false">SUMIFS('BALANCE 2028'!$H:$H,'BALANCE 2028'!$C:$C,"AN")-(SUMIFS('BALANCE 2028'!$I:$I,'BALANCE 2028'!$C:$C,"AN"))</f>
        <v>54379718</v>
      </c>
      <c r="H11" s="15" t="n">
        <f aca="false">SUMIFS('BALANCE 2029'!$H:$H,'BALANCE 2029'!$C:$C,"AN")-(SUMIFS('BALANCE 2029'!$I:$I,'BALANCE 2029'!$C:$C,"AN"))</f>
        <v>30285747</v>
      </c>
    </row>
    <row r="12" customFormat="false" ht="15" hidden="false" customHeight="false" outlineLevel="0" collapsed="false">
      <c r="A12" s="35" t="s">
        <v>147</v>
      </c>
      <c r="B12" s="35" t="s">
        <v>386</v>
      </c>
      <c r="C12" s="36" t="n">
        <f aca="false">C7+C8+C9+C10+C11</f>
        <v>402861180</v>
      </c>
      <c r="D12" s="36" t="n">
        <f aca="false">D7+D8+D9+D10+D11</f>
        <v>347538240</v>
      </c>
      <c r="E12" s="36" t="n">
        <f aca="false">E7+E8+E9+E10+E11</f>
        <v>288832912</v>
      </c>
      <c r="F12" s="36" t="n">
        <f aca="false">F7+F8+F9+F10+F11</f>
        <v>226736757</v>
      </c>
      <c r="G12" s="36" t="n">
        <f aca="false">G7+G8+G9+G10+G11</f>
        <v>205971373</v>
      </c>
      <c r="H12" s="36" t="n">
        <f aca="false">H7+H8+H9+H10+H11</f>
        <v>143022470</v>
      </c>
      <c r="I12" s="34"/>
    </row>
    <row r="13" customFormat="false" ht="15" hidden="false" customHeight="false" outlineLevel="0" collapsed="false">
      <c r="A13" s="13" t="s">
        <v>387</v>
      </c>
      <c r="B13" s="12" t="s">
        <v>388</v>
      </c>
      <c r="C13" s="15" t="n">
        <f aca="false">SUMIFS('BALANCE 2024'!$H:$H,'BALANCE 2024'!$C:$C,"AP")-(SUMIFS('BALANCE 2024'!$I:$I,'BALANCE 2024'!$C:$C,"AP"))</f>
        <v>0</v>
      </c>
      <c r="D13" s="15" t="n">
        <f aca="false">SUMIFS('BALANCE 2025'!$H:$H,'BALANCE 2025'!$C:$C,"AP")-(SUMIFS('BALANCE 2025'!$I:$I,'BALANCE 2025'!$C:$C,"AP"))</f>
        <v>0</v>
      </c>
      <c r="E13" s="15" t="n">
        <f aca="false">SUMIFS('BALANCE 2026'!$H:$H,'BALANCE 2026'!$C:$C,"AP")-(SUMIFS('BALANCE 2026'!$I:$I,'BALANCE 2026'!$C:$C,"AP"))</f>
        <v>0</v>
      </c>
      <c r="F13" s="15" t="n">
        <f aca="false">SUMIFS('BALANCE 2027'!$H:$H,'BALANCE 2027'!$C:$C,"AP")-(SUMIFS('BALANCE 2027'!$I:$I,'BALANCE 2027'!$C:$C,"AP"))</f>
        <v>0</v>
      </c>
      <c r="G13" s="15" t="n">
        <f aca="false">SUMIFS('BALANCE 2028'!$H:$H,'BALANCE 2028'!$C:$C,"AP")-(SUMIFS('BALANCE 2028'!$I:$I,'BALANCE 2028'!$C:$C,"AP"))</f>
        <v>0</v>
      </c>
      <c r="H13" s="15" t="n">
        <f aca="false">SUMIFS('BALANCE 2029'!$H:$H,'BALANCE 2029'!$C:$C,"AP")-(SUMIFS('BALANCE 2029'!$I:$I,'BALANCE 2029'!$C:$C,"AP"))</f>
        <v>0</v>
      </c>
    </row>
    <row r="14" customFormat="false" ht="15" hidden="false" customHeight="false" outlineLevel="0" collapsed="false">
      <c r="A14" s="13" t="s">
        <v>389</v>
      </c>
      <c r="B14" s="12" t="s">
        <v>390</v>
      </c>
      <c r="C14" s="15" t="n">
        <f aca="false">SUMIFS('BALANCE 2024'!$H:$H,'BALANCE 2024'!$C:$C,"AR")-(SUMIFS('BALANCE 2024'!$I:$I,'BALANCE 2024'!$C:$C,"AR"))</f>
        <v>0</v>
      </c>
      <c r="D14" s="15" t="n">
        <f aca="false">SUMIFS('BALANCE 2025'!$H:$H,'BALANCE 2025'!$C:$C,"AR")-(SUMIFS('BALANCE 2025'!$I:$I,'BALANCE 2025'!$C:$C,"AR"))</f>
        <v>0</v>
      </c>
      <c r="E14" s="15" t="n">
        <f aca="false">SUMIFS('BALANCE 2026'!$H:$H,'BALANCE 2026'!$C:$C,"AR")-(SUMIFS('BALANCE 2026'!$I:$I,'BALANCE 2026'!$C:$C,"AR"))</f>
        <v>0</v>
      </c>
      <c r="F14" s="15" t="n">
        <f aca="false">SUMIFS('BALANCE 2027'!$H:$H,'BALANCE 2027'!$C:$C,"AR")-(SUMIFS('BALANCE 2027'!$I:$I,'BALANCE 2027'!$C:$C,"AR"))</f>
        <v>0</v>
      </c>
      <c r="G14" s="15" t="n">
        <f aca="false">SUMIFS('BALANCE 2028'!$H:$H,'BALANCE 2028'!$C:$C,"AR")-(SUMIFS('BALANCE 2028'!$I:$I,'BALANCE 2028'!$C:$C,"AR"))</f>
        <v>0</v>
      </c>
      <c r="H14" s="15" t="n">
        <f aca="false">SUMIFS('BALANCE 2029'!$H:$H,'BALANCE 2029'!$C:$C,"AR")-(SUMIFS('BALANCE 2029'!$I:$I,'BALANCE 2029'!$C:$C,"AR"))</f>
        <v>0</v>
      </c>
    </row>
    <row r="15" customFormat="false" ht="15" hidden="false" customHeight="false" outlineLevel="0" collapsed="false">
      <c r="A15" s="13" t="s">
        <v>272</v>
      </c>
      <c r="B15" s="12" t="s">
        <v>391</v>
      </c>
      <c r="C15" s="15" t="n">
        <f aca="false">SUMIFS('BALANCE 2024'!$H:$H,'BALANCE 2024'!$C:$C,"AS")-(SUMIFS('BALANCE 2024'!$I:$I,'BALANCE 2024'!$C:$C,"AS"))</f>
        <v>256420138</v>
      </c>
      <c r="D15" s="15" t="n">
        <f aca="false">SUMIFS('BALANCE 2025'!$H:$H,'BALANCE 2025'!$C:$C,"AS")-(SUMIFS('BALANCE 2025'!$I:$I,'BALANCE 2025'!$C:$C,"AS"))</f>
        <v>256420138</v>
      </c>
      <c r="E15" s="15" t="n">
        <f aca="false">SUMIFS('BALANCE 2026'!$H:$H,'BALANCE 2026'!$C:$C,"AS")-(SUMIFS('BALANCE 2026'!$I:$I,'BALANCE 2026'!$C:$C,"AS"))</f>
        <v>256420138</v>
      </c>
      <c r="F15" s="15" t="n">
        <f aca="false">SUMIFS('BALANCE 2027'!$H:$H,'BALANCE 2027'!$C:$C,"AS")-(SUMIFS('BALANCE 2027'!$I:$I,'BALANCE 2027'!$C:$C,"AS"))</f>
        <v>256420138</v>
      </c>
      <c r="G15" s="15" t="n">
        <f aca="false">SUMIFS('BALANCE 2028'!$H:$H,'BALANCE 2028'!$C:$C,"AS")-(SUMIFS('BALANCE 2028'!$I:$I,'BALANCE 2028'!$C:$C,"AS"))</f>
        <v>256420138</v>
      </c>
      <c r="H15" s="15" t="n">
        <f aca="false">SUMIFS('BALANCE 2029'!$H:$H,'BALANCE 2029'!$C:$C,"AS")-(SUMIFS('BALANCE 2029'!$I:$I,'BALANCE 2029'!$C:$C,"AS"))</f>
        <v>256420138</v>
      </c>
    </row>
    <row r="16" customFormat="false" ht="15" hidden="false" customHeight="false" outlineLevel="0" collapsed="false">
      <c r="A16" s="35" t="s">
        <v>392</v>
      </c>
      <c r="B16" s="35" t="s">
        <v>393</v>
      </c>
      <c r="C16" s="36" t="n">
        <f aca="false">C14+C15</f>
        <v>256420138</v>
      </c>
      <c r="D16" s="36" t="n">
        <f aca="false">D14+D15</f>
        <v>256420138</v>
      </c>
      <c r="E16" s="36" t="n">
        <f aca="false">E14+E15</f>
        <v>256420138</v>
      </c>
      <c r="F16" s="36" t="n">
        <f aca="false">F14+F15</f>
        <v>256420138</v>
      </c>
      <c r="G16" s="36" t="n">
        <f aca="false">G14+G15</f>
        <v>256420138</v>
      </c>
      <c r="H16" s="36" t="n">
        <f aca="false">H14+H15</f>
        <v>256420138</v>
      </c>
      <c r="I16" s="34"/>
    </row>
    <row r="17" customFormat="false" ht="15" hidden="false" customHeight="false" outlineLevel="0" collapsed="false">
      <c r="A17" s="35" t="s">
        <v>394</v>
      </c>
      <c r="B17" s="35" t="s">
        <v>395</v>
      </c>
      <c r="C17" s="36" t="n">
        <f aca="false">C6+C12+C13+C16</f>
        <v>659281318</v>
      </c>
      <c r="D17" s="36" t="n">
        <f aca="false">D6+D12+D13+D16</f>
        <v>603958378</v>
      </c>
      <c r="E17" s="36" t="n">
        <f aca="false">E6+E12+E13+E16</f>
        <v>545253050</v>
      </c>
      <c r="F17" s="36" t="n">
        <f aca="false">F6+F12+F13+F16</f>
        <v>483156895</v>
      </c>
      <c r="G17" s="36" t="n">
        <f aca="false">G6+G12+G13+G16</f>
        <v>462391511</v>
      </c>
      <c r="H17" s="36" t="n">
        <f aca="false">H6+H12+H13+H16</f>
        <v>399442608</v>
      </c>
      <c r="I17" s="45" t="n">
        <f aca="false">IF(OR(C17&lt;=0,H17&lt;=0),"",(H17/C17)^(1/5)-1)</f>
        <v>-0.0953580481298627</v>
      </c>
    </row>
    <row r="18" customFormat="false" ht="15" hidden="false" customHeight="false" outlineLevel="0" collapsed="false">
      <c r="A18" s="13" t="s">
        <v>396</v>
      </c>
      <c r="B18" s="12" t="s">
        <v>397</v>
      </c>
      <c r="C18" s="15" t="n">
        <f aca="false">SUMIFS('BALANCE 2024'!$H:$H,'BALANCE 2024'!$C:$C,"BA")-(SUMIFS('BALANCE 2024'!$I:$I,'BALANCE 2024'!$C:$C,"BA"))</f>
        <v>0</v>
      </c>
      <c r="D18" s="15" t="n">
        <f aca="false">SUMIFS('BALANCE 2025'!$H:$H,'BALANCE 2025'!$C:$C,"BA")-(SUMIFS('BALANCE 2025'!$I:$I,'BALANCE 2025'!$C:$C,"BA"))</f>
        <v>0</v>
      </c>
      <c r="E18" s="15" t="n">
        <f aca="false">SUMIFS('BALANCE 2026'!$H:$H,'BALANCE 2026'!$C:$C,"BA")-(SUMIFS('BALANCE 2026'!$I:$I,'BALANCE 2026'!$C:$C,"BA"))</f>
        <v>0</v>
      </c>
      <c r="F18" s="15" t="n">
        <f aca="false">SUMIFS('BALANCE 2027'!$H:$H,'BALANCE 2027'!$C:$C,"BA")-(SUMIFS('BALANCE 2027'!$I:$I,'BALANCE 2027'!$C:$C,"BA"))</f>
        <v>0</v>
      </c>
      <c r="G18" s="15" t="n">
        <f aca="false">SUMIFS('BALANCE 2028'!$H:$H,'BALANCE 2028'!$C:$C,"BA")-(SUMIFS('BALANCE 2028'!$I:$I,'BALANCE 2028'!$C:$C,"BA"))</f>
        <v>0</v>
      </c>
      <c r="H18" s="15" t="n">
        <f aca="false">SUMIFS('BALANCE 2029'!$H:$H,'BALANCE 2029'!$C:$C,"BA")-(SUMIFS('BALANCE 2029'!$I:$I,'BALANCE 2029'!$C:$C,"BA"))</f>
        <v>0</v>
      </c>
    </row>
    <row r="19" customFormat="false" ht="15" hidden="false" customHeight="false" outlineLevel="0" collapsed="false">
      <c r="A19" s="13" t="s">
        <v>398</v>
      </c>
      <c r="B19" s="12" t="s">
        <v>399</v>
      </c>
      <c r="C19" s="15" t="n">
        <f aca="false">SUMIFS('BALANCE 2024'!$H:$H,'BALANCE 2024'!$C:$C,"BB")-(SUMIFS('BALANCE 2024'!$I:$I,'BALANCE 2024'!$C:$C,"BB"))</f>
        <v>0</v>
      </c>
      <c r="D19" s="15" t="n">
        <f aca="false">SUMIFS('BALANCE 2025'!$H:$H,'BALANCE 2025'!$C:$C,"BB")-(SUMIFS('BALANCE 2025'!$I:$I,'BALANCE 2025'!$C:$C,"BB"))</f>
        <v>0</v>
      </c>
      <c r="E19" s="15" t="n">
        <f aca="false">SUMIFS('BALANCE 2026'!$H:$H,'BALANCE 2026'!$C:$C,"BB")-(SUMIFS('BALANCE 2026'!$I:$I,'BALANCE 2026'!$C:$C,"BB"))</f>
        <v>0</v>
      </c>
      <c r="F19" s="15" t="n">
        <f aca="false">SUMIFS('BALANCE 2027'!$H:$H,'BALANCE 2027'!$C:$C,"BB")-(SUMIFS('BALANCE 2027'!$I:$I,'BALANCE 2027'!$C:$C,"BB"))</f>
        <v>0</v>
      </c>
      <c r="G19" s="15" t="n">
        <f aca="false">SUMIFS('BALANCE 2028'!$H:$H,'BALANCE 2028'!$C:$C,"BB")-(SUMIFS('BALANCE 2028'!$I:$I,'BALANCE 2028'!$C:$C,"BB"))</f>
        <v>0</v>
      </c>
      <c r="H19" s="15" t="n">
        <f aca="false">SUMIFS('BALANCE 2029'!$H:$H,'BALANCE 2029'!$C:$C,"BB")-(SUMIFS('BALANCE 2029'!$I:$I,'BALANCE 2029'!$C:$C,"BB"))</f>
        <v>0</v>
      </c>
    </row>
    <row r="20" customFormat="false" ht="15" hidden="false" customHeight="false" outlineLevel="0" collapsed="false">
      <c r="A20" s="13" t="s">
        <v>281</v>
      </c>
      <c r="B20" s="12" t="s">
        <v>400</v>
      </c>
      <c r="C20" s="15" t="n">
        <f aca="false">SUMIFS('BALANCE 2024'!$H:$H,'BALANCE 2024'!$C:$C,"BH")-(SUMIFS('BALANCE 2024'!$I:$I,'BALANCE 2024'!$C:$C,"BH"))</f>
        <v>0</v>
      </c>
      <c r="D20" s="15" t="n">
        <f aca="false">SUMIFS('BALANCE 2025'!$H:$H,'BALANCE 2025'!$C:$C,"BH")-(SUMIFS('BALANCE 2025'!$I:$I,'BALANCE 2025'!$C:$C,"BH"))</f>
        <v>0</v>
      </c>
      <c r="E20" s="15" t="n">
        <f aca="false">SUMIFS('BALANCE 2026'!$H:$H,'BALANCE 2026'!$C:$C,"BH")-(SUMIFS('BALANCE 2026'!$I:$I,'BALANCE 2026'!$C:$C,"BH"))</f>
        <v>0</v>
      </c>
      <c r="F20" s="15" t="n">
        <f aca="false">SUMIFS('BALANCE 2027'!$H:$H,'BALANCE 2027'!$C:$C,"BH")-(SUMIFS('BALANCE 2027'!$I:$I,'BALANCE 2027'!$C:$C,"BH"))</f>
        <v>0</v>
      </c>
      <c r="G20" s="15" t="n">
        <f aca="false">SUMIFS('BALANCE 2028'!$H:$H,'BALANCE 2028'!$C:$C,"BH")-(SUMIFS('BALANCE 2028'!$I:$I,'BALANCE 2028'!$C:$C,"BH"))</f>
        <v>0</v>
      </c>
      <c r="H20" s="15" t="n">
        <f aca="false">SUMIFS('BALANCE 2029'!$H:$H,'BALANCE 2029'!$C:$C,"BH")-(SUMIFS('BALANCE 2029'!$I:$I,'BALANCE 2029'!$C:$C,"BH"))</f>
        <v>0</v>
      </c>
    </row>
    <row r="21" customFormat="false" ht="15" hidden="false" customHeight="false" outlineLevel="0" collapsed="false">
      <c r="A21" s="13" t="s">
        <v>283</v>
      </c>
      <c r="B21" s="12" t="s">
        <v>401</v>
      </c>
      <c r="C21" s="15" t="n">
        <f aca="false">SUMIFS('BALANCE 2024'!$H:$H,'BALANCE 2024'!$C:$C,"BI")-(SUMIFS('BALANCE 2024'!$I:$I,'BALANCE 2024'!$C:$C,"BI"))</f>
        <v>452271396</v>
      </c>
      <c r="D21" s="15" t="n">
        <f aca="false">SUMIFS('BALANCE 2025'!$H:$H,'BALANCE 2025'!$C:$C,"BI")-(SUMIFS('BALANCE 2025'!$I:$I,'BALANCE 2025'!$C:$C,"BI"))</f>
        <v>467144717</v>
      </c>
      <c r="E21" s="15" t="n">
        <f aca="false">SUMIFS('BALANCE 2026'!$H:$H,'BALANCE 2026'!$C:$C,"BI")-(SUMIFS('BALANCE 2026'!$I:$I,'BALANCE 2026'!$C:$C,"BI"))</f>
        <v>508573077</v>
      </c>
      <c r="F21" s="15" t="n">
        <f aca="false">SUMIFS('BALANCE 2027'!$H:$H,'BALANCE 2027'!$C:$C,"BI")-(SUMIFS('BALANCE 2027'!$I:$I,'BALANCE 2027'!$C:$C,"BI"))</f>
        <v>534001731</v>
      </c>
      <c r="G21" s="15" t="n">
        <f aca="false">SUMIFS('BALANCE 2028'!$H:$H,'BALANCE 2028'!$C:$C,"BI")-(SUMIFS('BALANCE 2028'!$I:$I,'BALANCE 2028'!$C:$C,"BI"))</f>
        <v>560701818</v>
      </c>
      <c r="H21" s="15" t="n">
        <f aca="false">SUMIFS('BALANCE 2029'!$H:$H,'BALANCE 2029'!$C:$C,"BI")-(SUMIFS('BALANCE 2029'!$I:$I,'BALANCE 2029'!$C:$C,"BI"))</f>
        <v>588736909</v>
      </c>
    </row>
    <row r="22" customFormat="false" ht="15" hidden="false" customHeight="false" outlineLevel="0" collapsed="false">
      <c r="A22" s="13" t="s">
        <v>402</v>
      </c>
      <c r="B22" s="12" t="s">
        <v>403</v>
      </c>
      <c r="C22" s="15" t="n">
        <f aca="false">SUMIFS('BALANCE 2024'!$H:$H,'BALANCE 2024'!$C:$C,"BJ")+SUMIFS('BALANCE 2024'!$H:$H,'BALANCE 2024'!$C:$C,"DMBJ")-(SUMIFS('BALANCE 2024'!$I:$I,'BALANCE 2024'!$C:$C,"BJ"))</f>
        <v>0</v>
      </c>
      <c r="D22" s="15" t="n">
        <f aca="false">SUMIFS('BALANCE 2025'!$H:$H,'BALANCE 2025'!$C:$C,"BJ")+SUMIFS('BALANCE 2025'!$H:$H,'BALANCE 2025'!$C:$C,"DMBJ")-(SUMIFS('BALANCE 2025'!$I:$I,'BALANCE 2025'!$C:$C,"BJ"))</f>
        <v>0</v>
      </c>
      <c r="E22" s="15" t="n">
        <f aca="false">SUMIFS('BALANCE 2026'!$H:$H,'BALANCE 2026'!$C:$C,"BJ")+SUMIFS('BALANCE 2026'!$H:$H,'BALANCE 2026'!$C:$C,"DMBJ")-(SUMIFS('BALANCE 2026'!$I:$I,'BALANCE 2026'!$C:$C,"BJ"))</f>
        <v>0</v>
      </c>
      <c r="F22" s="15" t="n">
        <f aca="false">SUMIFS('BALANCE 2027'!$H:$H,'BALANCE 2027'!$C:$C,"BJ")+SUMIFS('BALANCE 2027'!$H:$H,'BALANCE 2027'!$C:$C,"DMBJ")-(SUMIFS('BALANCE 2027'!$I:$I,'BALANCE 2027'!$C:$C,"BJ"))</f>
        <v>0</v>
      </c>
      <c r="G22" s="15" t="n">
        <f aca="false">SUMIFS('BALANCE 2028'!$H:$H,'BALANCE 2028'!$C:$C,"BJ")+SUMIFS('BALANCE 2028'!$H:$H,'BALANCE 2028'!$C:$C,"DMBJ")-(SUMIFS('BALANCE 2028'!$I:$I,'BALANCE 2028'!$C:$C,"BJ"))</f>
        <v>0</v>
      </c>
      <c r="H22" s="15" t="n">
        <f aca="false">SUMIFS('BALANCE 2029'!$H:$H,'BALANCE 2029'!$C:$C,"BJ")+SUMIFS('BALANCE 2029'!$H:$H,'BALANCE 2029'!$C:$C,"DMBJ")-(SUMIFS('BALANCE 2029'!$I:$I,'BALANCE 2029'!$C:$C,"BJ"))</f>
        <v>0</v>
      </c>
    </row>
    <row r="23" customFormat="false" ht="15" hidden="false" customHeight="false" outlineLevel="0" collapsed="false">
      <c r="A23" s="35" t="s">
        <v>404</v>
      </c>
      <c r="B23" s="35" t="s">
        <v>405</v>
      </c>
      <c r="C23" s="36" t="n">
        <f aca="false">C20+C21+C22</f>
        <v>452271396</v>
      </c>
      <c r="D23" s="36" t="n">
        <f aca="false">D20+D21+D22</f>
        <v>467144717</v>
      </c>
      <c r="E23" s="36" t="n">
        <f aca="false">E20+E21+E22</f>
        <v>508573077</v>
      </c>
      <c r="F23" s="36" t="n">
        <f aca="false">F20+F21+F22</f>
        <v>534001731</v>
      </c>
      <c r="G23" s="36" t="n">
        <f aca="false">G20+G21+G22</f>
        <v>560701818</v>
      </c>
      <c r="H23" s="36" t="n">
        <f aca="false">H20+H21+H22</f>
        <v>588736909</v>
      </c>
      <c r="I23" s="34"/>
    </row>
    <row r="24" customFormat="false" ht="15" hidden="false" customHeight="false" outlineLevel="0" collapsed="false">
      <c r="A24" s="35" t="s">
        <v>406</v>
      </c>
      <c r="B24" s="35" t="s">
        <v>407</v>
      </c>
      <c r="C24" s="36" t="n">
        <f aca="false">C18+C19+C23</f>
        <v>452271396</v>
      </c>
      <c r="D24" s="36" t="n">
        <f aca="false">D18+D19+D23</f>
        <v>467144717</v>
      </c>
      <c r="E24" s="36" t="n">
        <f aca="false">E18+E19+E23</f>
        <v>508573077</v>
      </c>
      <c r="F24" s="36" t="n">
        <f aca="false">F18+F19+F23</f>
        <v>534001731</v>
      </c>
      <c r="G24" s="36" t="n">
        <f aca="false">G18+G19+G23</f>
        <v>560701818</v>
      </c>
      <c r="H24" s="36" t="n">
        <f aca="false">H18+H19+H23</f>
        <v>588736909</v>
      </c>
      <c r="I24" s="45" t="n">
        <f aca="false">IF(OR(C24&lt;=0,H24&lt;=0),"",(H24/C24)^(1/5)-1)</f>
        <v>0.0541548916146981</v>
      </c>
    </row>
    <row r="25" customFormat="false" ht="15" hidden="false" customHeight="false" outlineLevel="0" collapsed="false">
      <c r="A25" s="13" t="s">
        <v>408</v>
      </c>
      <c r="B25" s="12" t="s">
        <v>409</v>
      </c>
      <c r="C25" s="15" t="n">
        <f aca="false">SUMIFS('BALANCE 2024'!$H:$H,'BALANCE 2024'!$C:$C,"BQ")-(SUMIFS('BALANCE 2024'!$I:$I,'BALANCE 2024'!$C:$C,"BQ"))</f>
        <v>0</v>
      </c>
      <c r="D25" s="15" t="n">
        <f aca="false">SUMIFS('BALANCE 2025'!$H:$H,'BALANCE 2025'!$C:$C,"BQ")-(SUMIFS('BALANCE 2025'!$I:$I,'BALANCE 2025'!$C:$C,"BQ"))</f>
        <v>0</v>
      </c>
      <c r="E25" s="15" t="n">
        <f aca="false">SUMIFS('BALANCE 2026'!$H:$H,'BALANCE 2026'!$C:$C,"BQ")-(SUMIFS('BALANCE 2026'!$I:$I,'BALANCE 2026'!$C:$C,"BQ"))</f>
        <v>0</v>
      </c>
      <c r="F25" s="15" t="n">
        <f aca="false">SUMIFS('BALANCE 2027'!$H:$H,'BALANCE 2027'!$C:$C,"BQ")-(SUMIFS('BALANCE 2027'!$I:$I,'BALANCE 2027'!$C:$C,"BQ"))</f>
        <v>0</v>
      </c>
      <c r="G25" s="15" t="n">
        <f aca="false">SUMIFS('BALANCE 2028'!$H:$H,'BALANCE 2028'!$C:$C,"BQ")-(SUMIFS('BALANCE 2028'!$I:$I,'BALANCE 2028'!$C:$C,"BQ"))</f>
        <v>0</v>
      </c>
      <c r="H25" s="15" t="n">
        <f aca="false">SUMIFS('BALANCE 2029'!$H:$H,'BALANCE 2029'!$C:$C,"BQ")-(SUMIFS('BALANCE 2029'!$I:$I,'BALANCE 2029'!$C:$C,"BQ"))</f>
        <v>0</v>
      </c>
    </row>
    <row r="26" customFormat="false" ht="15" hidden="false" customHeight="false" outlineLevel="0" collapsed="false">
      <c r="A26" s="13" t="s">
        <v>410</v>
      </c>
      <c r="B26" s="12" t="s">
        <v>411</v>
      </c>
      <c r="C26" s="15" t="n">
        <f aca="false">SUMIFS('BALANCE 2024'!$H:$H,'BALANCE 2024'!$C:$C,"BR")-(SUMIFS('BALANCE 2024'!$I:$I,'BALANCE 2024'!$C:$C,"BR"))</f>
        <v>0</v>
      </c>
      <c r="D26" s="15" t="n">
        <f aca="false">SUMIFS('BALANCE 2025'!$H:$H,'BALANCE 2025'!$C:$C,"BR")-(SUMIFS('BALANCE 2025'!$I:$I,'BALANCE 2025'!$C:$C,"BR"))</f>
        <v>0</v>
      </c>
      <c r="E26" s="15" t="n">
        <f aca="false">SUMIFS('BALANCE 2026'!$H:$H,'BALANCE 2026'!$C:$C,"BR")-(SUMIFS('BALANCE 2026'!$I:$I,'BALANCE 2026'!$C:$C,"BR"))</f>
        <v>0</v>
      </c>
      <c r="F26" s="15" t="n">
        <f aca="false">SUMIFS('BALANCE 2027'!$H:$H,'BALANCE 2027'!$C:$C,"BR")-(SUMIFS('BALANCE 2027'!$I:$I,'BALANCE 2027'!$C:$C,"BR"))</f>
        <v>0</v>
      </c>
      <c r="G26" s="15" t="n">
        <f aca="false">SUMIFS('BALANCE 2028'!$H:$H,'BALANCE 2028'!$C:$C,"BR")-(SUMIFS('BALANCE 2028'!$I:$I,'BALANCE 2028'!$C:$C,"BR"))</f>
        <v>0</v>
      </c>
      <c r="H26" s="15" t="n">
        <f aca="false">SUMIFS('BALANCE 2029'!$H:$H,'BALANCE 2029'!$C:$C,"BR")-(SUMIFS('BALANCE 2029'!$I:$I,'BALANCE 2029'!$C:$C,"BR"))</f>
        <v>0</v>
      </c>
    </row>
    <row r="27" customFormat="false" ht="15" hidden="false" customHeight="false" outlineLevel="0" collapsed="false">
      <c r="A27" s="13" t="s">
        <v>212</v>
      </c>
      <c r="B27" s="12" t="s">
        <v>412</v>
      </c>
      <c r="C27" s="15" t="n">
        <f aca="false">SUMIFS('BALANCE 2024'!$H:$H,'BALANCE 2024'!$C:$C,"BS")+SUMIFS('BALANCE 2024'!$H:$H,'BALANCE 2024'!$C:$C,"TRESO")-(SUMIFS('BALANCE 2024'!$I:$I,'BALANCE 2024'!$C:$C,"BS"))</f>
        <v>128133958</v>
      </c>
      <c r="D27" s="15" t="n">
        <f aca="false">SUMIFS('BALANCE 2025'!$H:$H,'BALANCE 2025'!$C:$C,"BS")+SUMIFS('BALANCE 2025'!$H:$H,'BALANCE 2025'!$C:$C,"TRESO")-(SUMIFS('BALANCE 2025'!$I:$I,'BALANCE 2025'!$C:$C,"BS"))</f>
        <v>154325995</v>
      </c>
      <c r="E27" s="15" t="n">
        <f aca="false">SUMIFS('BALANCE 2026'!$H:$H,'BALANCE 2026'!$C:$C,"BS")+SUMIFS('BALANCE 2026'!$H:$H,'BALANCE 2026'!$C:$C,"TRESO")-(SUMIFS('BALANCE 2026'!$I:$I,'BALANCE 2026'!$C:$C,"BS"))</f>
        <v>225108073</v>
      </c>
      <c r="F27" s="15" t="n">
        <f aca="false">SUMIFS('BALANCE 2027'!$H:$H,'BALANCE 2027'!$C:$C,"BS")+SUMIFS('BALANCE 2027'!$H:$H,'BALANCE 2027'!$C:$C,"TRESO")-(SUMIFS('BALANCE 2027'!$I:$I,'BALANCE 2027'!$C:$C,"BS"))</f>
        <v>369590974</v>
      </c>
      <c r="G27" s="15" t="n">
        <f aca="false">SUMIFS('BALANCE 2028'!$H:$H,'BALANCE 2028'!$C:$C,"BS")+SUMIFS('BALANCE 2028'!$H:$H,'BALANCE 2028'!$C:$C,"TRESO")-(SUMIFS('BALANCE 2028'!$I:$I,'BALANCE 2028'!$C:$C,"BS"))</f>
        <v>497172401</v>
      </c>
      <c r="H27" s="15" t="n">
        <f aca="false">SUMIFS('BALANCE 2029'!$H:$H,'BALANCE 2029'!$C:$C,"BS")+SUMIFS('BALANCE 2029'!$H:$H,'BALANCE 2029'!$C:$C,"TRESO")-(SUMIFS('BALANCE 2029'!$I:$I,'BALANCE 2029'!$C:$C,"BS"))</f>
        <v>643390050</v>
      </c>
    </row>
    <row r="28" customFormat="false" ht="15" hidden="false" customHeight="false" outlineLevel="0" collapsed="false">
      <c r="A28" s="35" t="s">
        <v>413</v>
      </c>
      <c r="B28" s="35" t="s">
        <v>414</v>
      </c>
      <c r="C28" s="36" t="n">
        <f aca="false">C25+C26+C27</f>
        <v>128133958</v>
      </c>
      <c r="D28" s="36" t="n">
        <f aca="false">D25+D26+D27</f>
        <v>154325995</v>
      </c>
      <c r="E28" s="36" t="n">
        <f aca="false">E25+E26+E27</f>
        <v>225108073</v>
      </c>
      <c r="F28" s="36" t="n">
        <f aca="false">F25+F26+F27</f>
        <v>369590974</v>
      </c>
      <c r="G28" s="36" t="n">
        <f aca="false">G25+G26+G27</f>
        <v>497172401</v>
      </c>
      <c r="H28" s="36" t="n">
        <f aca="false">H25+H26+H27</f>
        <v>643390050</v>
      </c>
      <c r="I28" s="34"/>
    </row>
    <row r="29" customFormat="false" ht="15" hidden="false" customHeight="false" outlineLevel="0" collapsed="false">
      <c r="A29" s="13" t="s">
        <v>415</v>
      </c>
      <c r="B29" s="12" t="s">
        <v>416</v>
      </c>
      <c r="C29" s="15" t="n">
        <f aca="false">SUMIFS('BALANCE 2024'!$H:$H,'BALANCE 2024'!$C:$C,"BU")-(SUMIFS('BALANCE 2024'!$I:$I,'BALANCE 2024'!$C:$C,"BU"))</f>
        <v>0</v>
      </c>
      <c r="D29" s="15" t="n">
        <f aca="false">SUMIFS('BALANCE 2025'!$H:$H,'BALANCE 2025'!$C:$C,"BU")-(SUMIFS('BALANCE 2025'!$I:$I,'BALANCE 2025'!$C:$C,"BU"))</f>
        <v>0</v>
      </c>
      <c r="E29" s="15" t="n">
        <f aca="false">SUMIFS('BALANCE 2026'!$H:$H,'BALANCE 2026'!$C:$C,"BU")-(SUMIFS('BALANCE 2026'!$I:$I,'BALANCE 2026'!$C:$C,"BU"))</f>
        <v>0</v>
      </c>
      <c r="F29" s="15" t="n">
        <f aca="false">SUMIFS('BALANCE 2027'!$H:$H,'BALANCE 2027'!$C:$C,"BU")-(SUMIFS('BALANCE 2027'!$I:$I,'BALANCE 2027'!$C:$C,"BU"))</f>
        <v>0</v>
      </c>
      <c r="G29" s="15" t="n">
        <f aca="false">SUMIFS('BALANCE 2028'!$H:$H,'BALANCE 2028'!$C:$C,"BU")-(SUMIFS('BALANCE 2028'!$I:$I,'BALANCE 2028'!$C:$C,"BU"))</f>
        <v>0</v>
      </c>
      <c r="H29" s="15" t="n">
        <f aca="false">SUMIFS('BALANCE 2029'!$H:$H,'BALANCE 2029'!$C:$C,"BU")-(SUMIFS('BALANCE 2029'!$I:$I,'BALANCE 2029'!$C:$C,"BU"))</f>
        <v>0</v>
      </c>
    </row>
    <row r="30" customFormat="false" ht="15" hidden="false" customHeight="false" outlineLevel="0" collapsed="false">
      <c r="A30" s="35" t="s">
        <v>417</v>
      </c>
      <c r="B30" s="35" t="s">
        <v>418</v>
      </c>
      <c r="C30" s="36" t="n">
        <f aca="false">C17+C24+C28+C29</f>
        <v>1239686672</v>
      </c>
      <c r="D30" s="36" t="n">
        <f aca="false">D17+D24+D28+D29</f>
        <v>1225429090</v>
      </c>
      <c r="E30" s="36" t="n">
        <f aca="false">E17+E24+E28+E29</f>
        <v>1278934200</v>
      </c>
      <c r="F30" s="36" t="n">
        <f aca="false">F17+F24+F28+F29</f>
        <v>1386749600</v>
      </c>
      <c r="G30" s="36" t="n">
        <f aca="false">G17+G24+G28+G29</f>
        <v>1520265730</v>
      </c>
      <c r="H30" s="36" t="n">
        <f aca="false">H17+H24+H28+H29</f>
        <v>1631569567</v>
      </c>
      <c r="I30" s="45" t="n">
        <f aca="false">IF(OR(C30&lt;=0,H30&lt;=0),"",(H30/C30)^(1/5)-1)</f>
        <v>0.056473803743418</v>
      </c>
    </row>
    <row r="32" customFormat="false" ht="15" hidden="false" customHeight="false" outlineLevel="0" collapsed="false">
      <c r="A32" s="27" t="s">
        <v>375</v>
      </c>
      <c r="B32" s="27" t="s">
        <v>419</v>
      </c>
      <c r="C32" s="27" t="str">
        <f aca="false">"Réel "&amp;HYPOTHESES!$C$5</f>
        <v>Réel 2024</v>
      </c>
      <c r="D32" s="44" t="n">
        <f aca="false">HYPOTHESES!$C$5+1</f>
        <v>2025</v>
      </c>
      <c r="E32" s="44" t="n">
        <f aca="false">HYPOTHESES!$C$5+2</f>
        <v>2026</v>
      </c>
      <c r="F32" s="44" t="n">
        <f aca="false">HYPOTHESES!$C$5+3</f>
        <v>2027</v>
      </c>
      <c r="G32" s="44" t="n">
        <f aca="false">HYPOTHESES!$C$5+4</f>
        <v>2028</v>
      </c>
      <c r="H32" s="44" t="n">
        <f aca="false">HYPOTHESES!$C$5+5</f>
        <v>2029</v>
      </c>
      <c r="I32" s="27" t="s">
        <v>377</v>
      </c>
    </row>
    <row r="33" customFormat="false" ht="15" hidden="false" customHeight="false" outlineLevel="0" collapsed="false">
      <c r="A33" s="13" t="s">
        <v>235</v>
      </c>
      <c r="B33" s="12" t="s">
        <v>420</v>
      </c>
      <c r="C33" s="15" t="n">
        <f aca="false">SUMIFS('BALANCE 2024'!$I:$I,'BALANCE 2024'!$C:$C,"CA")-(SUMIFS('BALANCE 2024'!$H:$H,'BALANCE 2024'!$C:$C,"CA"))</f>
        <v>10000000</v>
      </c>
      <c r="D33" s="15" t="n">
        <f aca="false">SUMIFS('BALANCE 2025'!$I:$I,'BALANCE 2025'!$C:$C,"CA")-(SUMIFS('BALANCE 2025'!$H:$H,'BALANCE 2025'!$C:$C,"CA"))</f>
        <v>10000000</v>
      </c>
      <c r="E33" s="15" t="n">
        <f aca="false">SUMIFS('BALANCE 2026'!$I:$I,'BALANCE 2026'!$C:$C,"CA")-(SUMIFS('BALANCE 2026'!$H:$H,'BALANCE 2026'!$C:$C,"CA"))</f>
        <v>10000000</v>
      </c>
      <c r="F33" s="15" t="n">
        <f aca="false">SUMIFS('BALANCE 2027'!$I:$I,'BALANCE 2027'!$C:$C,"CA")-(SUMIFS('BALANCE 2027'!$H:$H,'BALANCE 2027'!$C:$C,"CA"))</f>
        <v>10000000</v>
      </c>
      <c r="G33" s="15" t="n">
        <f aca="false">SUMIFS('BALANCE 2028'!$I:$I,'BALANCE 2028'!$C:$C,"CA")-(SUMIFS('BALANCE 2028'!$H:$H,'BALANCE 2028'!$C:$C,"CA"))</f>
        <v>10000000</v>
      </c>
      <c r="H33" s="15" t="n">
        <f aca="false">SUMIFS('BALANCE 2029'!$I:$I,'BALANCE 2029'!$C:$C,"CA")-(SUMIFS('BALANCE 2029'!$H:$H,'BALANCE 2029'!$C:$C,"CA"))</f>
        <v>10000000</v>
      </c>
    </row>
    <row r="34" customFormat="false" ht="15" hidden="false" customHeight="false" outlineLevel="0" collapsed="false">
      <c r="A34" s="13" t="s">
        <v>421</v>
      </c>
      <c r="B34" s="12" t="s">
        <v>422</v>
      </c>
      <c r="C34" s="15" t="n">
        <f aca="false">-(SUMIFS('BALANCE 2024'!$H:$H,'BALANCE 2024'!$C:$C,"CB"))</f>
        <v>-0</v>
      </c>
      <c r="D34" s="15" t="n">
        <f aca="false">-(SUMIFS('BALANCE 2025'!$H:$H,'BALANCE 2025'!$C:$C,"CB"))</f>
        <v>-0</v>
      </c>
      <c r="E34" s="15" t="n">
        <f aca="false">-(SUMIFS('BALANCE 2026'!$H:$H,'BALANCE 2026'!$C:$C,"CB"))</f>
        <v>-0</v>
      </c>
      <c r="F34" s="15" t="n">
        <f aca="false">-(SUMIFS('BALANCE 2027'!$H:$H,'BALANCE 2027'!$C:$C,"CB"))</f>
        <v>-0</v>
      </c>
      <c r="G34" s="15" t="n">
        <f aca="false">-(SUMIFS('BALANCE 2028'!$H:$H,'BALANCE 2028'!$C:$C,"CB"))</f>
        <v>-0</v>
      </c>
      <c r="H34" s="15" t="n">
        <f aca="false">-(SUMIFS('BALANCE 2029'!$H:$H,'BALANCE 2029'!$C:$C,"CB"))</f>
        <v>-0</v>
      </c>
    </row>
    <row r="35" customFormat="false" ht="15" hidden="false" customHeight="false" outlineLevel="0" collapsed="false">
      <c r="A35" s="13" t="s">
        <v>423</v>
      </c>
      <c r="B35" s="12" t="s">
        <v>424</v>
      </c>
      <c r="C35" s="15" t="n">
        <f aca="false">SUMIFS('BALANCE 2024'!$I:$I,'BALANCE 2024'!$C:$C,"CD")-(SUMIFS('BALANCE 2024'!$H:$H,'BALANCE 2024'!$C:$C,"CD"))</f>
        <v>0</v>
      </c>
      <c r="D35" s="15" t="n">
        <f aca="false">SUMIFS('BALANCE 2025'!$I:$I,'BALANCE 2025'!$C:$C,"CD")-(SUMIFS('BALANCE 2025'!$H:$H,'BALANCE 2025'!$C:$C,"CD"))</f>
        <v>0</v>
      </c>
      <c r="E35" s="15" t="n">
        <f aca="false">SUMIFS('BALANCE 2026'!$I:$I,'BALANCE 2026'!$C:$C,"CD")-(SUMIFS('BALANCE 2026'!$H:$H,'BALANCE 2026'!$C:$C,"CD"))</f>
        <v>0</v>
      </c>
      <c r="F35" s="15" t="n">
        <f aca="false">SUMIFS('BALANCE 2027'!$I:$I,'BALANCE 2027'!$C:$C,"CD")-(SUMIFS('BALANCE 2027'!$H:$H,'BALANCE 2027'!$C:$C,"CD"))</f>
        <v>0</v>
      </c>
      <c r="G35" s="15" t="n">
        <f aca="false">SUMIFS('BALANCE 2028'!$I:$I,'BALANCE 2028'!$C:$C,"CD")-(SUMIFS('BALANCE 2028'!$H:$H,'BALANCE 2028'!$C:$C,"CD"))</f>
        <v>0</v>
      </c>
      <c r="H35" s="15" t="n">
        <f aca="false">SUMIFS('BALANCE 2029'!$I:$I,'BALANCE 2029'!$C:$C,"CD")-(SUMIFS('BALANCE 2029'!$H:$H,'BALANCE 2029'!$C:$C,"CD"))</f>
        <v>0</v>
      </c>
    </row>
    <row r="36" customFormat="false" ht="15" hidden="false" customHeight="false" outlineLevel="0" collapsed="false">
      <c r="A36" s="13" t="s">
        <v>425</v>
      </c>
      <c r="B36" s="12" t="s">
        <v>426</v>
      </c>
      <c r="C36" s="15" t="n">
        <f aca="false">SUMIFS('BALANCE 2024'!$I:$I,'BALANCE 2024'!$C:$C,"CE")-(SUMIFS('BALANCE 2024'!$H:$H,'BALANCE 2024'!$C:$C,"CE"))</f>
        <v>0</v>
      </c>
      <c r="D36" s="15" t="n">
        <f aca="false">SUMIFS('BALANCE 2025'!$I:$I,'BALANCE 2025'!$C:$C,"CE")-(SUMIFS('BALANCE 2025'!$H:$H,'BALANCE 2025'!$C:$C,"CE"))</f>
        <v>0</v>
      </c>
      <c r="E36" s="15" t="n">
        <f aca="false">SUMIFS('BALANCE 2026'!$I:$I,'BALANCE 2026'!$C:$C,"CE")-(SUMIFS('BALANCE 2026'!$H:$H,'BALANCE 2026'!$C:$C,"CE"))</f>
        <v>0</v>
      </c>
      <c r="F36" s="15" t="n">
        <f aca="false">SUMIFS('BALANCE 2027'!$I:$I,'BALANCE 2027'!$C:$C,"CE")-(SUMIFS('BALANCE 2027'!$H:$H,'BALANCE 2027'!$C:$C,"CE"))</f>
        <v>0</v>
      </c>
      <c r="G36" s="15" t="n">
        <f aca="false">SUMIFS('BALANCE 2028'!$I:$I,'BALANCE 2028'!$C:$C,"CE")-(SUMIFS('BALANCE 2028'!$H:$H,'BALANCE 2028'!$C:$C,"CE"))</f>
        <v>0</v>
      </c>
      <c r="H36" s="15" t="n">
        <f aca="false">SUMIFS('BALANCE 2029'!$I:$I,'BALANCE 2029'!$C:$C,"CE")-(SUMIFS('BALANCE 2029'!$H:$H,'BALANCE 2029'!$C:$C,"CE"))</f>
        <v>0</v>
      </c>
    </row>
    <row r="37" customFormat="false" ht="15" hidden="false" customHeight="false" outlineLevel="0" collapsed="false">
      <c r="A37" s="13" t="s">
        <v>239</v>
      </c>
      <c r="B37" s="12" t="s">
        <v>427</v>
      </c>
      <c r="C37" s="15" t="n">
        <f aca="false">SUMIFS('BALANCE 2024'!$I:$I,'BALANCE 2024'!$C:$C,"CF")-(SUMIFS('BALANCE 2024'!$H:$H,'BALANCE 2024'!$C:$C,"CF"))</f>
        <v>0</v>
      </c>
      <c r="D37" s="15" t="n">
        <f aca="false">SUMIFS('BALANCE 2025'!$I:$I,'BALANCE 2025'!$C:$C,"CF")-(SUMIFS('BALANCE 2025'!$H:$H,'BALANCE 2025'!$C:$C,"CF"))</f>
        <v>2000000</v>
      </c>
      <c r="E37" s="15" t="n">
        <f aca="false">SUMIFS('BALANCE 2026'!$I:$I,'BALANCE 2026'!$C:$C,"CF")-(SUMIFS('BALANCE 2026'!$H:$H,'BALANCE 2026'!$C:$C,"CF"))</f>
        <v>2000000</v>
      </c>
      <c r="F37" s="15" t="n">
        <f aca="false">SUMIFS('BALANCE 2027'!$I:$I,'BALANCE 2027'!$C:$C,"CF")-(SUMIFS('BALANCE 2027'!$H:$H,'BALANCE 2027'!$C:$C,"CF"))</f>
        <v>2000000</v>
      </c>
      <c r="G37" s="15" t="n">
        <f aca="false">SUMIFS('BALANCE 2028'!$I:$I,'BALANCE 2028'!$C:$C,"CF")-(SUMIFS('BALANCE 2028'!$H:$H,'BALANCE 2028'!$C:$C,"CF"))</f>
        <v>2000000</v>
      </c>
      <c r="H37" s="15" t="n">
        <f aca="false">SUMIFS('BALANCE 2029'!$I:$I,'BALANCE 2029'!$C:$C,"CF")-(SUMIFS('BALANCE 2029'!$H:$H,'BALANCE 2029'!$C:$C,"CF"))</f>
        <v>2000000</v>
      </c>
    </row>
    <row r="38" customFormat="false" ht="15" hidden="false" customHeight="false" outlineLevel="0" collapsed="false">
      <c r="A38" s="13" t="s">
        <v>428</v>
      </c>
      <c r="B38" s="12" t="s">
        <v>429</v>
      </c>
      <c r="C38" s="15" t="n">
        <f aca="false">SUMIFS('BALANCE 2024'!$I:$I,'BALANCE 2024'!$C:$C,"CG")-(SUMIFS('BALANCE 2024'!$H:$H,'BALANCE 2024'!$C:$C,"CG"))</f>
        <v>0</v>
      </c>
      <c r="D38" s="15" t="n">
        <f aca="false">SUMIFS('BALANCE 2025'!$I:$I,'BALANCE 2025'!$C:$C,"CG")-(SUMIFS('BALANCE 2025'!$H:$H,'BALANCE 2025'!$C:$C,"CG"))</f>
        <v>0</v>
      </c>
      <c r="E38" s="15" t="n">
        <f aca="false">SUMIFS('BALANCE 2026'!$I:$I,'BALANCE 2026'!$C:$C,"CG")-(SUMIFS('BALANCE 2026'!$H:$H,'BALANCE 2026'!$C:$C,"CG"))</f>
        <v>0</v>
      </c>
      <c r="F38" s="15" t="n">
        <f aca="false">SUMIFS('BALANCE 2027'!$I:$I,'BALANCE 2027'!$C:$C,"CG")-(SUMIFS('BALANCE 2027'!$H:$H,'BALANCE 2027'!$C:$C,"CG"))</f>
        <v>0</v>
      </c>
      <c r="G38" s="15" t="n">
        <f aca="false">SUMIFS('BALANCE 2028'!$I:$I,'BALANCE 2028'!$C:$C,"CG")-(SUMIFS('BALANCE 2028'!$H:$H,'BALANCE 2028'!$C:$C,"CG"))</f>
        <v>0</v>
      </c>
      <c r="H38" s="15" t="n">
        <f aca="false">SUMIFS('BALANCE 2029'!$I:$I,'BALANCE 2029'!$C:$C,"CG")-(SUMIFS('BALANCE 2029'!$H:$H,'BALANCE 2029'!$C:$C,"CG"))</f>
        <v>0</v>
      </c>
    </row>
    <row r="39" customFormat="false" ht="15" hidden="false" customHeight="false" outlineLevel="0" collapsed="false">
      <c r="A39" s="13" t="s">
        <v>243</v>
      </c>
      <c r="B39" s="12" t="s">
        <v>430</v>
      </c>
      <c r="C39" s="15" t="n">
        <f aca="false">SUMIFS('BALANCE 2024'!$I:$I,'BALANCE 2024'!$C:$C,"CH")-(SUMIFS('BALANCE 2024'!$H:$H,'BALANCE 2024'!$C:$C,"CH"))</f>
        <v>773799851</v>
      </c>
      <c r="D39" s="15" t="n">
        <f aca="false">SUMIFS('BALANCE 2025'!$I:$I,'BALANCE 2025'!$C:$C,"CH")-(SUMIFS('BALANCE 2025'!$H:$H,'BALANCE 2025'!$C:$C,"CH"))</f>
        <v>844498728</v>
      </c>
      <c r="E39" s="15" t="n">
        <f aca="false">SUMIFS('BALANCE 2026'!$I:$I,'BALANCE 2026'!$C:$C,"CH")-(SUMIFS('BALANCE 2026'!$H:$H,'BALANCE 2026'!$C:$C,"CH"))</f>
        <v>937013596</v>
      </c>
      <c r="F39" s="15" t="n">
        <f aca="false">SUMIFS('BALANCE 2027'!$I:$I,'BALANCE 2027'!$C:$C,"CH")-(SUMIFS('BALANCE 2027'!$H:$H,'BALANCE 2027'!$C:$C,"CH"))</f>
        <v>1023025123</v>
      </c>
      <c r="G39" s="15" t="n">
        <f aca="false">SUMIFS('BALANCE 2028'!$I:$I,'BALANCE 2028'!$C:$C,"CH")-(SUMIFS('BALANCE 2028'!$H:$H,'BALANCE 2028'!$C:$C,"CH"))</f>
        <v>1114503458</v>
      </c>
      <c r="H39" s="15" t="n">
        <f aca="false">SUMIFS('BALANCE 2029'!$I:$I,'BALANCE 2029'!$C:$C,"CH")-(SUMIFS('BALANCE 2029'!$H:$H,'BALANCE 2029'!$C:$C,"CH"))</f>
        <v>1215390296</v>
      </c>
    </row>
    <row r="40" customFormat="false" ht="15" hidden="false" customHeight="false" outlineLevel="0" collapsed="false">
      <c r="A40" s="13" t="s">
        <v>431</v>
      </c>
      <c r="B40" s="12" t="s">
        <v>432</v>
      </c>
      <c r="C40" s="15" t="n">
        <f aca="false">'COMPTE DE RESULTAT'!C47</f>
        <v>72698877</v>
      </c>
      <c r="D40" s="15" t="n">
        <f aca="false">'COMPTE DE RESULTAT'!D47</f>
        <v>92514868</v>
      </c>
      <c r="E40" s="15" t="n">
        <f aca="false">'COMPTE DE RESULTAT'!E47</f>
        <v>86011527</v>
      </c>
      <c r="F40" s="15" t="n">
        <f aca="false">'COMPTE DE RESULTAT'!F47</f>
        <v>91478335</v>
      </c>
      <c r="G40" s="15" t="n">
        <f aca="false">'COMPTE DE RESULTAT'!G47</f>
        <v>100886838</v>
      </c>
      <c r="H40" s="15" t="n">
        <f aca="false">'COMPTE DE RESULTAT'!H47</f>
        <v>108080143</v>
      </c>
    </row>
    <row r="41" customFormat="false" ht="15" hidden="false" customHeight="false" outlineLevel="0" collapsed="false">
      <c r="A41" s="13" t="s">
        <v>433</v>
      </c>
      <c r="B41" s="12" t="s">
        <v>434</v>
      </c>
      <c r="C41" s="15" t="n">
        <f aca="false">SUMIFS('BALANCE 2024'!$I:$I,'BALANCE 2024'!$C:$C,"CL")-(SUMIFS('BALANCE 2024'!$H:$H,'BALANCE 2024'!$C:$C,"CL"))</f>
        <v>0</v>
      </c>
      <c r="D41" s="15" t="n">
        <f aca="false">SUMIFS('BALANCE 2025'!$I:$I,'BALANCE 2025'!$C:$C,"CL")-(SUMIFS('BALANCE 2025'!$H:$H,'BALANCE 2025'!$C:$C,"CL"))</f>
        <v>0</v>
      </c>
      <c r="E41" s="15" t="n">
        <f aca="false">SUMIFS('BALANCE 2026'!$I:$I,'BALANCE 2026'!$C:$C,"CL")-(SUMIFS('BALANCE 2026'!$H:$H,'BALANCE 2026'!$C:$C,"CL"))</f>
        <v>0</v>
      </c>
      <c r="F41" s="15" t="n">
        <f aca="false">SUMIFS('BALANCE 2027'!$I:$I,'BALANCE 2027'!$C:$C,"CL")-(SUMIFS('BALANCE 2027'!$H:$H,'BALANCE 2027'!$C:$C,"CL"))</f>
        <v>0</v>
      </c>
      <c r="G41" s="15" t="n">
        <f aca="false">SUMIFS('BALANCE 2028'!$I:$I,'BALANCE 2028'!$C:$C,"CL")-(SUMIFS('BALANCE 2028'!$H:$H,'BALANCE 2028'!$C:$C,"CL"))</f>
        <v>0</v>
      </c>
      <c r="H41" s="15" t="n">
        <f aca="false">SUMIFS('BALANCE 2029'!$I:$I,'BALANCE 2029'!$C:$C,"CL")-(SUMIFS('BALANCE 2029'!$H:$H,'BALANCE 2029'!$C:$C,"CL"))</f>
        <v>0</v>
      </c>
    </row>
    <row r="42" customFormat="false" ht="15" hidden="false" customHeight="false" outlineLevel="0" collapsed="false">
      <c r="A42" s="13" t="s">
        <v>435</v>
      </c>
      <c r="B42" s="12" t="s">
        <v>436</v>
      </c>
      <c r="C42" s="15" t="n">
        <f aca="false">SUMIFS('BALANCE 2024'!$I:$I,'BALANCE 2024'!$C:$C,"CM")-(SUMIFS('BALANCE 2024'!$H:$H,'BALANCE 2024'!$C:$C,"CM"))</f>
        <v>0</v>
      </c>
      <c r="D42" s="15" t="n">
        <f aca="false">SUMIFS('BALANCE 2025'!$I:$I,'BALANCE 2025'!$C:$C,"CM")-(SUMIFS('BALANCE 2025'!$H:$H,'BALANCE 2025'!$C:$C,"CM"))</f>
        <v>0</v>
      </c>
      <c r="E42" s="15" t="n">
        <f aca="false">SUMIFS('BALANCE 2026'!$I:$I,'BALANCE 2026'!$C:$C,"CM")-(SUMIFS('BALANCE 2026'!$H:$H,'BALANCE 2026'!$C:$C,"CM"))</f>
        <v>0</v>
      </c>
      <c r="F42" s="15" t="n">
        <f aca="false">SUMIFS('BALANCE 2027'!$I:$I,'BALANCE 2027'!$C:$C,"CM")-(SUMIFS('BALANCE 2027'!$H:$H,'BALANCE 2027'!$C:$C,"CM"))</f>
        <v>0</v>
      </c>
      <c r="G42" s="15" t="n">
        <f aca="false">SUMIFS('BALANCE 2028'!$I:$I,'BALANCE 2028'!$C:$C,"CM")-(SUMIFS('BALANCE 2028'!$H:$H,'BALANCE 2028'!$C:$C,"CM"))</f>
        <v>0</v>
      </c>
      <c r="H42" s="15" t="n">
        <f aca="false">SUMIFS('BALANCE 2029'!$I:$I,'BALANCE 2029'!$C:$C,"CM")-(SUMIFS('BALANCE 2029'!$H:$H,'BALANCE 2029'!$C:$C,"CM"))</f>
        <v>0</v>
      </c>
    </row>
    <row r="43" customFormat="false" ht="15" hidden="false" customHeight="false" outlineLevel="0" collapsed="false">
      <c r="A43" s="35" t="s">
        <v>437</v>
      </c>
      <c r="B43" s="35" t="s">
        <v>438</v>
      </c>
      <c r="C43" s="36" t="n">
        <f aca="false">C33+C34+C35+C36+C37+C38+C39+C40+C41+C42</f>
        <v>856498728</v>
      </c>
      <c r="D43" s="36" t="n">
        <f aca="false">D33+D34+D35+D36+D37+D38+D39+D40+D41+D42</f>
        <v>949013596</v>
      </c>
      <c r="E43" s="36" t="n">
        <f aca="false">E33+E34+E35+E36+E37+E38+E39+E40+E41+E42</f>
        <v>1035025123</v>
      </c>
      <c r="F43" s="36" t="n">
        <f aca="false">F33+F34+F35+F36+F37+F38+F39+F40+F41+F42</f>
        <v>1126503458</v>
      </c>
      <c r="G43" s="36" t="n">
        <f aca="false">G33+G34+G35+G36+G37+G38+G39+G40+G41+G42</f>
        <v>1227390296</v>
      </c>
      <c r="H43" s="36" t="n">
        <f aca="false">H33+H34+H35+H36+H37+H38+H39+H40+H41+H42</f>
        <v>1335470439</v>
      </c>
      <c r="I43" s="45" t="n">
        <f aca="false">IF(OR(C43&lt;=0,H43&lt;=0),"",(H43/C43)^(1/5)-1)</f>
        <v>0.0929027314604853</v>
      </c>
    </row>
    <row r="44" customFormat="false" ht="15" hidden="false" customHeight="false" outlineLevel="0" collapsed="false">
      <c r="A44" s="13" t="s">
        <v>172</v>
      </c>
      <c r="B44" s="12" t="s">
        <v>439</v>
      </c>
      <c r="C44" s="15" t="n">
        <f aca="false">SUMIFS('BALANCE 2024'!$I:$I,'BALANCE 2024'!$C:$C,"DA")-(SUMIFS('BALANCE 2024'!$H:$H,'BALANCE 2024'!$C:$C,"DA"))</f>
        <v>39658832</v>
      </c>
      <c r="D44" s="15" t="n">
        <f aca="false">SUMIFS('BALANCE 2025'!$I:$I,'BALANCE 2025'!$C:$C,"DA")-(SUMIFS('BALANCE 2025'!$H:$H,'BALANCE 2025'!$C:$C,"DA"))</f>
        <v>0</v>
      </c>
      <c r="E44" s="15" t="n">
        <f aca="false">SUMIFS('BALANCE 2026'!$I:$I,'BALANCE 2026'!$C:$C,"DA")-(SUMIFS('BALANCE 2026'!$H:$H,'BALANCE 2026'!$C:$C,"DA"))</f>
        <v>0</v>
      </c>
      <c r="F44" s="15" t="n">
        <f aca="false">SUMIFS('BALANCE 2027'!$I:$I,'BALANCE 2027'!$C:$C,"DA")-(SUMIFS('BALANCE 2027'!$H:$H,'BALANCE 2027'!$C:$C,"DA"))</f>
        <v>0</v>
      </c>
      <c r="G44" s="15" t="n">
        <f aca="false">SUMIFS('BALANCE 2028'!$I:$I,'BALANCE 2028'!$C:$C,"DA")-(SUMIFS('BALANCE 2028'!$H:$H,'BALANCE 2028'!$C:$C,"DA"))</f>
        <v>0</v>
      </c>
      <c r="H44" s="15" t="n">
        <f aca="false">SUMIFS('BALANCE 2029'!$I:$I,'BALANCE 2029'!$C:$C,"DA")-(SUMIFS('BALANCE 2029'!$H:$H,'BALANCE 2029'!$C:$C,"DA"))</f>
        <v>0</v>
      </c>
    </row>
    <row r="45" customFormat="false" ht="15" hidden="false" customHeight="false" outlineLevel="0" collapsed="false">
      <c r="A45" s="13" t="s">
        <v>175</v>
      </c>
      <c r="B45" s="12" t="s">
        <v>253</v>
      </c>
      <c r="C45" s="15" t="n">
        <f aca="false">SUMIFS('BALANCE 2024'!$I:$I,'BALANCE 2024'!$C:$C,"DB")-(SUMIFS('BALANCE 2024'!$H:$H,'BALANCE 2024'!$C:$C,"DB"))</f>
        <v>10619694</v>
      </c>
      <c r="D45" s="15" t="n">
        <f aca="false">SUMIFS('BALANCE 2025'!$I:$I,'BALANCE 2025'!$C:$C,"DB")-(SUMIFS('BALANCE 2025'!$H:$H,'BALANCE 2025'!$C:$C,"DB"))</f>
        <v>0</v>
      </c>
      <c r="E45" s="15" t="n">
        <f aca="false">SUMIFS('BALANCE 2026'!$I:$I,'BALANCE 2026'!$C:$C,"DB")-(SUMIFS('BALANCE 2026'!$H:$H,'BALANCE 2026'!$C:$C,"DB"))</f>
        <v>0</v>
      </c>
      <c r="F45" s="15" t="n">
        <f aca="false">SUMIFS('BALANCE 2027'!$I:$I,'BALANCE 2027'!$C:$C,"DB")-(SUMIFS('BALANCE 2027'!$H:$H,'BALANCE 2027'!$C:$C,"DB"))</f>
        <v>0</v>
      </c>
      <c r="G45" s="15" t="n">
        <f aca="false">SUMIFS('BALANCE 2028'!$I:$I,'BALANCE 2028'!$C:$C,"DB")-(SUMIFS('BALANCE 2028'!$H:$H,'BALANCE 2028'!$C:$C,"DB"))</f>
        <v>0</v>
      </c>
      <c r="H45" s="15" t="n">
        <f aca="false">SUMIFS('BALANCE 2029'!$I:$I,'BALANCE 2029'!$C:$C,"DB")-(SUMIFS('BALANCE 2029'!$H:$H,'BALANCE 2029'!$C:$C,"DB"))</f>
        <v>0</v>
      </c>
    </row>
    <row r="46" customFormat="false" ht="15" hidden="false" customHeight="false" outlineLevel="0" collapsed="false">
      <c r="A46" s="13" t="s">
        <v>257</v>
      </c>
      <c r="B46" s="12" t="s">
        <v>440</v>
      </c>
      <c r="C46" s="15" t="n">
        <f aca="false">SUMIFS('BALANCE 2024'!$I:$I,'BALANCE 2024'!$C:$C,"DC")-(SUMIFS('BALANCE 2024'!$H:$H,'BALANCE 2024'!$C:$C,"DC"))</f>
        <v>21273896</v>
      </c>
      <c r="D46" s="15" t="n">
        <f aca="false">SUMIFS('BALANCE 2025'!$I:$I,'BALANCE 2025'!$C:$C,"DC")-(SUMIFS('BALANCE 2025'!$H:$H,'BALANCE 2025'!$C:$C,"DC"))</f>
        <v>27333192</v>
      </c>
      <c r="E46" s="15" t="n">
        <f aca="false">SUMIFS('BALANCE 2026'!$I:$I,'BALANCE 2026'!$C:$C,"DC")-(SUMIFS('BALANCE 2026'!$H:$H,'BALANCE 2026'!$C:$C,"DC"))</f>
        <v>33392488</v>
      </c>
      <c r="F46" s="15" t="n">
        <f aca="false">SUMIFS('BALANCE 2027'!$I:$I,'BALANCE 2027'!$C:$C,"DC")-(SUMIFS('BALANCE 2027'!$H:$H,'BALANCE 2027'!$C:$C,"DC"))</f>
        <v>39451784</v>
      </c>
      <c r="G46" s="15" t="n">
        <f aca="false">SUMIFS('BALANCE 2028'!$I:$I,'BALANCE 2028'!$C:$C,"DC")-(SUMIFS('BALANCE 2028'!$H:$H,'BALANCE 2028'!$C:$C,"DC"))</f>
        <v>45511080</v>
      </c>
      <c r="H46" s="15" t="n">
        <f aca="false">SUMIFS('BALANCE 2029'!$I:$I,'BALANCE 2029'!$C:$C,"DC")-(SUMIFS('BALANCE 2029'!$H:$H,'BALANCE 2029'!$C:$C,"DC"))</f>
        <v>51570376</v>
      </c>
    </row>
    <row r="47" customFormat="false" ht="15" hidden="false" customHeight="false" outlineLevel="0" collapsed="false">
      <c r="A47" s="35" t="s">
        <v>441</v>
      </c>
      <c r="B47" s="35" t="s">
        <v>442</v>
      </c>
      <c r="C47" s="36" t="n">
        <f aca="false">C44+C45+C46</f>
        <v>71552422</v>
      </c>
      <c r="D47" s="36" t="n">
        <f aca="false">D44+D45+D46</f>
        <v>27333192</v>
      </c>
      <c r="E47" s="36" t="n">
        <f aca="false">E44+E45+E46</f>
        <v>33392488</v>
      </c>
      <c r="F47" s="36" t="n">
        <f aca="false">F44+F45+F46</f>
        <v>39451784</v>
      </c>
      <c r="G47" s="36" t="n">
        <f aca="false">G44+G45+G46</f>
        <v>45511080</v>
      </c>
      <c r="H47" s="36" t="n">
        <f aca="false">H44+H45+H46</f>
        <v>51570376</v>
      </c>
      <c r="I47" s="34"/>
    </row>
    <row r="48" customFormat="false" ht="15" hidden="false" customHeight="false" outlineLevel="0" collapsed="false">
      <c r="A48" s="35" t="s">
        <v>443</v>
      </c>
      <c r="B48" s="35" t="s">
        <v>444</v>
      </c>
      <c r="C48" s="36" t="n">
        <f aca="false">C43+C47</f>
        <v>928051150</v>
      </c>
      <c r="D48" s="36" t="n">
        <f aca="false">D43+D47</f>
        <v>976346788</v>
      </c>
      <c r="E48" s="36" t="n">
        <f aca="false">E43+E47</f>
        <v>1068417611</v>
      </c>
      <c r="F48" s="36" t="n">
        <f aca="false">F43+F47</f>
        <v>1165955242</v>
      </c>
      <c r="G48" s="36" t="n">
        <f aca="false">G43+G47</f>
        <v>1272901376</v>
      </c>
      <c r="H48" s="36" t="n">
        <f aca="false">H43+H47</f>
        <v>1387040815</v>
      </c>
      <c r="I48" s="34"/>
    </row>
    <row r="49" customFormat="false" ht="15" hidden="false" customHeight="false" outlineLevel="0" collapsed="false">
      <c r="A49" s="13" t="s">
        <v>305</v>
      </c>
      <c r="B49" s="12" t="s">
        <v>445</v>
      </c>
      <c r="C49" s="15" t="n">
        <f aca="false">SUMIFS('BALANCE 2024'!$I:$I,'BALANCE 2024'!$C:$C,"DH")-(SUMIFS('BALANCE 2024'!$H:$H,'BALANCE 2024'!$C:$C,"DH"))</f>
        <v>132896547</v>
      </c>
      <c r="D49" s="15" t="n">
        <f aca="false">SUMIFS('BALANCE 2025'!$I:$I,'BALANCE 2025'!$C:$C,"DH")-(SUMIFS('BALANCE 2025'!$H:$H,'BALANCE 2025'!$C:$C,"DH"))</f>
        <v>59171235</v>
      </c>
      <c r="E49" s="15" t="n">
        <f aca="false">SUMIFS('BALANCE 2026'!$I:$I,'BALANCE 2026'!$C:$C,"DH")-(SUMIFS('BALANCE 2026'!$H:$H,'BALANCE 2026'!$C:$C,"DH"))</f>
        <v>12736111</v>
      </c>
      <c r="F49" s="15" t="n">
        <f aca="false">SUMIFS('BALANCE 2027'!$I:$I,'BALANCE 2027'!$C:$C,"DH")-(SUMIFS('BALANCE 2027'!$H:$H,'BALANCE 2027'!$C:$C,"DH"))</f>
        <v>12736111</v>
      </c>
      <c r="G49" s="15" t="n">
        <f aca="false">SUMIFS('BALANCE 2028'!$I:$I,'BALANCE 2028'!$C:$C,"DH")-(SUMIFS('BALANCE 2028'!$H:$H,'BALANCE 2028'!$C:$C,"DH"))</f>
        <v>27291667</v>
      </c>
      <c r="H49" s="15" t="n">
        <f aca="false">SUMIFS('BALANCE 2029'!$I:$I,'BALANCE 2029'!$C:$C,"DH")-(SUMIFS('BALANCE 2029'!$H:$H,'BALANCE 2029'!$C:$C,"DH"))</f>
        <v>12736111</v>
      </c>
    </row>
    <row r="50" customFormat="false" ht="15" hidden="false" customHeight="false" outlineLevel="0" collapsed="false">
      <c r="A50" s="13" t="s">
        <v>446</v>
      </c>
      <c r="B50" s="12" t="s">
        <v>447</v>
      </c>
      <c r="C50" s="15" t="n">
        <f aca="false">SUMIFS('BALANCE 2024'!$I:$I,'BALANCE 2024'!$C:$C,"DI")-(SUMIFS('BALANCE 2024'!$H:$H,'BALANCE 2024'!$C:$C,"DI"))</f>
        <v>0</v>
      </c>
      <c r="D50" s="15" t="n">
        <f aca="false">SUMIFS('BALANCE 2025'!$I:$I,'BALANCE 2025'!$C:$C,"DI")-(SUMIFS('BALANCE 2025'!$H:$H,'BALANCE 2025'!$C:$C,"DI"))</f>
        <v>0</v>
      </c>
      <c r="E50" s="15" t="n">
        <f aca="false">SUMIFS('BALANCE 2026'!$I:$I,'BALANCE 2026'!$C:$C,"DI")-(SUMIFS('BALANCE 2026'!$H:$H,'BALANCE 2026'!$C:$C,"DI"))</f>
        <v>0</v>
      </c>
      <c r="F50" s="15" t="n">
        <f aca="false">SUMIFS('BALANCE 2027'!$I:$I,'BALANCE 2027'!$C:$C,"DI")-(SUMIFS('BALANCE 2027'!$H:$H,'BALANCE 2027'!$C:$C,"DI"))</f>
        <v>0</v>
      </c>
      <c r="G50" s="15" t="n">
        <f aca="false">SUMIFS('BALANCE 2028'!$I:$I,'BALANCE 2028'!$C:$C,"DI")-(SUMIFS('BALANCE 2028'!$H:$H,'BALANCE 2028'!$C:$C,"DI"))</f>
        <v>0</v>
      </c>
      <c r="H50" s="15" t="n">
        <f aca="false">SUMIFS('BALANCE 2029'!$I:$I,'BALANCE 2029'!$C:$C,"DI")-(SUMIFS('BALANCE 2029'!$H:$H,'BALANCE 2029'!$C:$C,"DI"))</f>
        <v>0</v>
      </c>
    </row>
    <row r="51" customFormat="false" ht="15" hidden="false" customHeight="false" outlineLevel="0" collapsed="false">
      <c r="A51" s="13" t="s">
        <v>279</v>
      </c>
      <c r="B51" s="12" t="s">
        <v>448</v>
      </c>
      <c r="C51" s="15" t="n">
        <f aca="false">SUMIFS('BALANCE 2024'!$I:$I,'BALANCE 2024'!$C:$C,"DJ")-(SUMIFS('BALANCE 2024'!$H:$H,'BALANCE 2024'!$C:$C,"DJ"))</f>
        <v>72947866</v>
      </c>
      <c r="D51" s="15" t="n">
        <f aca="false">SUMIFS('BALANCE 2025'!$I:$I,'BALANCE 2025'!$C:$C,"DJ")-(SUMIFS('BALANCE 2025'!$H:$H,'BALANCE 2025'!$C:$C,"DJ"))</f>
        <v>77709524</v>
      </c>
      <c r="E51" s="15" t="n">
        <f aca="false">SUMIFS('BALANCE 2026'!$I:$I,'BALANCE 2026'!$C:$C,"DJ")-(SUMIFS('BALANCE 2026'!$H:$H,'BALANCE 2026'!$C:$C,"DJ"))</f>
        <v>81595000</v>
      </c>
      <c r="F51" s="15" t="n">
        <f aca="false">SUMIFS('BALANCE 2027'!$I:$I,'BALANCE 2027'!$C:$C,"DJ")-(SUMIFS('BALANCE 2027'!$H:$H,'BALANCE 2027'!$C:$C,"DJ"))</f>
        <v>85674750</v>
      </c>
      <c r="G51" s="15" t="n">
        <f aca="false">SUMIFS('BALANCE 2028'!$I:$I,'BALANCE 2028'!$C:$C,"DJ")-(SUMIFS('BALANCE 2028'!$H:$H,'BALANCE 2028'!$C:$C,"DJ"))</f>
        <v>89958487</v>
      </c>
      <c r="H51" s="15" t="n">
        <f aca="false">SUMIFS('BALANCE 2029'!$I:$I,'BALANCE 2029'!$C:$C,"DJ")-(SUMIFS('BALANCE 2029'!$H:$H,'BALANCE 2029'!$C:$C,"DJ"))</f>
        <v>94456412</v>
      </c>
    </row>
    <row r="52" customFormat="false" ht="15" hidden="false" customHeight="false" outlineLevel="0" collapsed="false">
      <c r="A52" s="13" t="s">
        <v>285</v>
      </c>
      <c r="B52" s="12" t="s">
        <v>449</v>
      </c>
      <c r="C52" s="15" t="n">
        <f aca="false">SUMIFS('BALANCE 2024'!$I:$I,'BALANCE 2024'!$C:$C,"DK")-(SUMIFS('BALANCE 2024'!$H:$H,'BALANCE 2024'!$C:$C,"DK"))</f>
        <v>102091109</v>
      </c>
      <c r="D52" s="15" t="n">
        <f aca="false">SUMIFS('BALANCE 2025'!$I:$I,'BALANCE 2025'!$C:$C,"DK")-(SUMIFS('BALANCE 2025'!$H:$H,'BALANCE 2025'!$C:$C,"DK"))</f>
        <v>112201543</v>
      </c>
      <c r="E52" s="15" t="n">
        <f aca="false">SUMIFS('BALANCE 2026'!$I:$I,'BALANCE 2026'!$C:$C,"DK")-(SUMIFS('BALANCE 2026'!$H:$H,'BALANCE 2026'!$C:$C,"DK"))</f>
        <v>116185478</v>
      </c>
      <c r="F52" s="15" t="n">
        <f aca="false">SUMIFS('BALANCE 2027'!$I:$I,'BALANCE 2027'!$C:$C,"DK")-(SUMIFS('BALANCE 2027'!$H:$H,'BALANCE 2027'!$C:$C,"DK"))</f>
        <v>122383497</v>
      </c>
      <c r="G52" s="15" t="n">
        <f aca="false">SUMIFS('BALANCE 2028'!$I:$I,'BALANCE 2028'!$C:$C,"DK")-(SUMIFS('BALANCE 2028'!$H:$H,'BALANCE 2028'!$C:$C,"DK"))</f>
        <v>130114200</v>
      </c>
      <c r="H52" s="15" t="n">
        <f aca="false">SUMIFS('BALANCE 2029'!$I:$I,'BALANCE 2029'!$C:$C,"DK")-(SUMIFS('BALANCE 2029'!$H:$H,'BALANCE 2029'!$C:$C,"DK"))</f>
        <v>137336229</v>
      </c>
    </row>
    <row r="53" customFormat="false" ht="15" hidden="false" customHeight="false" outlineLevel="0" collapsed="false">
      <c r="A53" s="13" t="s">
        <v>301</v>
      </c>
      <c r="B53" s="12" t="s">
        <v>450</v>
      </c>
      <c r="C53" s="15" t="n">
        <f aca="false">SUMIFS('BALANCE 2024'!$I:$I,'BALANCE 2024'!$C:$C,"DM")+SUMIFS('BALANCE 2024'!$I:$I,'BALANCE 2024'!$C:$C,"DMBJ")-(SUMIFS('BALANCE 2024'!$H:$H,'BALANCE 2024'!$C:$C,"DM"))</f>
        <v>3700000</v>
      </c>
      <c r="D53" s="15" t="n">
        <f aca="false">SUMIFS('BALANCE 2025'!$I:$I,'BALANCE 2025'!$C:$C,"DM")+SUMIFS('BALANCE 2025'!$I:$I,'BALANCE 2025'!$C:$C,"DMBJ")-(SUMIFS('BALANCE 2025'!$H:$H,'BALANCE 2025'!$C:$C,"DM"))</f>
        <v>0</v>
      </c>
      <c r="E53" s="15" t="n">
        <f aca="false">SUMIFS('BALANCE 2026'!$I:$I,'BALANCE 2026'!$C:$C,"DM")+SUMIFS('BALANCE 2026'!$I:$I,'BALANCE 2026'!$C:$C,"DMBJ")-(SUMIFS('BALANCE 2026'!$H:$H,'BALANCE 2026'!$C:$C,"DM"))</f>
        <v>0</v>
      </c>
      <c r="F53" s="15" t="n">
        <f aca="false">SUMIFS('BALANCE 2027'!$I:$I,'BALANCE 2027'!$C:$C,"DM")+SUMIFS('BALANCE 2027'!$I:$I,'BALANCE 2027'!$C:$C,"DMBJ")-(SUMIFS('BALANCE 2027'!$H:$H,'BALANCE 2027'!$C:$C,"DM"))</f>
        <v>0</v>
      </c>
      <c r="G53" s="15" t="n">
        <f aca="false">SUMIFS('BALANCE 2028'!$I:$I,'BALANCE 2028'!$C:$C,"DM")+SUMIFS('BALANCE 2028'!$I:$I,'BALANCE 2028'!$C:$C,"DMBJ")-(SUMIFS('BALANCE 2028'!$H:$H,'BALANCE 2028'!$C:$C,"DM"))</f>
        <v>0</v>
      </c>
      <c r="H53" s="15" t="n">
        <f aca="false">SUMIFS('BALANCE 2029'!$I:$I,'BALANCE 2029'!$C:$C,"DM")+SUMIFS('BALANCE 2029'!$I:$I,'BALANCE 2029'!$C:$C,"DMBJ")-(SUMIFS('BALANCE 2029'!$H:$H,'BALANCE 2029'!$C:$C,"DM"))</f>
        <v>0</v>
      </c>
    </row>
    <row r="54" customFormat="false" ht="15" hidden="false" customHeight="false" outlineLevel="0" collapsed="false">
      <c r="A54" s="13" t="s">
        <v>451</v>
      </c>
      <c r="B54" s="12" t="s">
        <v>452</v>
      </c>
      <c r="C54" s="15" t="n">
        <f aca="false">SUMIFS('BALANCE 2024'!$I:$I,'BALANCE 2024'!$C:$C,"DN")-(SUMIFS('BALANCE 2024'!$H:$H,'BALANCE 2024'!$C:$C,"DN"))</f>
        <v>0</v>
      </c>
      <c r="D54" s="15" t="n">
        <f aca="false">SUMIFS('BALANCE 2025'!$I:$I,'BALANCE 2025'!$C:$C,"DN")-(SUMIFS('BALANCE 2025'!$H:$H,'BALANCE 2025'!$C:$C,"DN"))</f>
        <v>0</v>
      </c>
      <c r="E54" s="15" t="n">
        <f aca="false">SUMIFS('BALANCE 2026'!$I:$I,'BALANCE 2026'!$C:$C,"DN")-(SUMIFS('BALANCE 2026'!$H:$H,'BALANCE 2026'!$C:$C,"DN"))</f>
        <v>0</v>
      </c>
      <c r="F54" s="15" t="n">
        <f aca="false">SUMIFS('BALANCE 2027'!$I:$I,'BALANCE 2027'!$C:$C,"DN")-(SUMIFS('BALANCE 2027'!$H:$H,'BALANCE 2027'!$C:$C,"DN"))</f>
        <v>0</v>
      </c>
      <c r="G54" s="15" t="n">
        <f aca="false">SUMIFS('BALANCE 2028'!$I:$I,'BALANCE 2028'!$C:$C,"DN")-(SUMIFS('BALANCE 2028'!$H:$H,'BALANCE 2028'!$C:$C,"DN"))</f>
        <v>0</v>
      </c>
      <c r="H54" s="15" t="n">
        <f aca="false">SUMIFS('BALANCE 2029'!$I:$I,'BALANCE 2029'!$C:$C,"DN")-(SUMIFS('BALANCE 2029'!$H:$H,'BALANCE 2029'!$C:$C,"DN"))</f>
        <v>0</v>
      </c>
    </row>
    <row r="55" customFormat="false" ht="15" hidden="false" customHeight="false" outlineLevel="0" collapsed="false">
      <c r="A55" s="35" t="s">
        <v>453</v>
      </c>
      <c r="B55" s="35" t="s">
        <v>454</v>
      </c>
      <c r="C55" s="36" t="n">
        <f aca="false">C49+C50+C51+C52+C53+C54</f>
        <v>311635522</v>
      </c>
      <c r="D55" s="36" t="n">
        <f aca="false">D49+D50+D51+D52+D53+D54</f>
        <v>249082302</v>
      </c>
      <c r="E55" s="36" t="n">
        <f aca="false">E49+E50+E51+E52+E53+E54</f>
        <v>210516589</v>
      </c>
      <c r="F55" s="36" t="n">
        <f aca="false">F49+F50+F51+F52+F53+F54</f>
        <v>220794358</v>
      </c>
      <c r="G55" s="36" t="n">
        <f aca="false">G49+G50+G51+G52+G53+G54</f>
        <v>247364354</v>
      </c>
      <c r="H55" s="36" t="n">
        <f aca="false">H49+H50+H51+H52+H53+H54</f>
        <v>244528752</v>
      </c>
      <c r="I55" s="34"/>
    </row>
    <row r="56" customFormat="false" ht="15" hidden="false" customHeight="false" outlineLevel="0" collapsed="false">
      <c r="A56" s="13" t="s">
        <v>455</v>
      </c>
      <c r="B56" s="12" t="s">
        <v>456</v>
      </c>
      <c r="C56" s="15" t="n">
        <f aca="false">SUMIFS('BALANCE 2024'!$I:$I,'BALANCE 2024'!$C:$C,"DQ")-(SUMIFS('BALANCE 2024'!$H:$H,'BALANCE 2024'!$C:$C,"DQ"))</f>
        <v>0</v>
      </c>
      <c r="D56" s="15" t="n">
        <f aca="false">SUMIFS('BALANCE 2025'!$I:$I,'BALANCE 2025'!$C:$C,"DQ")-(SUMIFS('BALANCE 2025'!$H:$H,'BALANCE 2025'!$C:$C,"DQ"))</f>
        <v>0</v>
      </c>
      <c r="E56" s="15" t="n">
        <f aca="false">SUMIFS('BALANCE 2026'!$I:$I,'BALANCE 2026'!$C:$C,"DQ")-(SUMIFS('BALANCE 2026'!$H:$H,'BALANCE 2026'!$C:$C,"DQ"))</f>
        <v>0</v>
      </c>
      <c r="F56" s="15" t="n">
        <f aca="false">SUMIFS('BALANCE 2027'!$I:$I,'BALANCE 2027'!$C:$C,"DQ")-(SUMIFS('BALANCE 2027'!$H:$H,'BALANCE 2027'!$C:$C,"DQ"))</f>
        <v>0</v>
      </c>
      <c r="G56" s="15" t="n">
        <f aca="false">SUMIFS('BALANCE 2028'!$I:$I,'BALANCE 2028'!$C:$C,"DQ")-(SUMIFS('BALANCE 2028'!$H:$H,'BALANCE 2028'!$C:$C,"DQ"))</f>
        <v>0</v>
      </c>
      <c r="H56" s="15" t="n">
        <f aca="false">SUMIFS('BALANCE 2029'!$I:$I,'BALANCE 2029'!$C:$C,"DQ")-(SUMIFS('BALANCE 2029'!$H:$H,'BALANCE 2029'!$C:$C,"DQ"))</f>
        <v>0</v>
      </c>
    </row>
    <row r="57" customFormat="false" ht="15" hidden="false" customHeight="false" outlineLevel="0" collapsed="false">
      <c r="A57" s="13" t="s">
        <v>457</v>
      </c>
      <c r="B57" s="12" t="s">
        <v>458</v>
      </c>
      <c r="C57" s="15" t="n">
        <f aca="false">SUMIFS('BALANCE 2024'!$I:$I,'BALANCE 2024'!$C:$C,"DR")+SUMIFS('BALANCE 2024'!$I:$I,'BALANCE 2024'!$C:$C,"TRESO")-(SUMIFS('BALANCE 2024'!$H:$H,'BALANCE 2024'!$C:$C,"DR"))</f>
        <v>0</v>
      </c>
      <c r="D57" s="15" t="n">
        <f aca="false">SUMIFS('BALANCE 2025'!$I:$I,'BALANCE 2025'!$C:$C,"DR")+SUMIFS('BALANCE 2025'!$I:$I,'BALANCE 2025'!$C:$C,"TRESO")-(SUMIFS('BALANCE 2025'!$H:$H,'BALANCE 2025'!$C:$C,"DR"))</f>
        <v>0</v>
      </c>
      <c r="E57" s="15" t="n">
        <f aca="false">SUMIFS('BALANCE 2026'!$I:$I,'BALANCE 2026'!$C:$C,"DR")+SUMIFS('BALANCE 2026'!$I:$I,'BALANCE 2026'!$C:$C,"TRESO")-(SUMIFS('BALANCE 2026'!$H:$H,'BALANCE 2026'!$C:$C,"DR"))</f>
        <v>0</v>
      </c>
      <c r="F57" s="15" t="n">
        <f aca="false">SUMIFS('BALANCE 2027'!$I:$I,'BALANCE 2027'!$C:$C,"DR")+SUMIFS('BALANCE 2027'!$I:$I,'BALANCE 2027'!$C:$C,"TRESO")-(SUMIFS('BALANCE 2027'!$H:$H,'BALANCE 2027'!$C:$C,"DR"))</f>
        <v>0</v>
      </c>
      <c r="G57" s="15" t="n">
        <f aca="false">SUMIFS('BALANCE 2028'!$I:$I,'BALANCE 2028'!$C:$C,"DR")+SUMIFS('BALANCE 2028'!$I:$I,'BALANCE 2028'!$C:$C,"TRESO")-(SUMIFS('BALANCE 2028'!$H:$H,'BALANCE 2028'!$C:$C,"DR"))</f>
        <v>0</v>
      </c>
      <c r="H57" s="15" t="n">
        <f aca="false">SUMIFS('BALANCE 2029'!$I:$I,'BALANCE 2029'!$C:$C,"DR")+SUMIFS('BALANCE 2029'!$I:$I,'BALANCE 2029'!$C:$C,"TRESO")-(SUMIFS('BALANCE 2029'!$H:$H,'BALANCE 2029'!$C:$C,"DR"))</f>
        <v>0</v>
      </c>
    </row>
    <row r="58" customFormat="false" ht="15" hidden="false" customHeight="false" outlineLevel="0" collapsed="false">
      <c r="A58" s="35" t="s">
        <v>459</v>
      </c>
      <c r="B58" s="35" t="s">
        <v>460</v>
      </c>
      <c r="C58" s="36" t="n">
        <f aca="false">C56+C57</f>
        <v>0</v>
      </c>
      <c r="D58" s="36" t="n">
        <f aca="false">D56+D57</f>
        <v>0</v>
      </c>
      <c r="E58" s="36" t="n">
        <f aca="false">E56+E57</f>
        <v>0</v>
      </c>
      <c r="F58" s="36" t="n">
        <f aca="false">F56+F57</f>
        <v>0</v>
      </c>
      <c r="G58" s="36" t="n">
        <f aca="false">G56+G57</f>
        <v>0</v>
      </c>
      <c r="H58" s="36" t="n">
        <f aca="false">H56+H57</f>
        <v>0</v>
      </c>
      <c r="I58" s="34"/>
    </row>
    <row r="59" customFormat="false" ht="15" hidden="false" customHeight="false" outlineLevel="0" collapsed="false">
      <c r="A59" s="13" t="s">
        <v>461</v>
      </c>
      <c r="B59" s="12" t="s">
        <v>462</v>
      </c>
      <c r="C59" s="15" t="n">
        <f aca="false">SUMIFS('BALANCE 2024'!$I:$I,'BALANCE 2024'!$C:$C,"DV")-(SUMIFS('BALANCE 2024'!$H:$H,'BALANCE 2024'!$C:$C,"DV"))</f>
        <v>0</v>
      </c>
      <c r="D59" s="15" t="n">
        <f aca="false">SUMIFS('BALANCE 2025'!$I:$I,'BALANCE 2025'!$C:$C,"DV")-(SUMIFS('BALANCE 2025'!$H:$H,'BALANCE 2025'!$C:$C,"DV"))</f>
        <v>0</v>
      </c>
      <c r="E59" s="15" t="n">
        <f aca="false">SUMIFS('BALANCE 2026'!$I:$I,'BALANCE 2026'!$C:$C,"DV")-(SUMIFS('BALANCE 2026'!$H:$H,'BALANCE 2026'!$C:$C,"DV"))</f>
        <v>0</v>
      </c>
      <c r="F59" s="15" t="n">
        <f aca="false">SUMIFS('BALANCE 2027'!$I:$I,'BALANCE 2027'!$C:$C,"DV")-(SUMIFS('BALANCE 2027'!$H:$H,'BALANCE 2027'!$C:$C,"DV"))</f>
        <v>0</v>
      </c>
      <c r="G59" s="15" t="n">
        <f aca="false">SUMIFS('BALANCE 2028'!$I:$I,'BALANCE 2028'!$C:$C,"DV")-(SUMIFS('BALANCE 2028'!$H:$H,'BALANCE 2028'!$C:$C,"DV"))</f>
        <v>0</v>
      </c>
      <c r="H59" s="15" t="n">
        <f aca="false">SUMIFS('BALANCE 2029'!$I:$I,'BALANCE 2029'!$C:$C,"DV")-(SUMIFS('BALANCE 2029'!$H:$H,'BALANCE 2029'!$C:$C,"DV"))</f>
        <v>0</v>
      </c>
    </row>
    <row r="60" customFormat="false" ht="15" hidden="false" customHeight="false" outlineLevel="0" collapsed="false">
      <c r="A60" s="35" t="s">
        <v>463</v>
      </c>
      <c r="B60" s="35" t="s">
        <v>464</v>
      </c>
      <c r="C60" s="36" t="n">
        <f aca="false">C48+C55+C58+C59</f>
        <v>1239686672</v>
      </c>
      <c r="D60" s="36" t="n">
        <f aca="false">D48+D55+D58+D59</f>
        <v>1225429090</v>
      </c>
      <c r="E60" s="36" t="n">
        <f aca="false">E48+E55+E58+E59</f>
        <v>1278934200</v>
      </c>
      <c r="F60" s="36" t="n">
        <f aca="false">F48+F55+F58+F59</f>
        <v>1386749600</v>
      </c>
      <c r="G60" s="36" t="n">
        <f aca="false">G48+G55+G58+G59</f>
        <v>1520265730</v>
      </c>
      <c r="H60" s="36" t="n">
        <f aca="false">H48+H55+H58+H59</f>
        <v>1631569567</v>
      </c>
      <c r="I60" s="45" t="n">
        <f aca="false">IF(OR(C60&lt;=0,H60&lt;=0),"",(H60/C60)^(1/5)-1)</f>
        <v>0.056473803743418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465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466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375</v>
      </c>
      <c r="B5" s="27" t="s">
        <v>467</v>
      </c>
      <c r="C5" s="27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7" t="s">
        <v>377</v>
      </c>
    </row>
    <row r="6" customFormat="false" ht="15" hidden="false" customHeight="false" outlineLevel="0" collapsed="false">
      <c r="A6" s="13" t="s">
        <v>468</v>
      </c>
      <c r="B6" s="12" t="s">
        <v>469</v>
      </c>
      <c r="C6" s="15" t="n">
        <f aca="false">SUMIFS('BALANCE 2024'!$I:$I,'BALANCE 2024'!$C:$C,"TA")-(SUMIFS('BALANCE 2024'!$H:$H,'BALANCE 2024'!$C:$C,"TA"))</f>
        <v>0</v>
      </c>
      <c r="D6" s="15" t="n">
        <f aca="false">SUMIFS('BALANCE 2025'!$I:$I,'BALANCE 2025'!$C:$C,"TA")-(SUMIFS('BALANCE 2025'!$H:$H,'BALANCE 2025'!$C:$C,"TA"))</f>
        <v>0</v>
      </c>
      <c r="E6" s="15" t="n">
        <f aca="false">SUMIFS('BALANCE 2026'!$I:$I,'BALANCE 2026'!$C:$C,"TA")-(SUMIFS('BALANCE 2026'!$H:$H,'BALANCE 2026'!$C:$C,"TA"))</f>
        <v>0</v>
      </c>
      <c r="F6" s="15" t="n">
        <f aca="false">SUMIFS('BALANCE 2027'!$I:$I,'BALANCE 2027'!$C:$C,"TA")-(SUMIFS('BALANCE 2027'!$H:$H,'BALANCE 2027'!$C:$C,"TA"))</f>
        <v>0</v>
      </c>
      <c r="G6" s="15" t="n">
        <f aca="false">SUMIFS('BALANCE 2028'!$I:$I,'BALANCE 2028'!$C:$C,"TA")-(SUMIFS('BALANCE 2028'!$H:$H,'BALANCE 2028'!$C:$C,"TA"))</f>
        <v>0</v>
      </c>
      <c r="H6" s="15" t="n">
        <f aca="false">SUMIFS('BALANCE 2029'!$I:$I,'BALANCE 2029'!$C:$C,"TA")-(SUMIFS('BALANCE 2029'!$H:$H,'BALANCE 2029'!$C:$C,"TA"))</f>
        <v>0</v>
      </c>
    </row>
    <row r="7" customFormat="false" ht="15" hidden="false" customHeight="false" outlineLevel="0" collapsed="false">
      <c r="A7" s="13" t="s">
        <v>470</v>
      </c>
      <c r="B7" s="12" t="s">
        <v>471</v>
      </c>
      <c r="C7" s="15" t="n">
        <f aca="false">SUMIFS('BALANCE 2024'!$I:$I,'BALANCE 2024'!$C:$C,"RA")-(SUMIFS('BALANCE 2024'!$H:$H,'BALANCE 2024'!$C:$C,"RA"))</f>
        <v>0</v>
      </c>
      <c r="D7" s="15" t="n">
        <f aca="false">SUMIFS('BALANCE 2025'!$I:$I,'BALANCE 2025'!$C:$C,"RA")-(SUMIFS('BALANCE 2025'!$H:$H,'BALANCE 2025'!$C:$C,"RA"))</f>
        <v>0</v>
      </c>
      <c r="E7" s="15" t="n">
        <f aca="false">SUMIFS('BALANCE 2026'!$I:$I,'BALANCE 2026'!$C:$C,"RA")-(SUMIFS('BALANCE 2026'!$H:$H,'BALANCE 2026'!$C:$C,"RA"))</f>
        <v>0</v>
      </c>
      <c r="F7" s="15" t="n">
        <f aca="false">SUMIFS('BALANCE 2027'!$I:$I,'BALANCE 2027'!$C:$C,"RA")-(SUMIFS('BALANCE 2027'!$H:$H,'BALANCE 2027'!$C:$C,"RA"))</f>
        <v>0</v>
      </c>
      <c r="G7" s="15" t="n">
        <f aca="false">SUMIFS('BALANCE 2028'!$I:$I,'BALANCE 2028'!$C:$C,"RA")-(SUMIFS('BALANCE 2028'!$H:$H,'BALANCE 2028'!$C:$C,"RA"))</f>
        <v>0</v>
      </c>
      <c r="H7" s="15" t="n">
        <f aca="false">SUMIFS('BALANCE 2029'!$I:$I,'BALANCE 2029'!$C:$C,"RA")-(SUMIFS('BALANCE 2029'!$H:$H,'BALANCE 2029'!$C:$C,"RA"))</f>
        <v>0</v>
      </c>
    </row>
    <row r="8" customFormat="false" ht="15" hidden="false" customHeight="false" outlineLevel="0" collapsed="false">
      <c r="A8" s="13" t="s">
        <v>472</v>
      </c>
      <c r="B8" s="12" t="s">
        <v>473</v>
      </c>
      <c r="C8" s="15" t="n">
        <f aca="false">SUMIFS('BALANCE 2024'!$I:$I,'BALANCE 2024'!$C:$C,"RB")-(SUMIFS('BALANCE 2024'!$H:$H,'BALANCE 2024'!$C:$C,"RB"))</f>
        <v>0</v>
      </c>
      <c r="D8" s="15" t="n">
        <f aca="false">SUMIFS('BALANCE 2025'!$I:$I,'BALANCE 2025'!$C:$C,"RB")-(SUMIFS('BALANCE 2025'!$H:$H,'BALANCE 2025'!$C:$C,"RB"))</f>
        <v>0</v>
      </c>
      <c r="E8" s="15" t="n">
        <f aca="false">SUMIFS('BALANCE 2026'!$I:$I,'BALANCE 2026'!$C:$C,"RB")-(SUMIFS('BALANCE 2026'!$H:$H,'BALANCE 2026'!$C:$C,"RB"))</f>
        <v>0</v>
      </c>
      <c r="F8" s="15" t="n">
        <f aca="false">SUMIFS('BALANCE 2027'!$I:$I,'BALANCE 2027'!$C:$C,"RB")-(SUMIFS('BALANCE 2027'!$H:$H,'BALANCE 2027'!$C:$C,"RB"))</f>
        <v>0</v>
      </c>
      <c r="G8" s="15" t="n">
        <f aca="false">SUMIFS('BALANCE 2028'!$I:$I,'BALANCE 2028'!$C:$C,"RB")-(SUMIFS('BALANCE 2028'!$H:$H,'BALANCE 2028'!$C:$C,"RB"))</f>
        <v>0</v>
      </c>
      <c r="H8" s="15" t="n">
        <f aca="false">SUMIFS('BALANCE 2029'!$I:$I,'BALANCE 2029'!$C:$C,"RB")-(SUMIFS('BALANCE 2029'!$H:$H,'BALANCE 2029'!$C:$C,"RB"))</f>
        <v>0</v>
      </c>
    </row>
    <row r="9" customFormat="false" ht="15" hidden="false" customHeight="false" outlineLevel="0" collapsed="false">
      <c r="A9" s="35" t="s">
        <v>474</v>
      </c>
      <c r="B9" s="35" t="s">
        <v>475</v>
      </c>
      <c r="C9" s="36" t="n">
        <f aca="false">C6+C7+C8</f>
        <v>0</v>
      </c>
      <c r="D9" s="36" t="n">
        <f aca="false">D6+D7+D8</f>
        <v>0</v>
      </c>
      <c r="E9" s="36" t="n">
        <f aca="false">E6+E7+E8</f>
        <v>0</v>
      </c>
      <c r="F9" s="36" t="n">
        <f aca="false">F6+F7+F8</f>
        <v>0</v>
      </c>
      <c r="G9" s="36" t="n">
        <f aca="false">G6+G7+G8</f>
        <v>0</v>
      </c>
      <c r="H9" s="36" t="n">
        <f aca="false">H6+H7+H8</f>
        <v>0</v>
      </c>
      <c r="I9" s="34"/>
    </row>
    <row r="10" customFormat="false" ht="15" hidden="false" customHeight="false" outlineLevel="0" collapsed="false">
      <c r="A10" s="13" t="s">
        <v>476</v>
      </c>
      <c r="B10" s="12" t="s">
        <v>477</v>
      </c>
      <c r="C10" s="15" t="n">
        <f aca="false">SUMIFS('BALANCE 2024'!$I:$I,'BALANCE 2024'!$C:$C,"TB")-(SUMIFS('BALANCE 2024'!$H:$H,'BALANCE 2024'!$C:$C,"TB"))</f>
        <v>0</v>
      </c>
      <c r="D10" s="15" t="n">
        <f aca="false">SUMIFS('BALANCE 2025'!$I:$I,'BALANCE 2025'!$C:$C,"TB")-(SUMIFS('BALANCE 2025'!$H:$H,'BALANCE 2025'!$C:$C,"TB"))</f>
        <v>0</v>
      </c>
      <c r="E10" s="15" t="n">
        <f aca="false">SUMIFS('BALANCE 2026'!$I:$I,'BALANCE 2026'!$C:$C,"TB")-(SUMIFS('BALANCE 2026'!$H:$H,'BALANCE 2026'!$C:$C,"TB"))</f>
        <v>0</v>
      </c>
      <c r="F10" s="15" t="n">
        <f aca="false">SUMIFS('BALANCE 2027'!$I:$I,'BALANCE 2027'!$C:$C,"TB")-(SUMIFS('BALANCE 2027'!$H:$H,'BALANCE 2027'!$C:$C,"TB"))</f>
        <v>0</v>
      </c>
      <c r="G10" s="15" t="n">
        <f aca="false">SUMIFS('BALANCE 2028'!$I:$I,'BALANCE 2028'!$C:$C,"TB")-(SUMIFS('BALANCE 2028'!$H:$H,'BALANCE 2028'!$C:$C,"TB"))</f>
        <v>0</v>
      </c>
      <c r="H10" s="15" t="n">
        <f aca="false">SUMIFS('BALANCE 2029'!$I:$I,'BALANCE 2029'!$C:$C,"TB")-(SUMIFS('BALANCE 2029'!$H:$H,'BALANCE 2029'!$C:$C,"TB"))</f>
        <v>0</v>
      </c>
    </row>
    <row r="11" customFormat="false" ht="15" hidden="false" customHeight="false" outlineLevel="0" collapsed="false">
      <c r="A11" s="13" t="s">
        <v>358</v>
      </c>
      <c r="B11" s="12" t="s">
        <v>478</v>
      </c>
      <c r="C11" s="15" t="n">
        <f aca="false">SUMIFS('BALANCE 2024'!$I:$I,'BALANCE 2024'!$C:$C,"TC")-(SUMIFS('BALANCE 2024'!$H:$H,'BALANCE 2024'!$C:$C,"TC"))</f>
        <v>701026695</v>
      </c>
      <c r="D11" s="15" t="n">
        <f aca="false">SUMIFS('BALANCE 2025'!$I:$I,'BALANCE 2025'!$C:$C,"TC")-(SUMIFS('BALANCE 2025'!$H:$H,'BALANCE 2025'!$C:$C,"TC"))</f>
        <v>750098564</v>
      </c>
      <c r="E11" s="15" t="n">
        <f aca="false">SUMIFS('BALANCE 2026'!$I:$I,'BALANCE 2026'!$C:$C,"TC")-(SUMIFS('BALANCE 2026'!$H:$H,'BALANCE 2026'!$C:$C,"TC"))</f>
        <v>787603492</v>
      </c>
      <c r="F11" s="15" t="n">
        <f aca="false">SUMIFS('BALANCE 2027'!$I:$I,'BALANCE 2027'!$C:$C,"TC")-(SUMIFS('BALANCE 2027'!$H:$H,'BALANCE 2027'!$C:$C,"TC"))</f>
        <v>826983667</v>
      </c>
      <c r="G11" s="15" t="n">
        <f aca="false">SUMIFS('BALANCE 2028'!$I:$I,'BALANCE 2028'!$C:$C,"TC")-(SUMIFS('BALANCE 2028'!$H:$H,'BALANCE 2028'!$C:$C,"TC"))</f>
        <v>868332850</v>
      </c>
      <c r="H11" s="15" t="n">
        <f aca="false">SUMIFS('BALANCE 2029'!$I:$I,'BALANCE 2029'!$C:$C,"TC")-(SUMIFS('BALANCE 2029'!$H:$H,'BALANCE 2029'!$C:$C,"TC"))</f>
        <v>911749493</v>
      </c>
    </row>
    <row r="12" customFormat="false" ht="15" hidden="false" customHeight="false" outlineLevel="0" collapsed="false">
      <c r="A12" s="13" t="s">
        <v>479</v>
      </c>
      <c r="B12" s="12" t="s">
        <v>480</v>
      </c>
      <c r="C12" s="15" t="n">
        <f aca="false">SUMIFS('BALANCE 2024'!$I:$I,'BALANCE 2024'!$C:$C,"TD")-(SUMIFS('BALANCE 2024'!$H:$H,'BALANCE 2024'!$C:$C,"TD"))</f>
        <v>0</v>
      </c>
      <c r="D12" s="15" t="n">
        <f aca="false">SUMIFS('BALANCE 2025'!$I:$I,'BALANCE 2025'!$C:$C,"TD")-(SUMIFS('BALANCE 2025'!$H:$H,'BALANCE 2025'!$C:$C,"TD"))</f>
        <v>0</v>
      </c>
      <c r="E12" s="15" t="n">
        <f aca="false">SUMIFS('BALANCE 2026'!$I:$I,'BALANCE 2026'!$C:$C,"TD")-(SUMIFS('BALANCE 2026'!$H:$H,'BALANCE 2026'!$C:$C,"TD"))</f>
        <v>0</v>
      </c>
      <c r="F12" s="15" t="n">
        <f aca="false">SUMIFS('BALANCE 2027'!$I:$I,'BALANCE 2027'!$C:$C,"TD")-(SUMIFS('BALANCE 2027'!$H:$H,'BALANCE 2027'!$C:$C,"TD"))</f>
        <v>0</v>
      </c>
      <c r="G12" s="15" t="n">
        <f aca="false">SUMIFS('BALANCE 2028'!$I:$I,'BALANCE 2028'!$C:$C,"TD")-(SUMIFS('BALANCE 2028'!$H:$H,'BALANCE 2028'!$C:$C,"TD"))</f>
        <v>0</v>
      </c>
      <c r="H12" s="15" t="n">
        <f aca="false">SUMIFS('BALANCE 2029'!$I:$I,'BALANCE 2029'!$C:$C,"TD")-(SUMIFS('BALANCE 2029'!$H:$H,'BALANCE 2029'!$C:$C,"TD"))</f>
        <v>0</v>
      </c>
    </row>
    <row r="13" customFormat="false" ht="15" hidden="false" customHeight="false" outlineLevel="0" collapsed="false">
      <c r="A13" s="35" t="s">
        <v>481</v>
      </c>
      <c r="B13" s="35" t="s">
        <v>482</v>
      </c>
      <c r="C13" s="36" t="n">
        <f aca="false">C6+C10+C11+C12</f>
        <v>701026695</v>
      </c>
      <c r="D13" s="36" t="n">
        <f aca="false">D6+D10+D11+D12</f>
        <v>750098564</v>
      </c>
      <c r="E13" s="36" t="n">
        <f aca="false">E6+E10+E11+E12</f>
        <v>787603492</v>
      </c>
      <c r="F13" s="36" t="n">
        <f aca="false">F6+F10+F11+F12</f>
        <v>826983667</v>
      </c>
      <c r="G13" s="36" t="n">
        <f aca="false">G6+G10+G11+G12</f>
        <v>868332850</v>
      </c>
      <c r="H13" s="36" t="n">
        <f aca="false">H6+H10+H11+H12</f>
        <v>911749493</v>
      </c>
      <c r="I13" s="45" t="n">
        <f aca="false">IF(OR(C13&lt;=0,H13&lt;=0),"",(H13/C13)^(1/5)-1)</f>
        <v>0.0539698677084928</v>
      </c>
    </row>
    <row r="14" customFormat="false" ht="15" hidden="false" customHeight="false" outlineLevel="0" collapsed="false">
      <c r="A14" s="13" t="s">
        <v>483</v>
      </c>
      <c r="B14" s="12" t="s">
        <v>484</v>
      </c>
      <c r="C14" s="15" t="n">
        <f aca="false">SUMIFS('BALANCE 2024'!$I:$I,'BALANCE 2024'!$C:$C,"TE")-(SUMIFS('BALANCE 2024'!$H:$H,'BALANCE 2024'!$C:$C,"TE"))</f>
        <v>0</v>
      </c>
      <c r="D14" s="15" t="n">
        <f aca="false">SUMIFS('BALANCE 2025'!$I:$I,'BALANCE 2025'!$C:$C,"TE")-(SUMIFS('BALANCE 2025'!$H:$H,'BALANCE 2025'!$C:$C,"TE"))</f>
        <v>0</v>
      </c>
      <c r="E14" s="15" t="n">
        <f aca="false">SUMIFS('BALANCE 2026'!$I:$I,'BALANCE 2026'!$C:$C,"TE")-(SUMIFS('BALANCE 2026'!$H:$H,'BALANCE 2026'!$C:$C,"TE"))</f>
        <v>0</v>
      </c>
      <c r="F14" s="15" t="n">
        <f aca="false">SUMIFS('BALANCE 2027'!$I:$I,'BALANCE 2027'!$C:$C,"TE")-(SUMIFS('BALANCE 2027'!$H:$H,'BALANCE 2027'!$C:$C,"TE"))</f>
        <v>0</v>
      </c>
      <c r="G14" s="15" t="n">
        <f aca="false">SUMIFS('BALANCE 2028'!$I:$I,'BALANCE 2028'!$C:$C,"TE")-(SUMIFS('BALANCE 2028'!$H:$H,'BALANCE 2028'!$C:$C,"TE"))</f>
        <v>0</v>
      </c>
      <c r="H14" s="15" t="n">
        <f aca="false">SUMIFS('BALANCE 2029'!$I:$I,'BALANCE 2029'!$C:$C,"TE")-(SUMIFS('BALANCE 2029'!$H:$H,'BALANCE 2029'!$C:$C,"TE"))</f>
        <v>0</v>
      </c>
    </row>
    <row r="15" customFormat="false" ht="15" hidden="false" customHeight="false" outlineLevel="0" collapsed="false">
      <c r="A15" s="13" t="s">
        <v>485</v>
      </c>
      <c r="B15" s="12" t="s">
        <v>486</v>
      </c>
      <c r="C15" s="15" t="n">
        <f aca="false">SUMIFS('BALANCE 2024'!$I:$I,'BALANCE 2024'!$C:$C,"TF")-(SUMIFS('BALANCE 2024'!$H:$H,'BALANCE 2024'!$C:$C,"TF"))</f>
        <v>0</v>
      </c>
      <c r="D15" s="15" t="n">
        <f aca="false">SUMIFS('BALANCE 2025'!$I:$I,'BALANCE 2025'!$C:$C,"TF")-(SUMIFS('BALANCE 2025'!$H:$H,'BALANCE 2025'!$C:$C,"TF"))</f>
        <v>0</v>
      </c>
      <c r="E15" s="15" t="n">
        <f aca="false">SUMIFS('BALANCE 2026'!$I:$I,'BALANCE 2026'!$C:$C,"TF")-(SUMIFS('BALANCE 2026'!$H:$H,'BALANCE 2026'!$C:$C,"TF"))</f>
        <v>0</v>
      </c>
      <c r="F15" s="15" t="n">
        <f aca="false">SUMIFS('BALANCE 2027'!$I:$I,'BALANCE 2027'!$C:$C,"TF")-(SUMIFS('BALANCE 2027'!$H:$H,'BALANCE 2027'!$C:$C,"TF"))</f>
        <v>0</v>
      </c>
      <c r="G15" s="15" t="n">
        <f aca="false">SUMIFS('BALANCE 2028'!$I:$I,'BALANCE 2028'!$C:$C,"TF")-(SUMIFS('BALANCE 2028'!$H:$H,'BALANCE 2028'!$C:$C,"TF"))</f>
        <v>0</v>
      </c>
      <c r="H15" s="15" t="n">
        <f aca="false">SUMIFS('BALANCE 2029'!$I:$I,'BALANCE 2029'!$C:$C,"TF")-(SUMIFS('BALANCE 2029'!$H:$H,'BALANCE 2029'!$C:$C,"TF"))</f>
        <v>0</v>
      </c>
    </row>
    <row r="16" customFormat="false" ht="15" hidden="false" customHeight="false" outlineLevel="0" collapsed="false">
      <c r="A16" s="13" t="s">
        <v>487</v>
      </c>
      <c r="B16" s="12" t="s">
        <v>488</v>
      </c>
      <c r="C16" s="15" t="n">
        <f aca="false">SUMIFS('BALANCE 2024'!$I:$I,'BALANCE 2024'!$C:$C,"TG")-(SUMIFS('BALANCE 2024'!$H:$H,'BALANCE 2024'!$C:$C,"TG"))</f>
        <v>0</v>
      </c>
      <c r="D16" s="15" t="n">
        <f aca="false">SUMIFS('BALANCE 2025'!$I:$I,'BALANCE 2025'!$C:$C,"TG")-(SUMIFS('BALANCE 2025'!$H:$H,'BALANCE 2025'!$C:$C,"TG"))</f>
        <v>0</v>
      </c>
      <c r="E16" s="15" t="n">
        <f aca="false">SUMIFS('BALANCE 2026'!$I:$I,'BALANCE 2026'!$C:$C,"TG")-(SUMIFS('BALANCE 2026'!$H:$H,'BALANCE 2026'!$C:$C,"TG"))</f>
        <v>0</v>
      </c>
      <c r="F16" s="15" t="n">
        <f aca="false">SUMIFS('BALANCE 2027'!$I:$I,'BALANCE 2027'!$C:$C,"TG")-(SUMIFS('BALANCE 2027'!$H:$H,'BALANCE 2027'!$C:$C,"TG"))</f>
        <v>0</v>
      </c>
      <c r="G16" s="15" t="n">
        <f aca="false">SUMIFS('BALANCE 2028'!$I:$I,'BALANCE 2028'!$C:$C,"TG")-(SUMIFS('BALANCE 2028'!$H:$H,'BALANCE 2028'!$C:$C,"TG"))</f>
        <v>0</v>
      </c>
      <c r="H16" s="15" t="n">
        <f aca="false">SUMIFS('BALANCE 2029'!$I:$I,'BALANCE 2029'!$C:$C,"TG")-(SUMIFS('BALANCE 2029'!$H:$H,'BALANCE 2029'!$C:$C,"TG"))</f>
        <v>0</v>
      </c>
    </row>
    <row r="17" customFormat="false" ht="15" hidden="false" customHeight="false" outlineLevel="0" collapsed="false">
      <c r="A17" s="13" t="s">
        <v>489</v>
      </c>
      <c r="B17" s="12" t="s">
        <v>490</v>
      </c>
      <c r="C17" s="15" t="n">
        <f aca="false">SUMIFS('BALANCE 2024'!$I:$I,'BALANCE 2024'!$C:$C,"TH")-(SUMIFS('BALANCE 2024'!$H:$H,'BALANCE 2024'!$C:$C,"TH"))</f>
        <v>0</v>
      </c>
      <c r="D17" s="15" t="n">
        <f aca="false">SUMIFS('BALANCE 2025'!$I:$I,'BALANCE 2025'!$C:$C,"TH")-(SUMIFS('BALANCE 2025'!$H:$H,'BALANCE 2025'!$C:$C,"TH"))</f>
        <v>0</v>
      </c>
      <c r="E17" s="15" t="n">
        <f aca="false">SUMIFS('BALANCE 2026'!$I:$I,'BALANCE 2026'!$C:$C,"TH")-(SUMIFS('BALANCE 2026'!$H:$H,'BALANCE 2026'!$C:$C,"TH"))</f>
        <v>0</v>
      </c>
      <c r="F17" s="15" t="n">
        <f aca="false">SUMIFS('BALANCE 2027'!$I:$I,'BALANCE 2027'!$C:$C,"TH")-(SUMIFS('BALANCE 2027'!$H:$H,'BALANCE 2027'!$C:$C,"TH"))</f>
        <v>0</v>
      </c>
      <c r="G17" s="15" t="n">
        <f aca="false">SUMIFS('BALANCE 2028'!$I:$I,'BALANCE 2028'!$C:$C,"TH")-(SUMIFS('BALANCE 2028'!$H:$H,'BALANCE 2028'!$C:$C,"TH"))</f>
        <v>0</v>
      </c>
      <c r="H17" s="15" t="n">
        <f aca="false">SUMIFS('BALANCE 2029'!$I:$I,'BALANCE 2029'!$C:$C,"TH")-(SUMIFS('BALANCE 2029'!$H:$H,'BALANCE 2029'!$C:$C,"TH"))</f>
        <v>0</v>
      </c>
    </row>
    <row r="18" customFormat="false" ht="15" hidden="false" customHeight="false" outlineLevel="0" collapsed="false">
      <c r="A18" s="13" t="s">
        <v>491</v>
      </c>
      <c r="B18" s="12" t="s">
        <v>492</v>
      </c>
      <c r="C18" s="15" t="n">
        <f aca="false">SUMIFS('BALANCE 2024'!$I:$I,'BALANCE 2024'!$C:$C,"TI")-(SUMIFS('BALANCE 2024'!$H:$H,'BALANCE 2024'!$C:$C,"TI"))</f>
        <v>0</v>
      </c>
      <c r="D18" s="15" t="n">
        <f aca="false">SUMIFS('BALANCE 2025'!$I:$I,'BALANCE 2025'!$C:$C,"TI")-(SUMIFS('BALANCE 2025'!$H:$H,'BALANCE 2025'!$C:$C,"TI"))</f>
        <v>0</v>
      </c>
      <c r="E18" s="15" t="n">
        <f aca="false">SUMIFS('BALANCE 2026'!$I:$I,'BALANCE 2026'!$C:$C,"TI")-(SUMIFS('BALANCE 2026'!$H:$H,'BALANCE 2026'!$C:$C,"TI"))</f>
        <v>0</v>
      </c>
      <c r="F18" s="15" t="n">
        <f aca="false">SUMIFS('BALANCE 2027'!$I:$I,'BALANCE 2027'!$C:$C,"TI")-(SUMIFS('BALANCE 2027'!$H:$H,'BALANCE 2027'!$C:$C,"TI"))</f>
        <v>0</v>
      </c>
      <c r="G18" s="15" t="n">
        <f aca="false">SUMIFS('BALANCE 2028'!$I:$I,'BALANCE 2028'!$C:$C,"TI")-(SUMIFS('BALANCE 2028'!$H:$H,'BALANCE 2028'!$C:$C,"TI"))</f>
        <v>0</v>
      </c>
      <c r="H18" s="15" t="n">
        <f aca="false">SUMIFS('BALANCE 2029'!$I:$I,'BALANCE 2029'!$C:$C,"TI")-(SUMIFS('BALANCE 2029'!$H:$H,'BALANCE 2029'!$C:$C,"TI"))</f>
        <v>0</v>
      </c>
    </row>
    <row r="19" customFormat="false" ht="15" hidden="false" customHeight="false" outlineLevel="0" collapsed="false">
      <c r="A19" s="13" t="s">
        <v>493</v>
      </c>
      <c r="B19" s="12" t="s">
        <v>494</v>
      </c>
      <c r="C19" s="15" t="n">
        <f aca="false">SUMIFS('BALANCE 2024'!$I:$I,'BALANCE 2024'!$C:$C,"RC")-(SUMIFS('BALANCE 2024'!$H:$H,'BALANCE 2024'!$C:$C,"RC"))</f>
        <v>0</v>
      </c>
      <c r="D19" s="15" t="n">
        <f aca="false">SUMIFS('BALANCE 2025'!$I:$I,'BALANCE 2025'!$C:$C,"RC")-(SUMIFS('BALANCE 2025'!$H:$H,'BALANCE 2025'!$C:$C,"RC"))</f>
        <v>0</v>
      </c>
      <c r="E19" s="15" t="n">
        <f aca="false">SUMIFS('BALANCE 2026'!$I:$I,'BALANCE 2026'!$C:$C,"RC")-(SUMIFS('BALANCE 2026'!$H:$H,'BALANCE 2026'!$C:$C,"RC"))</f>
        <v>0</v>
      </c>
      <c r="F19" s="15" t="n">
        <f aca="false">SUMIFS('BALANCE 2027'!$I:$I,'BALANCE 2027'!$C:$C,"RC")-(SUMIFS('BALANCE 2027'!$H:$H,'BALANCE 2027'!$C:$C,"RC"))</f>
        <v>0</v>
      </c>
      <c r="G19" s="15" t="n">
        <f aca="false">SUMIFS('BALANCE 2028'!$I:$I,'BALANCE 2028'!$C:$C,"RC")-(SUMIFS('BALANCE 2028'!$H:$H,'BALANCE 2028'!$C:$C,"RC"))</f>
        <v>0</v>
      </c>
      <c r="H19" s="15" t="n">
        <f aca="false">SUMIFS('BALANCE 2029'!$I:$I,'BALANCE 2029'!$C:$C,"RC")-(SUMIFS('BALANCE 2029'!$H:$H,'BALANCE 2029'!$C:$C,"RC"))</f>
        <v>0</v>
      </c>
    </row>
    <row r="20" customFormat="false" ht="15" hidden="false" customHeight="false" outlineLevel="0" collapsed="false">
      <c r="A20" s="13" t="s">
        <v>495</v>
      </c>
      <c r="B20" s="12" t="s">
        <v>496</v>
      </c>
      <c r="C20" s="15" t="n">
        <f aca="false">SUMIFS('BALANCE 2024'!$I:$I,'BALANCE 2024'!$C:$C,"RD")-(SUMIFS('BALANCE 2024'!$H:$H,'BALANCE 2024'!$C:$C,"RD"))</f>
        <v>0</v>
      </c>
      <c r="D20" s="15" t="n">
        <f aca="false">SUMIFS('BALANCE 2025'!$I:$I,'BALANCE 2025'!$C:$C,"RD")-(SUMIFS('BALANCE 2025'!$H:$H,'BALANCE 2025'!$C:$C,"RD"))</f>
        <v>0</v>
      </c>
      <c r="E20" s="15" t="n">
        <f aca="false">SUMIFS('BALANCE 2026'!$I:$I,'BALANCE 2026'!$C:$C,"RD")-(SUMIFS('BALANCE 2026'!$H:$H,'BALANCE 2026'!$C:$C,"RD"))</f>
        <v>0</v>
      </c>
      <c r="F20" s="15" t="n">
        <f aca="false">SUMIFS('BALANCE 2027'!$I:$I,'BALANCE 2027'!$C:$C,"RD")-(SUMIFS('BALANCE 2027'!$H:$H,'BALANCE 2027'!$C:$C,"RD"))</f>
        <v>0</v>
      </c>
      <c r="G20" s="15" t="n">
        <f aca="false">SUMIFS('BALANCE 2028'!$I:$I,'BALANCE 2028'!$C:$C,"RD")-(SUMIFS('BALANCE 2028'!$H:$H,'BALANCE 2028'!$C:$C,"RD"))</f>
        <v>0</v>
      </c>
      <c r="H20" s="15" t="n">
        <f aca="false">SUMIFS('BALANCE 2029'!$I:$I,'BALANCE 2029'!$C:$C,"RD")-(SUMIFS('BALANCE 2029'!$H:$H,'BALANCE 2029'!$C:$C,"RD"))</f>
        <v>0</v>
      </c>
    </row>
    <row r="21" customFormat="false" ht="15" hidden="false" customHeight="false" outlineLevel="0" collapsed="false">
      <c r="A21" s="13" t="s">
        <v>307</v>
      </c>
      <c r="B21" s="12" t="s">
        <v>497</v>
      </c>
      <c r="C21" s="15" t="n">
        <f aca="false">SUMIFS('BALANCE 2024'!$I:$I,'BALANCE 2024'!$C:$C,"RE")-(SUMIFS('BALANCE 2024'!$H:$H,'BALANCE 2024'!$C:$C,"RE"))</f>
        <v>-278141464</v>
      </c>
      <c r="D21" s="15" t="n">
        <f aca="false">SUMIFS('BALANCE 2025'!$I:$I,'BALANCE 2025'!$C:$C,"RE")-(SUMIFS('BALANCE 2025'!$H:$H,'BALANCE 2025'!$C:$C,"RE"))</f>
        <v>-297639110</v>
      </c>
      <c r="E21" s="15" t="n">
        <f aca="false">SUMIFS('BALANCE 2026'!$I:$I,'BALANCE 2026'!$C:$C,"RE")-(SUMIFS('BALANCE 2026'!$H:$H,'BALANCE 2026'!$C:$C,"RE"))</f>
        <v>-312521066</v>
      </c>
      <c r="F21" s="15" t="n">
        <f aca="false">SUMIFS('BALANCE 2027'!$I:$I,'BALANCE 2027'!$C:$C,"RE")-(SUMIFS('BALANCE 2027'!$H:$H,'BALANCE 2027'!$C:$C,"RE"))</f>
        <v>-328147119</v>
      </c>
      <c r="G21" s="15" t="n">
        <f aca="false">SUMIFS('BALANCE 2028'!$I:$I,'BALANCE 2028'!$C:$C,"RE")-(SUMIFS('BALANCE 2028'!$H:$H,'BALANCE 2028'!$C:$C,"RE"))</f>
        <v>-344554475</v>
      </c>
      <c r="H21" s="15" t="n">
        <f aca="false">SUMIFS('BALANCE 2029'!$I:$I,'BALANCE 2029'!$C:$C,"RE")-(SUMIFS('BALANCE 2029'!$H:$H,'BALANCE 2029'!$C:$C,"RE"))</f>
        <v>-361782199</v>
      </c>
    </row>
    <row r="22" customFormat="false" ht="15" hidden="false" customHeight="false" outlineLevel="0" collapsed="false">
      <c r="A22" s="13" t="s">
        <v>498</v>
      </c>
      <c r="B22" s="12" t="s">
        <v>499</v>
      </c>
      <c r="C22" s="15" t="n">
        <f aca="false">SUMIFS('BALANCE 2024'!$I:$I,'BALANCE 2024'!$C:$C,"RF")-(SUMIFS('BALANCE 2024'!$H:$H,'BALANCE 2024'!$C:$C,"RF"))</f>
        <v>0</v>
      </c>
      <c r="D22" s="15" t="n">
        <f aca="false">SUMIFS('BALANCE 2025'!$I:$I,'BALANCE 2025'!$C:$C,"RF")-(SUMIFS('BALANCE 2025'!$H:$H,'BALANCE 2025'!$C:$C,"RF"))</f>
        <v>0</v>
      </c>
      <c r="E22" s="15" t="n">
        <f aca="false">SUMIFS('BALANCE 2026'!$I:$I,'BALANCE 2026'!$C:$C,"RF")-(SUMIFS('BALANCE 2026'!$H:$H,'BALANCE 2026'!$C:$C,"RF"))</f>
        <v>0</v>
      </c>
      <c r="F22" s="15" t="n">
        <f aca="false">SUMIFS('BALANCE 2027'!$I:$I,'BALANCE 2027'!$C:$C,"RF")-(SUMIFS('BALANCE 2027'!$H:$H,'BALANCE 2027'!$C:$C,"RF"))</f>
        <v>0</v>
      </c>
      <c r="G22" s="15" t="n">
        <f aca="false">SUMIFS('BALANCE 2028'!$I:$I,'BALANCE 2028'!$C:$C,"RF")-(SUMIFS('BALANCE 2028'!$H:$H,'BALANCE 2028'!$C:$C,"RF"))</f>
        <v>0</v>
      </c>
      <c r="H22" s="15" t="n">
        <f aca="false">SUMIFS('BALANCE 2029'!$I:$I,'BALANCE 2029'!$C:$C,"RF")-(SUMIFS('BALANCE 2029'!$H:$H,'BALANCE 2029'!$C:$C,"RF"))</f>
        <v>0</v>
      </c>
    </row>
    <row r="23" customFormat="false" ht="15" hidden="false" customHeight="false" outlineLevel="0" collapsed="false">
      <c r="A23" s="13" t="s">
        <v>316</v>
      </c>
      <c r="B23" s="12" t="s">
        <v>23</v>
      </c>
      <c r="C23" s="15" t="n">
        <f aca="false">SUMIFS('BALANCE 2024'!$I:$I,'BALANCE 2024'!$C:$C,"RG")-(SUMIFS('BALANCE 2024'!$H:$H,'BALANCE 2024'!$C:$C,"RG"))</f>
        <v>-3820098</v>
      </c>
      <c r="D23" s="15" t="n">
        <f aca="false">SUMIFS('BALANCE 2025'!$I:$I,'BALANCE 2025'!$C:$C,"RG")-(SUMIFS('BALANCE 2025'!$H:$H,'BALANCE 2025'!$C:$C,"RG"))</f>
        <v>-4050532</v>
      </c>
      <c r="E23" s="15" t="n">
        <f aca="false">SUMIFS('BALANCE 2026'!$I:$I,'BALANCE 2026'!$C:$C,"RG")-(SUMIFS('BALANCE 2026'!$H:$H,'BALANCE 2026'!$C:$C,"RG"))</f>
        <v>-4253059</v>
      </c>
      <c r="F23" s="15" t="n">
        <f aca="false">SUMIFS('BALANCE 2027'!$I:$I,'BALANCE 2027'!$C:$C,"RG")-(SUMIFS('BALANCE 2027'!$H:$H,'BALANCE 2027'!$C:$C,"RG"))</f>
        <v>-4465712</v>
      </c>
      <c r="G23" s="15" t="n">
        <f aca="false">SUMIFS('BALANCE 2028'!$I:$I,'BALANCE 2028'!$C:$C,"RG")-(SUMIFS('BALANCE 2028'!$H:$H,'BALANCE 2028'!$C:$C,"RG"))</f>
        <v>-4688997</v>
      </c>
      <c r="H23" s="15" t="n">
        <f aca="false">SUMIFS('BALANCE 2029'!$I:$I,'BALANCE 2029'!$C:$C,"RG")-(SUMIFS('BALANCE 2029'!$H:$H,'BALANCE 2029'!$C:$C,"RG"))</f>
        <v>-4923447</v>
      </c>
    </row>
    <row r="24" customFormat="false" ht="15" hidden="false" customHeight="false" outlineLevel="0" collapsed="false">
      <c r="A24" s="13" t="s">
        <v>320</v>
      </c>
      <c r="B24" s="12" t="s">
        <v>25</v>
      </c>
      <c r="C24" s="15" t="n">
        <f aca="false">SUMIFS('BALANCE 2024'!$I:$I,'BALANCE 2024'!$C:$C,"RH")-(SUMIFS('BALANCE 2024'!$H:$H,'BALANCE 2024'!$C:$C,"RH"))</f>
        <v>-106769083</v>
      </c>
      <c r="D24" s="15" t="n">
        <f aca="false">SUMIFS('BALANCE 2025'!$I:$I,'BALANCE 2025'!$C:$C,"RH")-(SUMIFS('BALANCE 2025'!$H:$H,'BALANCE 2025'!$C:$C,"RH"))</f>
        <v>-114240011</v>
      </c>
      <c r="E24" s="15" t="n">
        <f aca="false">SUMIFS('BALANCE 2026'!$I:$I,'BALANCE 2026'!$C:$C,"RH")-(SUMIFS('BALANCE 2026'!$H:$H,'BALANCE 2026'!$C:$C,"RH"))</f>
        <v>-119952012</v>
      </c>
      <c r="F24" s="15" t="n">
        <f aca="false">SUMIFS('BALANCE 2027'!$I:$I,'BALANCE 2027'!$C:$C,"RH")-(SUMIFS('BALANCE 2027'!$H:$H,'BALANCE 2027'!$C:$C,"RH"))</f>
        <v>-125949612</v>
      </c>
      <c r="G24" s="15" t="n">
        <f aca="false">SUMIFS('BALANCE 2028'!$I:$I,'BALANCE 2028'!$C:$C,"RH")-(SUMIFS('BALANCE 2028'!$H:$H,'BALANCE 2028'!$C:$C,"RH"))</f>
        <v>-132247093</v>
      </c>
      <c r="H24" s="15" t="n">
        <f aca="false">SUMIFS('BALANCE 2029'!$I:$I,'BALANCE 2029'!$C:$C,"RH")-(SUMIFS('BALANCE 2029'!$H:$H,'BALANCE 2029'!$C:$C,"RH"))</f>
        <v>-138859448</v>
      </c>
    </row>
    <row r="25" customFormat="false" ht="15" hidden="false" customHeight="false" outlineLevel="0" collapsed="false">
      <c r="A25" s="13" t="s">
        <v>330</v>
      </c>
      <c r="B25" s="12" t="s">
        <v>27</v>
      </c>
      <c r="C25" s="15" t="n">
        <f aca="false">SUMIFS('BALANCE 2024'!$I:$I,'BALANCE 2024'!$C:$C,"RI")-(SUMIFS('BALANCE 2024'!$H:$H,'BALANCE 2024'!$C:$C,"RI"))</f>
        <v>-14869670</v>
      </c>
      <c r="D25" s="15" t="n">
        <f aca="false">SUMIFS('BALANCE 2025'!$I:$I,'BALANCE 2025'!$C:$C,"RI")-(SUMIFS('BALANCE 2025'!$H:$H,'BALANCE 2025'!$C:$C,"RI"))</f>
        <v>-15902090</v>
      </c>
      <c r="E25" s="15" t="n">
        <f aca="false">SUMIFS('BALANCE 2026'!$I:$I,'BALANCE 2026'!$C:$C,"RI")-(SUMIFS('BALANCE 2026'!$H:$H,'BALANCE 2026'!$C:$C,"RI"))</f>
        <v>-16697194</v>
      </c>
      <c r="F25" s="15" t="n">
        <f aca="false">SUMIFS('BALANCE 2027'!$I:$I,'BALANCE 2027'!$C:$C,"RI")-(SUMIFS('BALANCE 2027'!$H:$H,'BALANCE 2027'!$C:$C,"RI"))</f>
        <v>-17532054</v>
      </c>
      <c r="G25" s="15" t="n">
        <f aca="false">SUMIFS('BALANCE 2028'!$I:$I,'BALANCE 2028'!$C:$C,"RI")-(SUMIFS('BALANCE 2028'!$H:$H,'BALANCE 2028'!$C:$C,"RI"))</f>
        <v>-18408656</v>
      </c>
      <c r="H25" s="15" t="n">
        <f aca="false">SUMIFS('BALANCE 2029'!$I:$I,'BALANCE 2029'!$C:$C,"RI")-(SUMIFS('BALANCE 2029'!$H:$H,'BALANCE 2029'!$C:$C,"RI"))</f>
        <v>-19329089</v>
      </c>
    </row>
    <row r="26" customFormat="false" ht="15" hidden="false" customHeight="false" outlineLevel="0" collapsed="false">
      <c r="A26" s="13" t="s">
        <v>340</v>
      </c>
      <c r="B26" s="12" t="s">
        <v>29</v>
      </c>
      <c r="C26" s="15" t="n">
        <f aca="false">SUMIFS('BALANCE 2024'!$I:$I,'BALANCE 2024'!$C:$C,"RJ")-(SUMIFS('BALANCE 2024'!$H:$H,'BALANCE 2024'!$C:$C,"RJ"))</f>
        <v>-1316731</v>
      </c>
      <c r="D26" s="15" t="n">
        <f aca="false">SUMIFS('BALANCE 2025'!$I:$I,'BALANCE 2025'!$C:$C,"RJ")-(SUMIFS('BALANCE 2025'!$H:$H,'BALANCE 2025'!$C:$C,"RJ"))</f>
        <v>-1425187</v>
      </c>
      <c r="E26" s="15" t="n">
        <f aca="false">SUMIFS('BALANCE 2026'!$I:$I,'BALANCE 2026'!$C:$C,"RJ")-(SUMIFS('BALANCE 2026'!$H:$H,'BALANCE 2026'!$C:$C,"RJ"))</f>
        <v>-1496447</v>
      </c>
      <c r="F26" s="15" t="n">
        <f aca="false">SUMIFS('BALANCE 2027'!$I:$I,'BALANCE 2027'!$C:$C,"RJ")-(SUMIFS('BALANCE 2027'!$H:$H,'BALANCE 2027'!$C:$C,"RJ"))</f>
        <v>-1571269</v>
      </c>
      <c r="G26" s="15" t="n">
        <f aca="false">SUMIFS('BALANCE 2028'!$I:$I,'BALANCE 2028'!$C:$C,"RJ")-(SUMIFS('BALANCE 2028'!$H:$H,'BALANCE 2028'!$C:$C,"RJ"))</f>
        <v>-1649832</v>
      </c>
      <c r="H26" s="15" t="n">
        <f aca="false">SUMIFS('BALANCE 2029'!$I:$I,'BALANCE 2029'!$C:$C,"RJ")-(SUMIFS('BALANCE 2029'!$H:$H,'BALANCE 2029'!$C:$C,"RJ"))</f>
        <v>-1732324</v>
      </c>
    </row>
    <row r="27" customFormat="false" ht="15" hidden="false" customHeight="false" outlineLevel="0" collapsed="false">
      <c r="A27" s="35" t="s">
        <v>500</v>
      </c>
      <c r="B27" s="35" t="s">
        <v>501</v>
      </c>
      <c r="C27" s="36" t="n">
        <f aca="false">C13+C7+C8+C14+C15+C16+C17+C18+C19+C20+C21+C22+C23+C24+C25+C26</f>
        <v>296109649</v>
      </c>
      <c r="D27" s="36" t="n">
        <f aca="false">D13+D7+D8+D14+D15+D16+D17+D18+D19+D20+D21+D22+D23+D24+D25+D26</f>
        <v>316841634</v>
      </c>
      <c r="E27" s="36" t="n">
        <f aca="false">E13+E7+E8+E14+E15+E16+E17+E18+E19+E20+E21+E22+E23+E24+E25+E26</f>
        <v>332683714</v>
      </c>
      <c r="F27" s="36" t="n">
        <f aca="false">F13+F7+F8+F14+F15+F16+F17+F18+F19+F20+F21+F22+F23+F24+F25+F26</f>
        <v>349317901</v>
      </c>
      <c r="G27" s="36" t="n">
        <f aca="false">G13+G7+G8+G14+G15+G16+G17+G18+G19+G20+G21+G22+G23+G24+G25+G26</f>
        <v>366783797</v>
      </c>
      <c r="H27" s="36" t="n">
        <f aca="false">H13+H7+H8+H14+H15+H16+H17+H18+H19+H20+H21+H22+H23+H24+H25+H26</f>
        <v>385122986</v>
      </c>
      <c r="I27" s="34"/>
    </row>
    <row r="28" customFormat="false" ht="15" hidden="false" customHeight="false" outlineLevel="0" collapsed="false">
      <c r="A28" s="13" t="s">
        <v>342</v>
      </c>
      <c r="B28" s="12" t="s">
        <v>31</v>
      </c>
      <c r="C28" s="15" t="n">
        <f aca="false">SUMIFS('BALANCE 2024'!$I:$I,'BALANCE 2024'!$C:$C,"RK")-(SUMIFS('BALANCE 2024'!$H:$H,'BALANCE 2024'!$C:$C,"RK"))</f>
        <v>-106025515</v>
      </c>
      <c r="D28" s="15" t="n">
        <f aca="false">SUMIFS('BALANCE 2025'!$I:$I,'BALANCE 2025'!$C:$C,"RK")-(SUMIFS('BALANCE 2025'!$H:$H,'BALANCE 2025'!$C:$C,"RK"))</f>
        <v>-113414903</v>
      </c>
      <c r="E28" s="15" t="n">
        <f aca="false">SUMIFS('BALANCE 2026'!$I:$I,'BALANCE 2026'!$C:$C,"RK")-(SUMIFS('BALANCE 2026'!$H:$H,'BALANCE 2026'!$C:$C,"RK"))</f>
        <v>-119085648</v>
      </c>
      <c r="F28" s="15" t="n">
        <f aca="false">SUMIFS('BALANCE 2027'!$I:$I,'BALANCE 2027'!$C:$C,"RK")-(SUMIFS('BALANCE 2027'!$H:$H,'BALANCE 2027'!$C:$C,"RK"))</f>
        <v>-125039930</v>
      </c>
      <c r="G28" s="15" t="n">
        <f aca="false">SUMIFS('BALANCE 2028'!$I:$I,'BALANCE 2028'!$C:$C,"RK")-(SUMIFS('BALANCE 2028'!$H:$H,'BALANCE 2028'!$C:$C,"RK"))</f>
        <v>-131291927</v>
      </c>
      <c r="H28" s="15" t="n">
        <f aca="false">SUMIFS('BALANCE 2029'!$I:$I,'BALANCE 2029'!$C:$C,"RK")-(SUMIFS('BALANCE 2029'!$H:$H,'BALANCE 2029'!$C:$C,"RK"))</f>
        <v>-137856523</v>
      </c>
    </row>
    <row r="29" customFormat="false" ht="15" hidden="false" customHeight="false" outlineLevel="0" collapsed="false">
      <c r="A29" s="35" t="s">
        <v>502</v>
      </c>
      <c r="B29" s="35" t="s">
        <v>503</v>
      </c>
      <c r="C29" s="36" t="n">
        <f aca="false">C27+C28</f>
        <v>190084134</v>
      </c>
      <c r="D29" s="36" t="n">
        <f aca="false">D27+D28</f>
        <v>203426731</v>
      </c>
      <c r="E29" s="36" t="n">
        <f aca="false">E27+E28</f>
        <v>213598066</v>
      </c>
      <c r="F29" s="36" t="n">
        <f aca="false">F27+F28</f>
        <v>224277971</v>
      </c>
      <c r="G29" s="36" t="n">
        <f aca="false">G27+G28</f>
        <v>235491870</v>
      </c>
      <c r="H29" s="36" t="n">
        <f aca="false">H27+H28</f>
        <v>247266463</v>
      </c>
      <c r="I29" s="45" t="n">
        <f aca="false">IF(OR(C29&lt;=0,H29&lt;=0),"",(H29/C29)^(1/5)-1)</f>
        <v>0.0540079087068426</v>
      </c>
    </row>
    <row r="30" customFormat="false" ht="15" hidden="false" customHeight="false" outlineLevel="0" collapsed="false">
      <c r="A30" s="13" t="s">
        <v>504</v>
      </c>
      <c r="B30" s="12" t="s">
        <v>505</v>
      </c>
      <c r="C30" s="15" t="n">
        <f aca="false">SUMIFS('BALANCE 2024'!$I:$I,'BALANCE 2024'!$C:$C,"TJ")-(SUMIFS('BALANCE 2024'!$H:$H,'BALANCE 2024'!$C:$C,"TJ"))</f>
        <v>0</v>
      </c>
      <c r="D30" s="15" t="n">
        <f aca="false">SUMIFS('BALANCE 2025'!$I:$I,'BALANCE 2025'!$C:$C,"TJ")-(SUMIFS('BALANCE 2025'!$H:$H,'BALANCE 2025'!$C:$C,"TJ"))</f>
        <v>0</v>
      </c>
      <c r="E30" s="15" t="n">
        <f aca="false">SUMIFS('BALANCE 2026'!$I:$I,'BALANCE 2026'!$C:$C,"TJ")-(SUMIFS('BALANCE 2026'!$H:$H,'BALANCE 2026'!$C:$C,"TJ"))</f>
        <v>0</v>
      </c>
      <c r="F30" s="15" t="n">
        <f aca="false">SUMIFS('BALANCE 2027'!$I:$I,'BALANCE 2027'!$C:$C,"TJ")-(SUMIFS('BALANCE 2027'!$H:$H,'BALANCE 2027'!$C:$C,"TJ"))</f>
        <v>0</v>
      </c>
      <c r="G30" s="15" t="n">
        <f aca="false">SUMIFS('BALANCE 2028'!$I:$I,'BALANCE 2028'!$C:$C,"TJ")-(SUMIFS('BALANCE 2028'!$H:$H,'BALANCE 2028'!$C:$C,"TJ"))</f>
        <v>0</v>
      </c>
      <c r="H30" s="15" t="n">
        <f aca="false">SUMIFS('BALANCE 2029'!$I:$I,'BALANCE 2029'!$C:$C,"TJ")-(SUMIFS('BALANCE 2029'!$H:$H,'BALANCE 2029'!$C:$C,"TJ"))</f>
        <v>0</v>
      </c>
    </row>
    <row r="31" customFormat="false" ht="15" hidden="false" customHeight="false" outlineLevel="0" collapsed="false">
      <c r="A31" s="13" t="s">
        <v>352</v>
      </c>
      <c r="B31" s="12" t="s">
        <v>506</v>
      </c>
      <c r="C31" s="15" t="n">
        <f aca="false">SUMIFS('BALANCE 2024'!$I:$I,'BALANCE 2024'!$C:$C,"RL")-(SUMIFS('BALANCE 2024'!$H:$H,'BALANCE 2024'!$C:$C,"RL"))</f>
        <v>-85892595</v>
      </c>
      <c r="D31" s="15" t="n">
        <f aca="false">SUMIFS('BALANCE 2025'!$I:$I,'BALANCE 2025'!$C:$C,"RL")-(SUMIFS('BALANCE 2025'!$H:$H,'BALANCE 2025'!$C:$C,"RL"))</f>
        <v>-77905456</v>
      </c>
      <c r="E31" s="15" t="n">
        <f aca="false">SUMIFS('BALANCE 2026'!$I:$I,'BALANCE 2026'!$C:$C,"RL")-(SUMIFS('BALANCE 2026'!$H:$H,'BALANCE 2026'!$C:$C,"RL"))</f>
        <v>-99764624</v>
      </c>
      <c r="F31" s="15" t="n">
        <f aca="false">SUMIFS('BALANCE 2027'!$I:$I,'BALANCE 2027'!$C:$C,"RL")-(SUMIFS('BALANCE 2027'!$H:$H,'BALANCE 2027'!$C:$C,"RL"))</f>
        <v>-103155451</v>
      </c>
      <c r="G31" s="15" t="n">
        <f aca="false">SUMIFS('BALANCE 2028'!$I:$I,'BALANCE 2028'!$C:$C,"RL")-(SUMIFS('BALANCE 2028'!$H:$H,'BALANCE 2028'!$C:$C,"RL"))</f>
        <v>-101824680</v>
      </c>
      <c r="H31" s="15" t="n">
        <f aca="false">SUMIFS('BALANCE 2029'!$I:$I,'BALANCE 2029'!$C:$C,"RL")-(SUMIFS('BALANCE 2029'!$H:$H,'BALANCE 2029'!$C:$C,"RL"))</f>
        <v>-104008199</v>
      </c>
    </row>
    <row r="32" customFormat="false" ht="15" hidden="false" customHeight="false" outlineLevel="0" collapsed="false">
      <c r="A32" s="35" t="s">
        <v>507</v>
      </c>
      <c r="B32" s="35" t="s">
        <v>508</v>
      </c>
      <c r="C32" s="36" t="n">
        <f aca="false">C29+C30+C31</f>
        <v>104191539</v>
      </c>
      <c r="D32" s="36" t="n">
        <f aca="false">D29+D30+D31</f>
        <v>125521275</v>
      </c>
      <c r="E32" s="36" t="n">
        <f aca="false">E29+E30+E31</f>
        <v>113833442</v>
      </c>
      <c r="F32" s="36" t="n">
        <f aca="false">F29+F30+F31</f>
        <v>121122520</v>
      </c>
      <c r="G32" s="36" t="n">
        <f aca="false">G29+G30+G31</f>
        <v>133667190</v>
      </c>
      <c r="H32" s="36" t="n">
        <f aca="false">H29+H30+H31</f>
        <v>143258264</v>
      </c>
      <c r="I32" s="34"/>
    </row>
    <row r="33" customFormat="false" ht="15" hidden="false" customHeight="false" outlineLevel="0" collapsed="false">
      <c r="A33" s="13" t="s">
        <v>360</v>
      </c>
      <c r="B33" s="12" t="s">
        <v>509</v>
      </c>
      <c r="C33" s="15" t="n">
        <f aca="false">SUMIFS('BALANCE 2024'!$I:$I,'BALANCE 2024'!$C:$C,"TK")-(SUMIFS('BALANCE 2024'!$H:$H,'BALANCE 2024'!$C:$C,"TK"))</f>
        <v>848594</v>
      </c>
      <c r="D33" s="15" t="n">
        <f aca="false">SUMIFS('BALANCE 2025'!$I:$I,'BALANCE 2025'!$C:$C,"TK")-(SUMIFS('BALANCE 2025'!$H:$H,'BALANCE 2025'!$C:$C,"TK"))</f>
        <v>848594</v>
      </c>
      <c r="E33" s="15" t="n">
        <f aca="false">SUMIFS('BALANCE 2026'!$I:$I,'BALANCE 2026'!$C:$C,"TK")-(SUMIFS('BALANCE 2026'!$H:$H,'BALANCE 2026'!$C:$C,"TK"))</f>
        <v>848594</v>
      </c>
      <c r="F33" s="15" t="n">
        <f aca="false">SUMIFS('BALANCE 2027'!$I:$I,'BALANCE 2027'!$C:$C,"TK")-(SUMIFS('BALANCE 2027'!$H:$H,'BALANCE 2027'!$C:$C,"TK"))</f>
        <v>848594</v>
      </c>
      <c r="G33" s="15" t="n">
        <f aca="false">SUMIFS('BALANCE 2028'!$I:$I,'BALANCE 2028'!$C:$C,"TK")-(SUMIFS('BALANCE 2028'!$H:$H,'BALANCE 2028'!$C:$C,"TK"))</f>
        <v>848594</v>
      </c>
      <c r="H33" s="15" t="n">
        <f aca="false">SUMIFS('BALANCE 2029'!$I:$I,'BALANCE 2029'!$C:$C,"TK")-(SUMIFS('BALANCE 2029'!$H:$H,'BALANCE 2029'!$C:$C,"TK"))</f>
        <v>848594</v>
      </c>
    </row>
    <row r="34" customFormat="false" ht="15" hidden="false" customHeight="false" outlineLevel="0" collapsed="false">
      <c r="A34" s="13" t="s">
        <v>510</v>
      </c>
      <c r="B34" s="12" t="s">
        <v>511</v>
      </c>
      <c r="C34" s="15" t="n">
        <f aca="false">SUMIFS('BALANCE 2024'!$I:$I,'BALANCE 2024'!$C:$C,"TL")-(SUMIFS('BALANCE 2024'!$H:$H,'BALANCE 2024'!$C:$C,"TL"))</f>
        <v>0</v>
      </c>
      <c r="D34" s="15" t="n">
        <f aca="false">SUMIFS('BALANCE 2025'!$I:$I,'BALANCE 2025'!$C:$C,"TL")-(SUMIFS('BALANCE 2025'!$H:$H,'BALANCE 2025'!$C:$C,"TL"))</f>
        <v>0</v>
      </c>
      <c r="E34" s="15" t="n">
        <f aca="false">SUMIFS('BALANCE 2026'!$I:$I,'BALANCE 2026'!$C:$C,"TL")-(SUMIFS('BALANCE 2026'!$H:$H,'BALANCE 2026'!$C:$C,"TL"))</f>
        <v>0</v>
      </c>
      <c r="F34" s="15" t="n">
        <f aca="false">SUMIFS('BALANCE 2027'!$I:$I,'BALANCE 2027'!$C:$C,"TL")-(SUMIFS('BALANCE 2027'!$H:$H,'BALANCE 2027'!$C:$C,"TL"))</f>
        <v>0</v>
      </c>
      <c r="G34" s="15" t="n">
        <f aca="false">SUMIFS('BALANCE 2028'!$I:$I,'BALANCE 2028'!$C:$C,"TL")-(SUMIFS('BALANCE 2028'!$H:$H,'BALANCE 2028'!$C:$C,"TL"))</f>
        <v>0</v>
      </c>
      <c r="H34" s="15" t="n">
        <f aca="false">SUMIFS('BALANCE 2029'!$I:$I,'BALANCE 2029'!$C:$C,"TL")-(SUMIFS('BALANCE 2029'!$H:$H,'BALANCE 2029'!$C:$C,"TL"))</f>
        <v>0</v>
      </c>
    </row>
    <row r="35" customFormat="false" ht="15" hidden="false" customHeight="false" outlineLevel="0" collapsed="false">
      <c r="A35" s="13" t="s">
        <v>512</v>
      </c>
      <c r="B35" s="12" t="s">
        <v>513</v>
      </c>
      <c r="C35" s="15" t="n">
        <f aca="false">SUMIFS('BALANCE 2024'!$I:$I,'BALANCE 2024'!$C:$C,"TM")-(SUMIFS('BALANCE 2024'!$H:$H,'BALANCE 2024'!$C:$C,"TM"))</f>
        <v>0</v>
      </c>
      <c r="D35" s="15" t="n">
        <f aca="false">SUMIFS('BALANCE 2025'!$I:$I,'BALANCE 2025'!$C:$C,"TM")-(SUMIFS('BALANCE 2025'!$H:$H,'BALANCE 2025'!$C:$C,"TM"))</f>
        <v>0</v>
      </c>
      <c r="E35" s="15" t="n">
        <f aca="false">SUMIFS('BALANCE 2026'!$I:$I,'BALANCE 2026'!$C:$C,"TM")-(SUMIFS('BALANCE 2026'!$H:$H,'BALANCE 2026'!$C:$C,"TM"))</f>
        <v>0</v>
      </c>
      <c r="F35" s="15" t="n">
        <f aca="false">SUMIFS('BALANCE 2027'!$I:$I,'BALANCE 2027'!$C:$C,"TM")-(SUMIFS('BALANCE 2027'!$H:$H,'BALANCE 2027'!$C:$C,"TM"))</f>
        <v>0</v>
      </c>
      <c r="G35" s="15" t="n">
        <f aca="false">SUMIFS('BALANCE 2028'!$I:$I,'BALANCE 2028'!$C:$C,"TM")-(SUMIFS('BALANCE 2028'!$H:$H,'BALANCE 2028'!$C:$C,"TM"))</f>
        <v>0</v>
      </c>
      <c r="H35" s="15" t="n">
        <f aca="false">SUMIFS('BALANCE 2029'!$I:$I,'BALANCE 2029'!$C:$C,"TM")-(SUMIFS('BALANCE 2029'!$H:$H,'BALANCE 2029'!$C:$C,"TM"))</f>
        <v>0</v>
      </c>
    </row>
    <row r="36" customFormat="false" ht="15" hidden="false" customHeight="false" outlineLevel="0" collapsed="false">
      <c r="A36" s="13" t="s">
        <v>349</v>
      </c>
      <c r="B36" s="12" t="s">
        <v>514</v>
      </c>
      <c r="C36" s="15" t="n">
        <f aca="false">SUMIFS('BALANCE 2024'!$I:$I,'BALANCE 2024'!$C:$C,"RM")-(SUMIFS('BALANCE 2024'!$H:$H,'BALANCE 2024'!$C:$C,"RM"))</f>
        <v>-8108297</v>
      </c>
      <c r="D36" s="15" t="n">
        <f aca="false">SUMIFS('BALANCE 2025'!$I:$I,'BALANCE 2025'!$C:$C,"RM")-(SUMIFS('BALANCE 2025'!$H:$H,'BALANCE 2025'!$C:$C,"RM"))</f>
        <v>-3016712</v>
      </c>
      <c r="E36" s="15" t="n">
        <f aca="false">SUMIFS('BALANCE 2026'!$I:$I,'BALANCE 2026'!$C:$C,"RM")-(SUMIFS('BALANCE 2026'!$H:$H,'BALANCE 2026'!$C:$C,"RM"))</f>
        <v>0</v>
      </c>
      <c r="F36" s="15" t="n">
        <f aca="false">SUMIFS('BALANCE 2027'!$I:$I,'BALANCE 2027'!$C:$C,"RM")-(SUMIFS('BALANCE 2027'!$H:$H,'BALANCE 2027'!$C:$C,"RM"))</f>
        <v>0</v>
      </c>
      <c r="G36" s="15" t="n">
        <f aca="false">SUMIFS('BALANCE 2028'!$I:$I,'BALANCE 2028'!$C:$C,"RM")-(SUMIFS('BALANCE 2028'!$H:$H,'BALANCE 2028'!$C:$C,"RM"))</f>
        <v>0</v>
      </c>
      <c r="H36" s="15" t="n">
        <f aca="false">SUMIFS('BALANCE 2029'!$I:$I,'BALANCE 2029'!$C:$C,"RM")-(SUMIFS('BALANCE 2029'!$H:$H,'BALANCE 2029'!$C:$C,"RM"))</f>
        <v>0</v>
      </c>
    </row>
    <row r="37" customFormat="false" ht="15" hidden="false" customHeight="false" outlineLevel="0" collapsed="false">
      <c r="A37" s="13" t="s">
        <v>515</v>
      </c>
      <c r="B37" s="12" t="s">
        <v>516</v>
      </c>
      <c r="C37" s="15" t="n">
        <f aca="false">SUMIFS('BALANCE 2024'!$I:$I,'BALANCE 2024'!$C:$C,"RN")-(SUMIFS('BALANCE 2024'!$H:$H,'BALANCE 2024'!$C:$C,"RN"))</f>
        <v>0</v>
      </c>
      <c r="D37" s="15" t="n">
        <f aca="false">SUMIFS('BALANCE 2025'!$I:$I,'BALANCE 2025'!$C:$C,"RN")-(SUMIFS('BALANCE 2025'!$H:$H,'BALANCE 2025'!$C:$C,"RN"))</f>
        <v>0</v>
      </c>
      <c r="E37" s="15" t="n">
        <f aca="false">SUMIFS('BALANCE 2026'!$I:$I,'BALANCE 2026'!$C:$C,"RN")-(SUMIFS('BALANCE 2026'!$H:$H,'BALANCE 2026'!$C:$C,"RN"))</f>
        <v>0</v>
      </c>
      <c r="F37" s="15" t="n">
        <f aca="false">SUMIFS('BALANCE 2027'!$I:$I,'BALANCE 2027'!$C:$C,"RN")-(SUMIFS('BALANCE 2027'!$H:$H,'BALANCE 2027'!$C:$C,"RN"))</f>
        <v>0</v>
      </c>
      <c r="G37" s="15" t="n">
        <f aca="false">SUMIFS('BALANCE 2028'!$I:$I,'BALANCE 2028'!$C:$C,"RN")-(SUMIFS('BALANCE 2028'!$H:$H,'BALANCE 2028'!$C:$C,"RN"))</f>
        <v>0</v>
      </c>
      <c r="H37" s="15" t="n">
        <f aca="false">SUMIFS('BALANCE 2029'!$I:$I,'BALANCE 2029'!$C:$C,"RN")-(SUMIFS('BALANCE 2029'!$H:$H,'BALANCE 2029'!$C:$C,"RN"))</f>
        <v>0</v>
      </c>
    </row>
    <row r="38" customFormat="false" ht="15" hidden="false" customHeight="false" outlineLevel="0" collapsed="false">
      <c r="A38" s="35" t="s">
        <v>517</v>
      </c>
      <c r="B38" s="35" t="s">
        <v>518</v>
      </c>
      <c r="C38" s="36" t="n">
        <f aca="false">C33+C34+C35+C36+C37</f>
        <v>-7259703</v>
      </c>
      <c r="D38" s="36" t="n">
        <f aca="false">D33+D34+D35+D36+D37</f>
        <v>-2168118</v>
      </c>
      <c r="E38" s="36" t="n">
        <f aca="false">E33+E34+E35+E36+E37</f>
        <v>848594</v>
      </c>
      <c r="F38" s="36" t="n">
        <f aca="false">F33+F34+F35+F36+F37</f>
        <v>848594</v>
      </c>
      <c r="G38" s="36" t="n">
        <f aca="false">G33+G34+G35+G36+G37</f>
        <v>848594</v>
      </c>
      <c r="H38" s="36" t="n">
        <f aca="false">H33+H34+H35+H36+H37</f>
        <v>848594</v>
      </c>
      <c r="I38" s="34"/>
    </row>
    <row r="39" customFormat="false" ht="15" hidden="false" customHeight="false" outlineLevel="0" collapsed="false">
      <c r="A39" s="35" t="s">
        <v>519</v>
      </c>
      <c r="B39" s="35" t="s">
        <v>520</v>
      </c>
      <c r="C39" s="36" t="n">
        <f aca="false">C32+C38</f>
        <v>96931836</v>
      </c>
      <c r="D39" s="36" t="n">
        <f aca="false">D32+D38</f>
        <v>123353157</v>
      </c>
      <c r="E39" s="36" t="n">
        <f aca="false">E32+E38</f>
        <v>114682036</v>
      </c>
      <c r="F39" s="36" t="n">
        <f aca="false">F32+F38</f>
        <v>121971114</v>
      </c>
      <c r="G39" s="36" t="n">
        <f aca="false">G32+G38</f>
        <v>134515784</v>
      </c>
      <c r="H39" s="36" t="n">
        <f aca="false">H32+H38</f>
        <v>144106858</v>
      </c>
      <c r="I39" s="34"/>
    </row>
    <row r="40" customFormat="false" ht="15" hidden="false" customHeight="false" outlineLevel="0" collapsed="false">
      <c r="A40" s="13" t="s">
        <v>521</v>
      </c>
      <c r="B40" s="12" t="s">
        <v>522</v>
      </c>
      <c r="C40" s="15" t="n">
        <f aca="false">SUMIFS('BALANCE 2024'!$I:$I,'BALANCE 2024'!$C:$C,"TN")-(SUMIFS('BALANCE 2024'!$H:$H,'BALANCE 2024'!$C:$C,"TN"))</f>
        <v>0</v>
      </c>
      <c r="D40" s="15" t="n">
        <f aca="false">SUMIFS('BALANCE 2025'!$I:$I,'BALANCE 2025'!$C:$C,"TN")-(SUMIFS('BALANCE 2025'!$H:$H,'BALANCE 2025'!$C:$C,"TN"))</f>
        <v>0</v>
      </c>
      <c r="E40" s="15" t="n">
        <f aca="false">SUMIFS('BALANCE 2026'!$I:$I,'BALANCE 2026'!$C:$C,"TN")-(SUMIFS('BALANCE 2026'!$H:$H,'BALANCE 2026'!$C:$C,"TN"))</f>
        <v>0</v>
      </c>
      <c r="F40" s="15" t="n">
        <f aca="false">SUMIFS('BALANCE 2027'!$I:$I,'BALANCE 2027'!$C:$C,"TN")-(SUMIFS('BALANCE 2027'!$H:$H,'BALANCE 2027'!$C:$C,"TN"))</f>
        <v>0</v>
      </c>
      <c r="G40" s="15" t="n">
        <f aca="false">SUMIFS('BALANCE 2028'!$I:$I,'BALANCE 2028'!$C:$C,"TN")-(SUMIFS('BALANCE 2028'!$H:$H,'BALANCE 2028'!$C:$C,"TN"))</f>
        <v>0</v>
      </c>
      <c r="H40" s="15" t="n">
        <f aca="false">SUMIFS('BALANCE 2029'!$I:$I,'BALANCE 2029'!$C:$C,"TN")-(SUMIFS('BALANCE 2029'!$H:$H,'BALANCE 2029'!$C:$C,"TN"))</f>
        <v>0</v>
      </c>
    </row>
    <row r="41" customFormat="false" ht="15" hidden="false" customHeight="false" outlineLevel="0" collapsed="false">
      <c r="A41" s="13" t="s">
        <v>523</v>
      </c>
      <c r="B41" s="12" t="s">
        <v>524</v>
      </c>
      <c r="C41" s="15" t="n">
        <f aca="false">SUMIFS('BALANCE 2024'!$I:$I,'BALANCE 2024'!$C:$C,"TO")-(SUMIFS('BALANCE 2024'!$H:$H,'BALANCE 2024'!$C:$C,"TO"))</f>
        <v>0</v>
      </c>
      <c r="D41" s="15" t="n">
        <f aca="false">SUMIFS('BALANCE 2025'!$I:$I,'BALANCE 2025'!$C:$C,"TO")-(SUMIFS('BALANCE 2025'!$H:$H,'BALANCE 2025'!$C:$C,"TO"))</f>
        <v>0</v>
      </c>
      <c r="E41" s="15" t="n">
        <f aca="false">SUMIFS('BALANCE 2026'!$I:$I,'BALANCE 2026'!$C:$C,"TO")-(SUMIFS('BALANCE 2026'!$H:$H,'BALANCE 2026'!$C:$C,"TO"))</f>
        <v>0</v>
      </c>
      <c r="F41" s="15" t="n">
        <f aca="false">SUMIFS('BALANCE 2027'!$I:$I,'BALANCE 2027'!$C:$C,"TO")-(SUMIFS('BALANCE 2027'!$H:$H,'BALANCE 2027'!$C:$C,"TO"))</f>
        <v>0</v>
      </c>
      <c r="G41" s="15" t="n">
        <f aca="false">SUMIFS('BALANCE 2028'!$I:$I,'BALANCE 2028'!$C:$C,"TO")-(SUMIFS('BALANCE 2028'!$H:$H,'BALANCE 2028'!$C:$C,"TO"))</f>
        <v>0</v>
      </c>
      <c r="H41" s="15" t="n">
        <f aca="false">SUMIFS('BALANCE 2029'!$I:$I,'BALANCE 2029'!$C:$C,"TO")-(SUMIFS('BALANCE 2029'!$H:$H,'BALANCE 2029'!$C:$C,"TO"))</f>
        <v>0</v>
      </c>
    </row>
    <row r="42" customFormat="false" ht="15" hidden="false" customHeight="false" outlineLevel="0" collapsed="false">
      <c r="A42" s="13" t="s">
        <v>525</v>
      </c>
      <c r="B42" s="12" t="s">
        <v>526</v>
      </c>
      <c r="C42" s="15" t="n">
        <f aca="false">SUMIFS('BALANCE 2024'!$I:$I,'BALANCE 2024'!$C:$C,"RO")-(SUMIFS('BALANCE 2024'!$H:$H,'BALANCE 2024'!$C:$C,"RO"))</f>
        <v>0</v>
      </c>
      <c r="D42" s="15" t="n">
        <f aca="false">SUMIFS('BALANCE 2025'!$I:$I,'BALANCE 2025'!$C:$C,"RO")-(SUMIFS('BALANCE 2025'!$H:$H,'BALANCE 2025'!$C:$C,"RO"))</f>
        <v>0</v>
      </c>
      <c r="E42" s="15" t="n">
        <f aca="false">SUMIFS('BALANCE 2026'!$I:$I,'BALANCE 2026'!$C:$C,"RO")-(SUMIFS('BALANCE 2026'!$H:$H,'BALANCE 2026'!$C:$C,"RO"))</f>
        <v>0</v>
      </c>
      <c r="F42" s="15" t="n">
        <f aca="false">SUMIFS('BALANCE 2027'!$I:$I,'BALANCE 2027'!$C:$C,"RO")-(SUMIFS('BALANCE 2027'!$H:$H,'BALANCE 2027'!$C:$C,"RO"))</f>
        <v>0</v>
      </c>
      <c r="G42" s="15" t="n">
        <f aca="false">SUMIFS('BALANCE 2028'!$I:$I,'BALANCE 2028'!$C:$C,"RO")-(SUMIFS('BALANCE 2028'!$H:$H,'BALANCE 2028'!$C:$C,"RO"))</f>
        <v>0</v>
      </c>
      <c r="H42" s="15" t="n">
        <f aca="false">SUMIFS('BALANCE 2029'!$I:$I,'BALANCE 2029'!$C:$C,"RO")-(SUMIFS('BALANCE 2029'!$H:$H,'BALANCE 2029'!$C:$C,"RO"))</f>
        <v>0</v>
      </c>
    </row>
    <row r="43" customFormat="false" ht="15" hidden="false" customHeight="false" outlineLevel="0" collapsed="false">
      <c r="A43" s="13" t="s">
        <v>527</v>
      </c>
      <c r="B43" s="12" t="s">
        <v>528</v>
      </c>
      <c r="C43" s="15" t="n">
        <f aca="false">SUMIFS('BALANCE 2024'!$I:$I,'BALANCE 2024'!$C:$C,"RP")-(SUMIFS('BALANCE 2024'!$H:$H,'BALANCE 2024'!$C:$C,"RP"))</f>
        <v>0</v>
      </c>
      <c r="D43" s="15" t="n">
        <f aca="false">SUMIFS('BALANCE 2025'!$I:$I,'BALANCE 2025'!$C:$C,"RP")-(SUMIFS('BALANCE 2025'!$H:$H,'BALANCE 2025'!$C:$C,"RP"))</f>
        <v>0</v>
      </c>
      <c r="E43" s="15" t="n">
        <f aca="false">SUMIFS('BALANCE 2026'!$I:$I,'BALANCE 2026'!$C:$C,"RP")-(SUMIFS('BALANCE 2026'!$H:$H,'BALANCE 2026'!$C:$C,"RP"))</f>
        <v>0</v>
      </c>
      <c r="F43" s="15" t="n">
        <f aca="false">SUMIFS('BALANCE 2027'!$I:$I,'BALANCE 2027'!$C:$C,"RP")-(SUMIFS('BALANCE 2027'!$H:$H,'BALANCE 2027'!$C:$C,"RP"))</f>
        <v>0</v>
      </c>
      <c r="G43" s="15" t="n">
        <f aca="false">SUMIFS('BALANCE 2028'!$I:$I,'BALANCE 2028'!$C:$C,"RP")-(SUMIFS('BALANCE 2028'!$H:$H,'BALANCE 2028'!$C:$C,"RP"))</f>
        <v>0</v>
      </c>
      <c r="H43" s="15" t="n">
        <f aca="false">SUMIFS('BALANCE 2029'!$I:$I,'BALANCE 2029'!$C:$C,"RP")-(SUMIFS('BALANCE 2029'!$H:$H,'BALANCE 2029'!$C:$C,"RP"))</f>
        <v>0</v>
      </c>
    </row>
    <row r="44" customFormat="false" ht="15" hidden="false" customHeight="false" outlineLevel="0" collapsed="false">
      <c r="A44" s="35" t="s">
        <v>529</v>
      </c>
      <c r="B44" s="35" t="s">
        <v>530</v>
      </c>
      <c r="C44" s="36" t="n">
        <f aca="false">C40+C41+C42+C43</f>
        <v>0</v>
      </c>
      <c r="D44" s="36" t="n">
        <f aca="false">D40+D41+D42+D43</f>
        <v>0</v>
      </c>
      <c r="E44" s="36" t="n">
        <f aca="false">E40+E41+E42+E43</f>
        <v>0</v>
      </c>
      <c r="F44" s="36" t="n">
        <f aca="false">F40+F41+F42+F43</f>
        <v>0</v>
      </c>
      <c r="G44" s="36" t="n">
        <f aca="false">G40+G41+G42+G43</f>
        <v>0</v>
      </c>
      <c r="H44" s="36" t="n">
        <f aca="false">H40+H41+H42+H43</f>
        <v>0</v>
      </c>
      <c r="I44" s="34"/>
    </row>
    <row r="45" customFormat="false" ht="15" hidden="false" customHeight="false" outlineLevel="0" collapsed="false">
      <c r="A45" s="13" t="s">
        <v>531</v>
      </c>
      <c r="B45" s="12" t="s">
        <v>532</v>
      </c>
      <c r="C45" s="15" t="n">
        <f aca="false">SUMIFS('BALANCE 2024'!$I:$I,'BALANCE 2024'!$C:$C,"RQ")-(SUMIFS('BALANCE 2024'!$H:$H,'BALANCE 2024'!$C:$C,"RQ"))</f>
        <v>0</v>
      </c>
      <c r="D45" s="15" t="n">
        <f aca="false">SUMIFS('BALANCE 2025'!$I:$I,'BALANCE 2025'!$C:$C,"RQ")-(SUMIFS('BALANCE 2025'!$H:$H,'BALANCE 2025'!$C:$C,"RQ"))</f>
        <v>0</v>
      </c>
      <c r="E45" s="15" t="n">
        <f aca="false">SUMIFS('BALANCE 2026'!$I:$I,'BALANCE 2026'!$C:$C,"RQ")-(SUMIFS('BALANCE 2026'!$H:$H,'BALANCE 2026'!$C:$C,"RQ"))</f>
        <v>0</v>
      </c>
      <c r="F45" s="15" t="n">
        <f aca="false">SUMIFS('BALANCE 2027'!$I:$I,'BALANCE 2027'!$C:$C,"RQ")-(SUMIFS('BALANCE 2027'!$H:$H,'BALANCE 2027'!$C:$C,"RQ"))</f>
        <v>0</v>
      </c>
      <c r="G45" s="15" t="n">
        <f aca="false">SUMIFS('BALANCE 2028'!$I:$I,'BALANCE 2028'!$C:$C,"RQ")-(SUMIFS('BALANCE 2028'!$H:$H,'BALANCE 2028'!$C:$C,"RQ"))</f>
        <v>0</v>
      </c>
      <c r="H45" s="15" t="n">
        <f aca="false">SUMIFS('BALANCE 2029'!$I:$I,'BALANCE 2029'!$C:$C,"RQ")-(SUMIFS('BALANCE 2029'!$H:$H,'BALANCE 2029'!$C:$C,"RQ"))</f>
        <v>0</v>
      </c>
    </row>
    <row r="46" customFormat="false" ht="15" hidden="false" customHeight="false" outlineLevel="0" collapsed="false">
      <c r="A46" s="13" t="s">
        <v>362</v>
      </c>
      <c r="B46" s="12" t="s">
        <v>533</v>
      </c>
      <c r="C46" s="15" t="n">
        <f aca="false">SUMIFS('BALANCE 2024'!$I:$I,'BALANCE 2024'!$C:$C,"RS")-(SUMIFS('BALANCE 2024'!$H:$H,'BALANCE 2024'!$C:$C,"RS"))</f>
        <v>-24232959</v>
      </c>
      <c r="D46" s="15" t="n">
        <f aca="false">SUMIFS('BALANCE 2025'!$I:$I,'BALANCE 2025'!$C:$C,"RS")-(SUMIFS('BALANCE 2025'!$H:$H,'BALANCE 2025'!$C:$C,"RS"))</f>
        <v>-30838289</v>
      </c>
      <c r="E46" s="15" t="n">
        <f aca="false">SUMIFS('BALANCE 2026'!$I:$I,'BALANCE 2026'!$C:$C,"RS")-(SUMIFS('BALANCE 2026'!$H:$H,'BALANCE 2026'!$C:$C,"RS"))</f>
        <v>-28670509</v>
      </c>
      <c r="F46" s="15" t="n">
        <f aca="false">SUMIFS('BALANCE 2027'!$I:$I,'BALANCE 2027'!$C:$C,"RS")-(SUMIFS('BALANCE 2027'!$H:$H,'BALANCE 2027'!$C:$C,"RS"))</f>
        <v>-30492779</v>
      </c>
      <c r="G46" s="15" t="n">
        <f aca="false">SUMIFS('BALANCE 2028'!$I:$I,'BALANCE 2028'!$C:$C,"RS")-(SUMIFS('BALANCE 2028'!$H:$H,'BALANCE 2028'!$C:$C,"RS"))</f>
        <v>-33628946</v>
      </c>
      <c r="H46" s="15" t="n">
        <f aca="false">SUMIFS('BALANCE 2029'!$I:$I,'BALANCE 2029'!$C:$C,"RS")-(SUMIFS('BALANCE 2029'!$H:$H,'BALANCE 2029'!$C:$C,"RS"))</f>
        <v>-36026715</v>
      </c>
    </row>
    <row r="47" customFormat="false" ht="15" hidden="false" customHeight="false" outlineLevel="0" collapsed="false">
      <c r="A47" s="35" t="s">
        <v>92</v>
      </c>
      <c r="B47" s="35" t="s">
        <v>534</v>
      </c>
      <c r="C47" s="36" t="n">
        <f aca="false">C39+C44+C45+C46</f>
        <v>72698877</v>
      </c>
      <c r="D47" s="36" t="n">
        <f aca="false">D39+D44+D45+D46</f>
        <v>92514868</v>
      </c>
      <c r="E47" s="36" t="n">
        <f aca="false">E39+E44+E45+E46</f>
        <v>86011527</v>
      </c>
      <c r="F47" s="36" t="n">
        <f aca="false">F39+F44+F45+F46</f>
        <v>91478335</v>
      </c>
      <c r="G47" s="36" t="n">
        <f aca="false">G39+G44+G45+G46</f>
        <v>100886838</v>
      </c>
      <c r="H47" s="36" t="n">
        <f aca="false">H39+H44+H45+H46</f>
        <v>108080143</v>
      </c>
      <c r="I47" s="45" t="n">
        <f aca="false">IF(OR(C47&lt;=0,H47&lt;=0),"",(H47/C47)^(1/5)-1)</f>
        <v>0.0825392250754247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535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536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375</v>
      </c>
      <c r="B5" s="27" t="s">
        <v>537</v>
      </c>
      <c r="C5" s="27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7" t="s">
        <v>377</v>
      </c>
    </row>
    <row r="6" customFormat="false" ht="15" hidden="false" customHeight="false" outlineLevel="0" collapsed="false">
      <c r="A6" s="35" t="s">
        <v>538</v>
      </c>
      <c r="B6" s="35" t="s">
        <v>539</v>
      </c>
      <c r="C6" s="46" t="s">
        <v>540</v>
      </c>
      <c r="D6" s="36" t="n">
        <f aca="false">BILAN!C28-BILAN!C58</f>
        <v>128133958</v>
      </c>
      <c r="E6" s="36" t="n">
        <f aca="false">BILAN!D28-BILAN!D58</f>
        <v>154325995</v>
      </c>
      <c r="F6" s="36" t="n">
        <f aca="false">BILAN!E28-BILAN!E58</f>
        <v>225108073</v>
      </c>
      <c r="G6" s="36" t="n">
        <f aca="false">BILAN!F28-BILAN!F58</f>
        <v>369590974</v>
      </c>
      <c r="H6" s="36" t="n">
        <f aca="false">BILAN!G28-BILAN!G58</f>
        <v>497172401</v>
      </c>
      <c r="I6" s="34"/>
    </row>
    <row r="7" customFormat="false" ht="15" hidden="false" customHeight="false" outlineLevel="0" collapsed="false">
      <c r="A7" s="13" t="s">
        <v>188</v>
      </c>
      <c r="B7" s="12" t="s">
        <v>541</v>
      </c>
      <c r="C7" s="47" t="s">
        <v>540</v>
      </c>
      <c r="D7" s="15" t="n">
        <f aca="false">'COMPTE DE RESULTAT'!D47-'COMPTE DE RESULTAT'!D31-'COMPTE DE RESULTAT'!D37-'COMPTE DE RESULTAT'!D30-'COMPTE DE RESULTAT'!D34-'COMPTE DE RESULTAT'!D42-'COMPTE DE RESULTAT'!D40</f>
        <v>170420324</v>
      </c>
      <c r="E7" s="15" t="n">
        <f aca="false">'COMPTE DE RESULTAT'!E47-'COMPTE DE RESULTAT'!E31-'COMPTE DE RESULTAT'!E37-'COMPTE DE RESULTAT'!E30-'COMPTE DE RESULTAT'!E34-'COMPTE DE RESULTAT'!E42-'COMPTE DE RESULTAT'!E40</f>
        <v>185776151</v>
      </c>
      <c r="F7" s="15" t="n">
        <f aca="false">'COMPTE DE RESULTAT'!F47-'COMPTE DE RESULTAT'!F31-'COMPTE DE RESULTAT'!F37-'COMPTE DE RESULTAT'!F30-'COMPTE DE RESULTAT'!F34-'COMPTE DE RESULTAT'!F42-'COMPTE DE RESULTAT'!F40</f>
        <v>194633786</v>
      </c>
      <c r="G7" s="15" t="n">
        <f aca="false">'COMPTE DE RESULTAT'!G47-'COMPTE DE RESULTAT'!G31-'COMPTE DE RESULTAT'!G37-'COMPTE DE RESULTAT'!G30-'COMPTE DE RESULTAT'!G34-'COMPTE DE RESULTAT'!G42-'COMPTE DE RESULTAT'!G40</f>
        <v>202711518</v>
      </c>
      <c r="H7" s="15" t="n">
        <f aca="false">'COMPTE DE RESULTAT'!H47-'COMPTE DE RESULTAT'!H31-'COMPTE DE RESULTAT'!H37-'COMPTE DE RESULTAT'!H30-'COMPTE DE RESULTAT'!H34-'COMPTE DE RESULTAT'!H42-'COMPTE DE RESULTAT'!H40</f>
        <v>212088342</v>
      </c>
    </row>
    <row r="8" customFormat="false" ht="15" hidden="false" customHeight="false" outlineLevel="0" collapsed="false">
      <c r="A8" s="13" t="s">
        <v>542</v>
      </c>
      <c r="B8" s="12" t="s">
        <v>543</v>
      </c>
      <c r="C8" s="47" t="s">
        <v>540</v>
      </c>
      <c r="D8" s="15" t="n">
        <f aca="false">-(BILAN!D18-BILAN!C18)</f>
        <v>-0</v>
      </c>
      <c r="E8" s="15" t="n">
        <f aca="false">-(BILAN!E18-BILAN!D18)</f>
        <v>-0</v>
      </c>
      <c r="F8" s="15" t="n">
        <f aca="false">-(BILAN!F18-BILAN!E18)</f>
        <v>-0</v>
      </c>
      <c r="G8" s="15" t="n">
        <f aca="false">-(BILAN!G18-BILAN!F18)</f>
        <v>-0</v>
      </c>
      <c r="H8" s="15" t="n">
        <f aca="false">-(BILAN!H18-BILAN!G18)</f>
        <v>-0</v>
      </c>
    </row>
    <row r="9" customFormat="false" ht="15" hidden="false" customHeight="false" outlineLevel="0" collapsed="false">
      <c r="A9" s="13" t="s">
        <v>544</v>
      </c>
      <c r="B9" s="12" t="s">
        <v>545</v>
      </c>
      <c r="C9" s="47" t="s">
        <v>540</v>
      </c>
      <c r="D9" s="15" t="n">
        <f aca="false">-(BILAN!D19-BILAN!C19)</f>
        <v>-0</v>
      </c>
      <c r="E9" s="15" t="n">
        <f aca="false">-(BILAN!E19-BILAN!D19)</f>
        <v>-0</v>
      </c>
      <c r="F9" s="15" t="n">
        <f aca="false">-(BILAN!F19-BILAN!E19)</f>
        <v>-0</v>
      </c>
      <c r="G9" s="15" t="n">
        <f aca="false">-(BILAN!G19-BILAN!F19)</f>
        <v>-0</v>
      </c>
      <c r="H9" s="15" t="n">
        <f aca="false">-(BILAN!H19-BILAN!G19)</f>
        <v>-0</v>
      </c>
    </row>
    <row r="10" customFormat="false" ht="15" hidden="false" customHeight="false" outlineLevel="0" collapsed="false">
      <c r="A10" s="13" t="s">
        <v>546</v>
      </c>
      <c r="B10" s="12" t="s">
        <v>547</v>
      </c>
      <c r="C10" s="47" t="s">
        <v>540</v>
      </c>
      <c r="D10" s="15" t="n">
        <f aca="false">-(BILAN!D23-BILAN!C23)</f>
        <v>-14873321</v>
      </c>
      <c r="E10" s="15" t="n">
        <f aca="false">-(BILAN!E23-BILAN!D23)</f>
        <v>-41428360</v>
      </c>
      <c r="F10" s="15" t="n">
        <f aca="false">-(BILAN!F23-BILAN!E23)</f>
        <v>-25428654</v>
      </c>
      <c r="G10" s="15" t="n">
        <f aca="false">-(BILAN!G23-BILAN!F23)</f>
        <v>-26700087</v>
      </c>
      <c r="H10" s="15" t="n">
        <f aca="false">-(BILAN!H23-BILAN!G23)</f>
        <v>-28035091</v>
      </c>
    </row>
    <row r="11" customFormat="false" ht="15" hidden="false" customHeight="false" outlineLevel="0" collapsed="false">
      <c r="A11" s="13" t="s">
        <v>548</v>
      </c>
      <c r="B11" s="12" t="s">
        <v>549</v>
      </c>
      <c r="C11" s="47" t="s">
        <v>540</v>
      </c>
      <c r="D11" s="15" t="n">
        <f aca="false">(BILAN!D55-BILAN!D49)-(BILAN!C55-BILAN!C49)</f>
        <v>11172092</v>
      </c>
      <c r="E11" s="15" t="n">
        <f aca="false">(BILAN!E55-BILAN!E49)-(BILAN!D55-BILAN!D49)</f>
        <v>7869411</v>
      </c>
      <c r="F11" s="15" t="n">
        <f aca="false">(BILAN!F55-BILAN!F49)-(BILAN!E55-BILAN!E49)</f>
        <v>10277769</v>
      </c>
      <c r="G11" s="15" t="n">
        <f aca="false">(BILAN!G55-BILAN!G49)-(BILAN!F55-BILAN!F49)</f>
        <v>12014440</v>
      </c>
      <c r="H11" s="15" t="n">
        <f aca="false">(BILAN!H55-BILAN!H49)-(BILAN!G55-BILAN!G49)</f>
        <v>11719954</v>
      </c>
    </row>
    <row r="12" customFormat="false" ht="15" hidden="false" customHeight="false" outlineLevel="0" collapsed="false">
      <c r="A12" s="35" t="s">
        <v>550</v>
      </c>
      <c r="B12" s="35" t="s">
        <v>551</v>
      </c>
      <c r="C12" s="46" t="s">
        <v>540</v>
      </c>
      <c r="D12" s="36" t="n">
        <f aca="false">D7+D8+D9+D10+D11</f>
        <v>166719095</v>
      </c>
      <c r="E12" s="36" t="n">
        <f aca="false">E7+E8+E9+E10+E11</f>
        <v>152217202</v>
      </c>
      <c r="F12" s="36" t="n">
        <f aca="false">F7+F8+F9+F10+F11</f>
        <v>179482901</v>
      </c>
      <c r="G12" s="36" t="n">
        <f aca="false">G7+G8+G9+G10+G11</f>
        <v>188025871</v>
      </c>
      <c r="H12" s="36" t="n">
        <f aca="false">H7+H8+H9+H10+H11</f>
        <v>195773205</v>
      </c>
      <c r="I12" s="34"/>
    </row>
    <row r="13" customFormat="false" ht="15" hidden="false" customHeight="false" outlineLevel="0" collapsed="false">
      <c r="A13" s="13" t="s">
        <v>552</v>
      </c>
      <c r="B13" s="12" t="s">
        <v>553</v>
      </c>
      <c r="C13" s="47" t="s">
        <v>540</v>
      </c>
      <c r="D13" s="15" t="n">
        <f aca="false">-((SUMIFS('BALANCE 2025'!$H:$H,'BALANCE 2025'!$C:$C,"AD"))-(SUMIFS('BALANCE 2024'!$H:$H,'BALANCE 2024'!$C:$C,"AD")))</f>
        <v>-0</v>
      </c>
      <c r="E13" s="15" t="n">
        <f aca="false">-((SUMIFS('BALANCE 2026'!$H:$H,'BALANCE 2026'!$C:$C,"AD"))-(SUMIFS('BALANCE 2025'!$H:$H,'BALANCE 2025'!$C:$C,"AD")))</f>
        <v>-0</v>
      </c>
      <c r="F13" s="15" t="n">
        <f aca="false">-((SUMIFS('BALANCE 2027'!$H:$H,'BALANCE 2027'!$C:$C,"AD"))-(SUMIFS('BALANCE 2026'!$H:$H,'BALANCE 2026'!$C:$C,"AD")))</f>
        <v>-0</v>
      </c>
      <c r="G13" s="15" t="n">
        <f aca="false">-((SUMIFS('BALANCE 2028'!$H:$H,'BALANCE 2028'!$C:$C,"AD"))-(SUMIFS('BALANCE 2027'!$H:$H,'BALANCE 2027'!$C:$C,"AD")))</f>
        <v>-0</v>
      </c>
      <c r="H13" s="15" t="n">
        <f aca="false">-((SUMIFS('BALANCE 2029'!$H:$H,'BALANCE 2029'!$C:$C,"AD"))-(SUMIFS('BALANCE 2028'!$H:$H,'BALANCE 2028'!$C:$C,"AD")))</f>
        <v>-0</v>
      </c>
    </row>
    <row r="14" customFormat="false" ht="15" hidden="false" customHeight="false" outlineLevel="0" collapsed="false">
      <c r="A14" s="13" t="s">
        <v>554</v>
      </c>
      <c r="B14" s="12" t="s">
        <v>555</v>
      </c>
      <c r="C14" s="47" t="s">
        <v>540</v>
      </c>
      <c r="D14" s="15" t="n">
        <f aca="false">-((SUMIFS('BALANCE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2025'!$C:$C,"AP"))-(SUMIFS('BALANCE 2024'!$H:$H,'BALANCE 2024'!$C:$C,"AJ")+SUMIFS('BALANCE 2024'!$H:$H,'BALANCE 2024'!$C:$C,"AK")+SUMIFS('BALANCE 2024'!$H:$H,'BALANCE 2024'!$C:$C,"AL")+SUMIFS('BALANCE 2024'!$H:$H,'BALANCE 2024'!$C:$C,"AM")+SUMIFS('BALANCE 2024'!$H:$H,'BALANCE 2024'!$C:$C,"AN")+SUMIFS('BALANCE 2024'!$H:$H,'BALANCE 2024'!$C:$C,"AP")))+(BILAN!D49-BILAN!C49)</f>
        <v>-90248532</v>
      </c>
      <c r="E14" s="15" t="n">
        <f aca="false">-((SUMIFS('BALANCE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2026'!$C:$C,"AP"))-(SUMIFS('BALANCE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2025'!$C:$C,"AP")))+(BILAN!E49-BILAN!D49)</f>
        <v>-81435124</v>
      </c>
      <c r="F14" s="15" t="n">
        <f aca="false">-((SUMIFS('BALANCE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2027'!$C:$C,"AP"))-(SUMIFS('BALANCE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2026'!$C:$C,"AP")))+(BILAN!F49-BILAN!E49)</f>
        <v>-35000000</v>
      </c>
      <c r="G14" s="15" t="n">
        <f aca="false">-((SUMIFS('BALANCE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2028'!$C:$C,"AP"))-(SUMIFS('BALANCE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2027'!$C:$C,"AP")))+(BILAN!G49-BILAN!F49)</f>
        <v>-60444444</v>
      </c>
      <c r="H14" s="15" t="n">
        <f aca="false">-((SUMIFS('BALANCE 2029'!$H:$H,'BALANCE 2029'!$C:$C,"AJ")+SUMIFS('BALANCE 2029'!$H:$H,'BALANCE 2029'!$C:$C,"AK")+SUMIFS('BALANCE 2029'!$H:$H,'BALANCE 2029'!$C:$C,"AL")+SUMIFS('BALANCE 2029'!$H:$H,'BALANCE 2029'!$C:$C,"AM")+SUMIFS('BALANCE 2029'!$H:$H,'BALANCE 2029'!$C:$C,"AN")+SUMIFS('BALANCE 2029'!$H:$H,'BALANCE 2029'!$C:$C,"AP"))-(SUMIFS('BALANCE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2028'!$C:$C,"AP")))+(BILAN!H49-BILAN!G49)</f>
        <v>-49555556</v>
      </c>
    </row>
    <row r="15" customFormat="false" ht="15" hidden="false" customHeight="false" outlineLevel="0" collapsed="false">
      <c r="A15" s="13" t="s">
        <v>556</v>
      </c>
      <c r="B15" s="12" t="s">
        <v>557</v>
      </c>
      <c r="C15" s="47" t="s">
        <v>540</v>
      </c>
      <c r="D15" s="15" t="n">
        <f aca="false">-(BILAN!D16-BILAN!C16)</f>
        <v>-0</v>
      </c>
      <c r="E15" s="15" t="n">
        <f aca="false">-(BILAN!E16-BILAN!D16)</f>
        <v>-0</v>
      </c>
      <c r="F15" s="15" t="n">
        <f aca="false">-(BILAN!F16-BILAN!E16)</f>
        <v>-0</v>
      </c>
      <c r="G15" s="15" t="n">
        <f aca="false">-(BILAN!G16-BILAN!F16)</f>
        <v>-0</v>
      </c>
      <c r="H15" s="15" t="n">
        <f aca="false">-(BILAN!H16-BILAN!G16)</f>
        <v>-0</v>
      </c>
    </row>
    <row r="16" customFormat="false" ht="15" hidden="false" customHeight="false" outlineLevel="0" collapsed="false">
      <c r="A16" s="13" t="s">
        <v>558</v>
      </c>
      <c r="B16" s="12" t="s">
        <v>559</v>
      </c>
      <c r="C16" s="47" t="s">
        <v>540</v>
      </c>
      <c r="D16" s="15" t="n">
        <f aca="false">'COMPTE DE RESULTAT'!D40</f>
        <v>0</v>
      </c>
      <c r="E16" s="15" t="n">
        <f aca="false">'COMPTE DE RESULTAT'!E40</f>
        <v>0</v>
      </c>
      <c r="F16" s="15" t="n">
        <f aca="false">'COMPTE DE RESULTAT'!F40</f>
        <v>0</v>
      </c>
      <c r="G16" s="15" t="n">
        <f aca="false">'COMPTE DE RESULTAT'!G40</f>
        <v>0</v>
      </c>
      <c r="H16" s="15" t="n">
        <f aca="false">'COMPTE DE RESULTAT'!H40</f>
        <v>0</v>
      </c>
    </row>
    <row r="17" customFormat="false" ht="15" hidden="false" customHeight="false" outlineLevel="0" collapsed="false">
      <c r="A17" s="13" t="s">
        <v>560</v>
      </c>
      <c r="B17" s="12" t="s">
        <v>561</v>
      </c>
      <c r="C17" s="47" t="s">
        <v>540</v>
      </c>
      <c r="D17" s="20" t="n">
        <f aca="false">0</f>
        <v>0</v>
      </c>
      <c r="E17" s="20" t="n">
        <f aca="false">0</f>
        <v>0</v>
      </c>
      <c r="F17" s="20" t="n">
        <f aca="false">0</f>
        <v>0</v>
      </c>
      <c r="G17" s="20" t="n">
        <f aca="false">0</f>
        <v>0</v>
      </c>
      <c r="H17" s="20" t="n">
        <f aca="false">0</f>
        <v>0</v>
      </c>
    </row>
    <row r="18" customFormat="false" ht="15" hidden="false" customHeight="false" outlineLevel="0" collapsed="false">
      <c r="A18" s="35" t="s">
        <v>562</v>
      </c>
      <c r="B18" s="35" t="s">
        <v>563</v>
      </c>
      <c r="C18" s="46" t="s">
        <v>540</v>
      </c>
      <c r="D18" s="36" t="n">
        <f aca="false">D13+D14+D15+D16+D17</f>
        <v>-90248532</v>
      </c>
      <c r="E18" s="36" t="n">
        <f aca="false">E13+E14+E15+E16+E17</f>
        <v>-81435124</v>
      </c>
      <c r="F18" s="36" t="n">
        <f aca="false">F13+F14+F15+F16+F17</f>
        <v>-35000000</v>
      </c>
      <c r="G18" s="36" t="n">
        <f aca="false">G13+G14+G15+G16+G17</f>
        <v>-60444444</v>
      </c>
      <c r="H18" s="36" t="n">
        <f aca="false">H13+H14+H15+H16+H17</f>
        <v>-49555556</v>
      </c>
      <c r="I18" s="34"/>
    </row>
    <row r="19" customFormat="false" ht="15" hidden="false" customHeight="false" outlineLevel="0" collapsed="false">
      <c r="A19" s="13" t="s">
        <v>564</v>
      </c>
      <c r="B19" s="12" t="s">
        <v>565</v>
      </c>
      <c r="C19" s="47" t="s">
        <v>540</v>
      </c>
      <c r="D19" s="15" t="n">
        <f aca="false">BILAN!D33-BILAN!C33</f>
        <v>0</v>
      </c>
      <c r="E19" s="15" t="n">
        <f aca="false">BILAN!E33-BILAN!D33</f>
        <v>0</v>
      </c>
      <c r="F19" s="15" t="n">
        <f aca="false">BILAN!F33-BILAN!E33</f>
        <v>0</v>
      </c>
      <c r="G19" s="15" t="n">
        <f aca="false">BILAN!G33-BILAN!F33</f>
        <v>0</v>
      </c>
      <c r="H19" s="15" t="n">
        <f aca="false">BILAN!H33-BILAN!G33</f>
        <v>0</v>
      </c>
    </row>
    <row r="20" customFormat="false" ht="15" hidden="false" customHeight="false" outlineLevel="0" collapsed="false">
      <c r="A20" s="13" t="s">
        <v>566</v>
      </c>
      <c r="B20" s="12" t="s">
        <v>567</v>
      </c>
      <c r="C20" s="47" t="s">
        <v>540</v>
      </c>
      <c r="D20" s="15" t="n">
        <f aca="false">BILAN!D41-BILAN!C41</f>
        <v>0</v>
      </c>
      <c r="E20" s="15" t="n">
        <f aca="false">BILAN!E41-BILAN!D41</f>
        <v>0</v>
      </c>
      <c r="F20" s="15" t="n">
        <f aca="false">BILAN!F41-BILAN!E41</f>
        <v>0</v>
      </c>
      <c r="G20" s="15" t="n">
        <f aca="false">BILAN!G41-BILAN!F41</f>
        <v>0</v>
      </c>
      <c r="H20" s="15" t="n">
        <f aca="false">BILAN!H41-BILAN!G41</f>
        <v>0</v>
      </c>
    </row>
    <row r="21" customFormat="false" ht="15" hidden="false" customHeight="false" outlineLevel="0" collapsed="false">
      <c r="A21" s="13" t="s">
        <v>568</v>
      </c>
      <c r="B21" s="12" t="s">
        <v>569</v>
      </c>
      <c r="C21" s="47" t="s">
        <v>540</v>
      </c>
      <c r="D21" s="20" t="n">
        <f aca="false">0</f>
        <v>0</v>
      </c>
      <c r="E21" s="20" t="n">
        <f aca="false">0</f>
        <v>0</v>
      </c>
      <c r="F21" s="20" t="n">
        <f aca="false">0</f>
        <v>0</v>
      </c>
      <c r="G21" s="20" t="n">
        <f aca="false">0</f>
        <v>0</v>
      </c>
      <c r="H21" s="20" t="n">
        <f aca="false">0</f>
        <v>0</v>
      </c>
    </row>
    <row r="22" customFormat="false" ht="15" hidden="false" customHeight="false" outlineLevel="0" collapsed="false">
      <c r="A22" s="13" t="s">
        <v>570</v>
      </c>
      <c r="B22" s="12" t="s">
        <v>571</v>
      </c>
      <c r="C22" s="47" t="s">
        <v>540</v>
      </c>
      <c r="D22" s="15" t="n">
        <f aca="false">-((BILAN!C37+BILAN!C38+BILAN!C39+BILAN!C40)-(BILAN!D37+BILAN!D38+BILAN!D39))</f>
        <v>-0</v>
      </c>
      <c r="E22" s="15" t="n">
        <f aca="false">-((BILAN!D37+BILAN!D38+BILAN!D39+BILAN!D40)-(BILAN!E37+BILAN!E38+BILAN!E39))</f>
        <v>-0</v>
      </c>
      <c r="F22" s="15" t="n">
        <f aca="false">-((BILAN!E37+BILAN!E38+BILAN!E39+BILAN!E40)-(BILAN!F37+BILAN!F38+BILAN!F39))</f>
        <v>-0</v>
      </c>
      <c r="G22" s="15" t="n">
        <f aca="false">-((BILAN!F37+BILAN!F38+BILAN!F39+BILAN!F40)-(BILAN!G37+BILAN!G38+BILAN!G39))</f>
        <v>-0</v>
      </c>
      <c r="H22" s="15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5" t="s">
        <v>572</v>
      </c>
      <c r="B23" s="35" t="s">
        <v>573</v>
      </c>
      <c r="C23" s="46" t="s">
        <v>540</v>
      </c>
      <c r="D23" s="36" t="n">
        <f aca="false">D19+D20+D21+D22</f>
        <v>0</v>
      </c>
      <c r="E23" s="36" t="n">
        <f aca="false">E19+E20+E21+E22</f>
        <v>0</v>
      </c>
      <c r="F23" s="36" t="n">
        <f aca="false">F19+F20+F21+F22</f>
        <v>0</v>
      </c>
      <c r="G23" s="36" t="n">
        <f aca="false">G19+G20+G21+G22</f>
        <v>0</v>
      </c>
      <c r="H23" s="36" t="n">
        <f aca="false">H19+H20+H21+H22</f>
        <v>0</v>
      </c>
      <c r="I23" s="34"/>
    </row>
    <row r="24" customFormat="false" ht="15" hidden="false" customHeight="false" outlineLevel="0" collapsed="false">
      <c r="A24" s="13" t="s">
        <v>574</v>
      </c>
      <c r="B24" s="12" t="s">
        <v>575</v>
      </c>
      <c r="C24" s="47" t="s">
        <v>540</v>
      </c>
      <c r="D24" s="15" t="n">
        <f aca="false">'INVEST ET FINANCEMENT'!D47</f>
        <v>54395682</v>
      </c>
      <c r="E24" s="15" t="n">
        <f aca="false">'INVEST ET FINANCEMENT'!E47</f>
        <v>0</v>
      </c>
      <c r="F24" s="15" t="n">
        <f aca="false">'INVEST ET FINANCEMENT'!F47</f>
        <v>0</v>
      </c>
      <c r="G24" s="15" t="n">
        <f aca="false">'INVEST ET FINANCEMENT'!G47</f>
        <v>0</v>
      </c>
      <c r="H24" s="15" t="n">
        <f aca="false">'INVEST ET FINANCEMENT'!H47</f>
        <v>0</v>
      </c>
    </row>
    <row r="25" customFormat="false" ht="15" hidden="false" customHeight="false" outlineLevel="0" collapsed="false">
      <c r="A25" s="13" t="s">
        <v>576</v>
      </c>
      <c r="B25" s="12" t="s">
        <v>577</v>
      </c>
      <c r="C25" s="47" t="s">
        <v>540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0" t="n">
        <f aca="false">0</f>
        <v>0</v>
      </c>
      <c r="H25" s="20" t="n">
        <f aca="false">0</f>
        <v>0</v>
      </c>
    </row>
    <row r="26" customFormat="false" ht="15" hidden="false" customHeight="false" outlineLevel="0" collapsed="false">
      <c r="A26" s="13" t="s">
        <v>578</v>
      </c>
      <c r="B26" s="12" t="s">
        <v>579</v>
      </c>
      <c r="C26" s="47" t="s">
        <v>540</v>
      </c>
      <c r="D26" s="15" t="n">
        <f aca="false">-('INVEST ET FINANCEMENT'!D48+'INVEST ET FINANCEMENT'!D49)</f>
        <v>-104674208</v>
      </c>
      <c r="E26" s="15" t="n">
        <f aca="false">-('INVEST ET FINANCEMENT'!E48+'INVEST ET FINANCEMENT'!E49)</f>
        <v>-0</v>
      </c>
      <c r="F26" s="15" t="n">
        <f aca="false">-('INVEST ET FINANCEMENT'!F48+'INVEST ET FINANCEMENT'!F49)</f>
        <v>-0</v>
      </c>
      <c r="G26" s="15" t="n">
        <f aca="false">-('INVEST ET FINANCEMENT'!G48+'INVEST ET FINANCEMENT'!G49)</f>
        <v>-0</v>
      </c>
      <c r="H26" s="15" t="n">
        <f aca="false">-('INVEST ET FINANCEMENT'!H48+'INVEST ET FINANCEMENT'!H49)</f>
        <v>-0</v>
      </c>
    </row>
    <row r="27" customFormat="false" ht="15" hidden="false" customHeight="false" outlineLevel="0" collapsed="false">
      <c r="A27" s="35" t="s">
        <v>580</v>
      </c>
      <c r="B27" s="35" t="s">
        <v>581</v>
      </c>
      <c r="C27" s="46" t="s">
        <v>540</v>
      </c>
      <c r="D27" s="36" t="n">
        <f aca="false">D24+D25+D26</f>
        <v>-50278526</v>
      </c>
      <c r="E27" s="36" t="n">
        <f aca="false">E24+E25+E26</f>
        <v>0</v>
      </c>
      <c r="F27" s="36" t="n">
        <f aca="false">F24+F25+F26</f>
        <v>0</v>
      </c>
      <c r="G27" s="36" t="n">
        <f aca="false">G24+G25+G26</f>
        <v>0</v>
      </c>
      <c r="H27" s="36" t="n">
        <f aca="false">H24+H25+H26</f>
        <v>0</v>
      </c>
      <c r="I27" s="34"/>
    </row>
    <row r="28" customFormat="false" ht="15" hidden="false" customHeight="false" outlineLevel="0" collapsed="false">
      <c r="A28" s="35" t="s">
        <v>582</v>
      </c>
      <c r="B28" s="35" t="s">
        <v>583</v>
      </c>
      <c r="C28" s="46" t="s">
        <v>540</v>
      </c>
      <c r="D28" s="36" t="n">
        <f aca="false">D23+D27</f>
        <v>-50278526</v>
      </c>
      <c r="E28" s="36" t="n">
        <f aca="false">E23+E27</f>
        <v>0</v>
      </c>
      <c r="F28" s="36" t="n">
        <f aca="false">F23+F27</f>
        <v>0</v>
      </c>
      <c r="G28" s="36" t="n">
        <f aca="false">G23+G27</f>
        <v>0</v>
      </c>
      <c r="H28" s="36" t="n">
        <f aca="false">H23+H27</f>
        <v>0</v>
      </c>
      <c r="I28" s="34"/>
    </row>
    <row r="29" customFormat="false" ht="15" hidden="false" customHeight="false" outlineLevel="0" collapsed="false">
      <c r="A29" s="35" t="s">
        <v>584</v>
      </c>
      <c r="B29" s="35" t="s">
        <v>585</v>
      </c>
      <c r="C29" s="46" t="s">
        <v>540</v>
      </c>
      <c r="D29" s="36" t="n">
        <f aca="false">D12+D18+D28</f>
        <v>26192037</v>
      </c>
      <c r="E29" s="36" t="n">
        <f aca="false">E12+E18+E28</f>
        <v>70782078</v>
      </c>
      <c r="F29" s="36" t="n">
        <f aca="false">F12+F18+F28</f>
        <v>144482901</v>
      </c>
      <c r="G29" s="36" t="n">
        <f aca="false">G12+G18+G28</f>
        <v>127581427</v>
      </c>
      <c r="H29" s="36" t="n">
        <f aca="false">H12+H18+H28</f>
        <v>146217649</v>
      </c>
      <c r="I29" s="34"/>
    </row>
    <row r="30" customFormat="false" ht="15" hidden="false" customHeight="false" outlineLevel="0" collapsed="false">
      <c r="A30" s="35" t="s">
        <v>586</v>
      </c>
      <c r="B30" s="35" t="s">
        <v>587</v>
      </c>
      <c r="C30" s="46" t="s">
        <v>540</v>
      </c>
      <c r="D30" s="36" t="n">
        <f aca="false">D29+D6</f>
        <v>154325995</v>
      </c>
      <c r="E30" s="36" t="n">
        <f aca="false">E29+E6</f>
        <v>225108073</v>
      </c>
      <c r="F30" s="36" t="n">
        <f aca="false">F29+F6</f>
        <v>369590974</v>
      </c>
      <c r="G30" s="36" t="n">
        <f aca="false">G29+G6</f>
        <v>497172401</v>
      </c>
      <c r="H30" s="36" t="n">
        <f aca="false">H29+H6</f>
        <v>643390050</v>
      </c>
      <c r="I30" s="34"/>
    </row>
    <row r="31" customFormat="false" ht="15" hidden="false" customHeight="false" outlineLevel="0" collapsed="false">
      <c r="B31" s="7" t="s">
        <v>588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589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590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375</v>
      </c>
      <c r="B5" s="27" t="s">
        <v>591</v>
      </c>
      <c r="C5" s="27" t="str">
        <f aca="false">"Réel "&amp;HYPOTHESES!$C$5</f>
        <v>Réel 2024</v>
      </c>
      <c r="D5" s="44" t="n">
        <f aca="false">HYPOTHESES!$C$5+1</f>
        <v>2025</v>
      </c>
      <c r="E5" s="44" t="n">
        <f aca="false">HYPOTHESES!$C$5+2</f>
        <v>2026</v>
      </c>
      <c r="F5" s="44" t="n">
        <f aca="false">HYPOTHESES!$C$5+3</f>
        <v>2027</v>
      </c>
      <c r="G5" s="44" t="n">
        <f aca="false">HYPOTHESES!$C$5+4</f>
        <v>2028</v>
      </c>
      <c r="H5" s="44" t="n">
        <f aca="false">HYPOTHESES!$C$5+5</f>
        <v>2029</v>
      </c>
      <c r="I5" s="27" t="s">
        <v>592</v>
      </c>
    </row>
    <row r="6" customFormat="false" ht="15" hidden="false" customHeight="false" outlineLevel="0" collapsed="false">
      <c r="A6" s="13"/>
      <c r="B6" s="12" t="s">
        <v>593</v>
      </c>
      <c r="C6" s="15" t="n">
        <f aca="false">ABS('BALANCE 2024'!D10)+ABS('BALANCE 2024'!F10)+ABS('BALANCE 2024'!H10)</f>
        <v>0</v>
      </c>
      <c r="D6" s="15" t="n">
        <f aca="false">ABS('BALANCE 2025'!D10)+ABS('BALANCE 2025'!F10)+ABS('BALANCE 2025'!H10)</f>
        <v>0</v>
      </c>
      <c r="E6" s="15" t="n">
        <f aca="false">ABS('BALANCE 2026'!D10)+ABS('BALANCE 2026'!F10)+ABS('BALANCE 2026'!H10)</f>
        <v>0</v>
      </c>
      <c r="F6" s="15" t="n">
        <f aca="false">ABS('BALANCE 2027'!D10)+ABS('BALANCE 2027'!F10)+ABS('BALANCE 2027'!H10)</f>
        <v>0</v>
      </c>
      <c r="G6" s="15" t="n">
        <f aca="false">ABS('BALANCE 2028'!D10)+ABS('BALANCE 2028'!F10)+ABS('BALANCE 2028'!H10)</f>
        <v>0</v>
      </c>
      <c r="H6" s="15" t="n">
        <f aca="false">ABS('BALANCE 2029'!D10)+ABS('BALANCE 2029'!F10)+ABS('BALANCE 2029'!H10)</f>
        <v>0</v>
      </c>
    </row>
    <row r="7" customFormat="false" ht="15" hidden="false" customHeight="false" outlineLevel="0" collapsed="false">
      <c r="A7" s="13"/>
      <c r="B7" s="12" t="s">
        <v>594</v>
      </c>
      <c r="C7" s="15" t="n">
        <f aca="false">SUMPRODUCT(ABS(T_BAL_2024[Contrôle]))+SUMPRODUCT(ABS('BALANCE 2024'!J5:J7))</f>
        <v>0</v>
      </c>
      <c r="D7" s="15" t="n">
        <f aca="false">SUMPRODUCT(ABS(T_BAL_2025[Contrôle]))+SUMPRODUCT(ABS('BALANCE 2025'!J5:J7))</f>
        <v>0</v>
      </c>
      <c r="E7" s="15" t="n">
        <f aca="false">SUMPRODUCT(ABS(T_BAL_2026[Contrôle]))+SUMPRODUCT(ABS('BALANCE 2026'!J5:J7))</f>
        <v>0</v>
      </c>
      <c r="F7" s="15" t="n">
        <f aca="false">SUMPRODUCT(ABS(T_BAL_2027[Contrôle]))+SUMPRODUCT(ABS('BALANCE 2027'!J5:J7))</f>
        <v>0</v>
      </c>
      <c r="G7" s="15" t="n">
        <f aca="false">SUMPRODUCT(ABS(T_BAL_2028[Contrôle]))+SUMPRODUCT(ABS('BALANCE 2028'!J5:J7))</f>
        <v>0</v>
      </c>
      <c r="H7" s="15" t="n">
        <f aca="false">SUMPRODUCT(ABS(T_BAL_2029[Contrôle]))+SUMPRODUCT(ABS('BALANCE 2029'!J5:J7))</f>
        <v>0</v>
      </c>
    </row>
    <row r="8" customFormat="false" ht="15" hidden="false" customHeight="false" outlineLevel="0" collapsed="false">
      <c r="A8" s="13"/>
      <c r="B8" s="12" t="s">
        <v>595</v>
      </c>
      <c r="C8" s="47" t="s">
        <v>540</v>
      </c>
      <c r="D8" s="15" t="n">
        <f aca="false">SUMPRODUCT(ABS((T_BAL_2024[Clôture Débit]-T_BAL_2024[Clôture Crédit])-(SUMIFS('BALANCE 2025'!$D:$D,'BALANCE 2025'!$A:$A,T_BAL_2024[Compte])-SUMIFS('BALANCE 2025'!$E:$E,'BALANCE 2025'!$A:$A,T_BAL_2024[Compte])))*(LEFT(T_BAL_2024[Compte],1)&lt;="5")*(LEFT(T_BAL_2024[Compte],2)&lt;&gt;"13"))+SUMPRODUCT(ABS(('BALANCE 2024'!$H$5:$H$7-'BALANCE 2024'!$I$5:$I$7)-(SUMIFS('BALANCE 2025'!$D:$D,'BALANCE 2025'!$A:$A,'BALANCE 2024'!$A$5:$A$7)-SUMIFS('BALANCE 2025'!$E:$E,'BALANCE 2025'!$A:$A,'BALANCE 2024'!$A$5:$A$7)))*(LEFT('BALANCE 2024'!$A$5:$A$7,1)&lt;="5")*(LEFT('BALANCE 2024'!$A$5:$A$7,2)&lt;&gt;"13"))</f>
        <v>0</v>
      </c>
      <c r="E8" s="15" t="n">
        <f aca="false">SUMPRODUCT(ABS((T_BAL_2025[Clôture Débit]-T_BAL_2025[Clôture Crédit])-(SUMIFS('BALANCE 2026'!$D:$D,'BALANCE 2026'!$A:$A,T_BAL_2025[Compte])-SUMIFS('BALANCE 2026'!$E:$E,'BALANCE 2026'!$A:$A,T_BAL_2025[Compte])))*(LEFT(T_BAL_2025[Compte],1)&lt;="5")*(LEFT(T_BAL_2025[Compte],2)&lt;&gt;"13"))+SUMPRODUCT(ABS(('BALANCE 2025'!$H$5:$H$7-'BALANCE 2025'!$I$5:$I$7)-(SUMIFS('BALANCE 2026'!$D:$D,'BALANCE 2026'!$A:$A,'BALANCE 2025'!$A$5:$A$7)-SUMIFS('BALANCE 2026'!$E:$E,'BALANCE 2026'!$A:$A,'BALANCE 2025'!$A$5:$A$7)))*(LEFT('BALANCE 2025'!$A$5:$A$7,1)&lt;="5")*(LEFT('BALANCE 2025'!$A$5:$A$7,2)&lt;&gt;"13"))</f>
        <v>0</v>
      </c>
      <c r="F8" s="15" t="n">
        <f aca="false">SUMPRODUCT(ABS((T_BAL_2026[Clôture Débit]-T_BAL_2026[Clôture Crédit])-(SUMIFS('BALANCE 2027'!$D:$D,'BALANCE 2027'!$A:$A,T_BAL_2026[Compte])-SUMIFS('BALANCE 2027'!$E:$E,'BALANCE 2027'!$A:$A,T_BAL_2026[Compte])))*(LEFT(T_BAL_2026[Compte],1)&lt;="5")*(LEFT(T_BAL_2026[Compte],2)&lt;&gt;"13"))+SUMPRODUCT(ABS(('BALANCE 2026'!$H$5:$H$7-'BALANCE 2026'!$I$5:$I$7)-(SUMIFS('BALANCE 2027'!$D:$D,'BALANCE 2027'!$A:$A,'BALANCE 2026'!$A$5:$A$7)-SUMIFS('BALANCE 2027'!$E:$E,'BALANCE 2027'!$A:$A,'BALANCE 2026'!$A$5:$A$7)))*(LEFT('BALANCE 2026'!$A$5:$A$7,1)&lt;="5")*(LEFT('BALANCE 2026'!$A$5:$A$7,2)&lt;&gt;"13"))</f>
        <v>0</v>
      </c>
      <c r="G8" s="15" t="n">
        <f aca="false">SUMPRODUCT(ABS((T_BAL_2027[Clôture Débit]-T_BAL_2027[Clôture Crédit])-(SUMIFS('BALANCE 2028'!$D:$D,'BALANCE 2028'!$A:$A,T_BAL_2027[Compte])-SUMIFS('BALANCE 2028'!$E:$E,'BALANCE 2028'!$A:$A,T_BAL_2027[Compte])))*(LEFT(T_BAL_2027[Compte],1)&lt;="5")*(LEFT(T_BAL_2027[Compte],2)&lt;&gt;"13"))+SUMPRODUCT(ABS(('BALANCE 2027'!$H$5:$H$7-'BALANCE 2027'!$I$5:$I$7)-(SUMIFS('BALANCE 2028'!$D:$D,'BALANCE 2028'!$A:$A,'BALANCE 2027'!$A$5:$A$7)-SUMIFS('BALANCE 2028'!$E:$E,'BALANCE 2028'!$A:$A,'BALANCE 2027'!$A$5:$A$7)))*(LEFT('BALANCE 2027'!$A$5:$A$7,1)&lt;="5")*(LEFT('BALANCE 2027'!$A$5:$A$7,2)&lt;&gt;"13"))</f>
        <v>0</v>
      </c>
      <c r="H8" s="15" t="n">
        <f aca="false">SUMPRODUCT(ABS((T_BAL_2028[Clôture Débit]-T_BAL_2028[Clôture Crédit])-(SUMIFS('BALANCE 2029'!$D:$D,'BALANCE 2029'!$A:$A,T_BAL_2028[Compte])-SUMIFS('BALANCE 2029'!$E:$E,'BALANCE 2029'!$A:$A,T_BAL_2028[Compte])))*(LEFT(T_BAL_2028[Compte],1)&lt;="5")*(LEFT(T_BAL_2028[Compte],2)&lt;&gt;"13"))+SUMPRODUCT(ABS(('BALANCE 2028'!$H$5:$H$7-'BALANCE 2028'!$I$5:$I$7)-(SUMIFS('BALANCE 2029'!$D:$D,'BALANCE 2029'!$A:$A,'BALANCE 2028'!$A$5:$A$7)-SUMIFS('BALANCE 2029'!$E:$E,'BALANCE 2029'!$A:$A,'BALANCE 2028'!$A$5:$A$7)))*(LEFT('BALANCE 2028'!$A$5:$A$7,1)&lt;="5")*(LEFT('BALANCE 2028'!$A$5:$A$7,2)&lt;&gt;"13"))</f>
        <v>0</v>
      </c>
    </row>
    <row r="9" customFormat="false" ht="15" hidden="false" customHeight="false" outlineLevel="0" collapsed="false">
      <c r="A9" s="13"/>
      <c r="B9" s="12" t="s">
        <v>596</v>
      </c>
      <c r="C9" s="47" t="s">
        <v>540</v>
      </c>
      <c r="D9" s="15" t="n">
        <f aca="false">((SUMPRODUCT(((LEFT(T_BAL_2025[Compte],2)="13"))*(T_BAL_2025[Ouverture Crédit]-T_BAL_2025[Ouverture Débit]))+SUMPRODUCT(((LEFT('BALANCE 2025'!$A$5:$A$7,2)="13"))*('BALANCE 2025'!$E$5:$E$7-'BALANCE 2025'!$D$5:$D$7))))-'COMPTE DE RESULTAT'!C47</f>
        <v>0</v>
      </c>
      <c r="E9" s="15" t="n">
        <f aca="false">((SUMPRODUCT(((LEFT(T_BAL_2026[Compte],2)="13"))*(T_BAL_2026[Ouverture Crédit]-T_BAL_2026[Ouverture Débit]))+SUMPRODUCT(((LEFT('BALANCE 2026'!$A$5:$A$7,2)="13"))*('BALANCE 2026'!$E$5:$E$7-'BALANCE 2026'!$D$5:$D$7))))-'COMPTE DE RESULTAT'!D47</f>
        <v>0</v>
      </c>
      <c r="F9" s="15" t="n">
        <f aca="false">((SUMPRODUCT(((LEFT(T_BAL_2027[Compte],2)="13"))*(T_BAL_2027[Ouverture Crédit]-T_BAL_2027[Ouverture Débit]))+SUMPRODUCT(((LEFT('BALANCE 2027'!$A$5:$A$7,2)="13"))*('BALANCE 2027'!$E$5:$E$7-'BALANCE 2027'!$D$5:$D$7))))-'COMPTE DE RESULTAT'!E47</f>
        <v>0</v>
      </c>
      <c r="G9" s="15" t="n">
        <f aca="false">((SUMPRODUCT(((LEFT(T_BAL_2028[Compte],2)="13"))*(T_BAL_2028[Ouverture Crédit]-T_BAL_2028[Ouverture Débit]))+SUMPRODUCT(((LEFT('BALANCE 2028'!$A$5:$A$7,2)="13"))*('BALANCE 2028'!$E$5:$E$7-'BALANCE 2028'!$D$5:$D$7))))-'COMPTE DE RESULTAT'!F47</f>
        <v>0</v>
      </c>
      <c r="H9" s="15" t="n">
        <f aca="false">((SUMPRODUCT(((LEFT(T_BAL_2029[Compte],2)="13"))*(T_BAL_2029[Ouverture Crédit]-T_BAL_2029[Ouverture Débit]))+SUMPRODUCT(((LEFT('BALANCE 2029'!$A$5:$A$7,2)="13"))*('BALANCE 2029'!$E$5:$E$7-'BALANCE 2029'!$D$5:$D$7))))-'COMPTE DE RESULTAT'!G47</f>
        <v>0</v>
      </c>
    </row>
    <row r="10" customFormat="false" ht="15" hidden="false" customHeight="false" outlineLevel="0" collapsed="false">
      <c r="A10" s="13"/>
      <c r="B10" s="12" t="s">
        <v>597</v>
      </c>
      <c r="C10" s="15" t="n">
        <f aca="false">(SUMPRODUCT(((LEFT(T_BAL_2024[Compte],1)="2"))*(T_BAL_2024[Clôture Débit]-T_BAL_2024[Clôture Crédit]))+SUMPRODUCT(((LEFT('BALANCE 2024'!$A$5:$A$7,1)="2"))*('BALANCE 2024'!$H$5:$H$7-'BALANCE 2024'!$I$5:$I$7)))-BILAN!C17</f>
        <v>0</v>
      </c>
      <c r="D10" s="15" t="n">
        <f aca="false">(SUMPRODUCT(((LEFT(T_BAL_2025[Compte],1)="2"))*(T_BAL_2025[Clôture Débit]-T_BAL_2025[Clôture Crédit]))+SUMPRODUCT(((LEFT('BALANCE 2025'!$A$5:$A$7,1)="2"))*('BALANCE 2025'!$H$5:$H$7-'BALANCE 2025'!$I$5:$I$7)))-BILAN!D17</f>
        <v>0</v>
      </c>
      <c r="E10" s="15" t="n">
        <f aca="false">(SUMPRODUCT(((LEFT(T_BAL_2026[Compte],1)="2"))*(T_BAL_2026[Clôture Débit]-T_BAL_2026[Clôture Crédit]))+SUMPRODUCT(((LEFT('BALANCE 2026'!$A$5:$A$7,1)="2"))*('BALANCE 2026'!$H$5:$H$7-'BALANCE 2026'!$I$5:$I$7)))-BILAN!E17</f>
        <v>0</v>
      </c>
      <c r="F10" s="15" t="n">
        <f aca="false">(SUMPRODUCT(((LEFT(T_BAL_2027[Compte],1)="2"))*(T_BAL_2027[Clôture Débit]-T_BAL_2027[Clôture Crédit]))+SUMPRODUCT(((LEFT('BALANCE 2027'!$A$5:$A$7,1)="2"))*('BALANCE 2027'!$H$5:$H$7-'BALANCE 2027'!$I$5:$I$7)))-BILAN!F17</f>
        <v>0</v>
      </c>
      <c r="G10" s="15" t="n">
        <f aca="false">(SUMPRODUCT(((LEFT(T_BAL_2028[Compte],1)="2"))*(T_BAL_2028[Clôture Débit]-T_BAL_2028[Clôture Crédit]))+SUMPRODUCT(((LEFT('BALANCE 2028'!$A$5:$A$7,1)="2"))*('BALANCE 2028'!$H$5:$H$7-'BALANCE 2028'!$I$5:$I$7)))-BILAN!G17</f>
        <v>0</v>
      </c>
      <c r="H10" s="15" t="n">
        <f aca="false">(SUMPRODUCT(((LEFT(T_BAL_2029[Compte],1)="2"))*(T_BAL_2029[Clôture Débit]-T_BAL_2029[Clôture Crédit]))+SUMPRODUCT(((LEFT('BALANCE 2029'!$A$5:$A$7,1)="2"))*('BALANCE 2029'!$H$5:$H$7-'BALANCE 2029'!$I$5:$I$7)))-BILAN!H17</f>
        <v>0</v>
      </c>
    </row>
    <row r="11" customFormat="false" ht="15" hidden="false" customHeight="false" outlineLevel="0" collapsed="false">
      <c r="A11" s="13"/>
      <c r="B11" s="12" t="s">
        <v>598</v>
      </c>
      <c r="C11" s="15" t="n">
        <f aca="false">(SUMPRODUCT(((LEFT(T_BAL_2024[Compte],1)="3")+(LEFT(T_BAL_2024[Compte],1)="4"))*(T_BAL_2024[Clôture Débit]-T_BAL_2024[Clôture Crédit]))+SUMPRODUCT(((LEFT('BALANCE 2024'!$A$5:$A$7,1)="3")+(LEFT('BALANCE 2024'!$A$5:$A$7,1)="4"))*('BALANCE 2024'!$H$5:$H$7-'BALANCE 2024'!$I$5:$I$7)))-(BILAN!C24-BILAN!C55)</f>
        <v>0</v>
      </c>
      <c r="D11" s="15" t="n">
        <f aca="false">(SUMPRODUCT(((LEFT(T_BAL_2025[Compte],1)="3")+(LEFT(T_BAL_2025[Compte],1)="4"))*(T_BAL_2025[Clôture Débit]-T_BAL_2025[Clôture Crédit]))+SUMPRODUCT(((LEFT('BALANCE 2025'!$A$5:$A$7,1)="3")+(LEFT('BALANCE 2025'!$A$5:$A$7,1)="4"))*('BALANCE 2025'!$H$5:$H$7-'BALANCE 2025'!$I$5:$I$7)))-(BILAN!D24-BILAN!D55)</f>
        <v>0</v>
      </c>
      <c r="E11" s="15" t="n">
        <f aca="false">(SUMPRODUCT(((LEFT(T_BAL_2026[Compte],1)="3")+(LEFT(T_BAL_2026[Compte],1)="4"))*(T_BAL_2026[Clôture Débit]-T_BAL_2026[Clôture Crédit]))+SUMPRODUCT(((LEFT('BALANCE 2026'!$A$5:$A$7,1)="3")+(LEFT('BALANCE 2026'!$A$5:$A$7,1)="4"))*('BALANCE 2026'!$H$5:$H$7-'BALANCE 2026'!$I$5:$I$7)))-(BILAN!E24-BILAN!E55)</f>
        <v>0</v>
      </c>
      <c r="F11" s="15" t="n">
        <f aca="false">(SUMPRODUCT(((LEFT(T_BAL_2027[Compte],1)="3")+(LEFT(T_BAL_2027[Compte],1)="4"))*(T_BAL_2027[Clôture Débit]-T_BAL_2027[Clôture Crédit]))+SUMPRODUCT(((LEFT('BALANCE 2027'!$A$5:$A$7,1)="3")+(LEFT('BALANCE 2027'!$A$5:$A$7,1)="4"))*('BALANCE 2027'!$H$5:$H$7-'BALANCE 2027'!$I$5:$I$7)))-(BILAN!F24-BILAN!F55)</f>
        <v>0</v>
      </c>
      <c r="G11" s="15" t="n">
        <f aca="false">(SUMPRODUCT(((LEFT(T_BAL_2028[Compte],1)="3")+(LEFT(T_BAL_2028[Compte],1)="4"))*(T_BAL_2028[Clôture Débit]-T_BAL_2028[Clôture Crédit]))+SUMPRODUCT(((LEFT('BALANCE 2028'!$A$5:$A$7,1)="3")+(LEFT('BALANCE 2028'!$A$5:$A$7,1)="4"))*('BALANCE 2028'!$H$5:$H$7-'BALANCE 2028'!$I$5:$I$7)))-(BILAN!G24-BILAN!G55)</f>
        <v>0</v>
      </c>
      <c r="H11" s="15" t="n">
        <f aca="false">(SUMPRODUCT(((LEFT(T_BAL_2029[Compte],1)="3")+(LEFT(T_BAL_2029[Compte],1)="4"))*(T_BAL_2029[Clôture Débit]-T_BAL_2029[Clôture Crédit]))+SUMPRODUCT(((LEFT('BALANCE 2029'!$A$5:$A$7,1)="3")+(LEFT('BALANCE 2029'!$A$5:$A$7,1)="4"))*('BALANCE 2029'!$H$5:$H$7-'BALANCE 2029'!$I$5:$I$7)))-(BILAN!H24-BILAN!H55)</f>
        <v>0</v>
      </c>
    </row>
    <row r="12" customFormat="false" ht="15" hidden="false" customHeight="false" outlineLevel="0" collapsed="false">
      <c r="A12" s="13"/>
      <c r="B12" s="12" t="s">
        <v>599</v>
      </c>
      <c r="C12" s="15" t="n">
        <f aca="false">(SUMPRODUCT(((LEFT(T_BAL_2024[Compte],1)="5"))*(T_BAL_2024[Clôture Débit]-T_BAL_2024[Clôture Crédit]))+SUMPRODUCT(((LEFT('BALANCE 2024'!$A$5:$A$7,1)="5"))*('BALANCE 2024'!$H$5:$H$7-'BALANCE 2024'!$I$5:$I$7)))-(BILAN!C28-BILAN!C58)</f>
        <v>0</v>
      </c>
      <c r="D12" s="15" t="n">
        <f aca="false">(SUMPRODUCT(((LEFT(T_BAL_2025[Compte],1)="5"))*(T_BAL_2025[Clôture Débit]-T_BAL_2025[Clôture Crédit]))+SUMPRODUCT(((LEFT('BALANCE 2025'!$A$5:$A$7,1)="5"))*('BALANCE 2025'!$H$5:$H$7-'BALANCE 2025'!$I$5:$I$7)))-(BILAN!D28-BILAN!D58)</f>
        <v>0</v>
      </c>
      <c r="E12" s="15" t="n">
        <f aca="false">(SUMPRODUCT(((LEFT(T_BAL_2026[Compte],1)="5"))*(T_BAL_2026[Clôture Débit]-T_BAL_2026[Clôture Crédit]))+SUMPRODUCT(((LEFT('BALANCE 2026'!$A$5:$A$7,1)="5"))*('BALANCE 2026'!$H$5:$H$7-'BALANCE 2026'!$I$5:$I$7)))-(BILAN!E28-BILAN!E58)</f>
        <v>0</v>
      </c>
      <c r="F12" s="15" t="n">
        <f aca="false">(SUMPRODUCT(((LEFT(T_BAL_2027[Compte],1)="5"))*(T_BAL_2027[Clôture Débit]-T_BAL_2027[Clôture Crédit]))+SUMPRODUCT(((LEFT('BALANCE 2027'!$A$5:$A$7,1)="5"))*('BALANCE 2027'!$H$5:$H$7-'BALANCE 2027'!$I$5:$I$7)))-(BILAN!F28-BILAN!F58)</f>
        <v>0</v>
      </c>
      <c r="G12" s="15" t="n">
        <f aca="false">(SUMPRODUCT(((LEFT(T_BAL_2028[Compte],1)="5"))*(T_BAL_2028[Clôture Débit]-T_BAL_2028[Clôture Crédit]))+SUMPRODUCT(((LEFT('BALANCE 2028'!$A$5:$A$7,1)="5"))*('BALANCE 2028'!$H$5:$H$7-'BALANCE 2028'!$I$5:$I$7)))-(BILAN!G28-BILAN!G58)</f>
        <v>0</v>
      </c>
      <c r="H12" s="15" t="n">
        <f aca="false">(SUMPRODUCT(((LEFT(T_BAL_2029[Compte],1)="5"))*(T_BAL_2029[Clôture Débit]-T_BAL_2029[Clôture Crédit]))+SUMPRODUCT(((LEFT('BALANCE 2029'!$A$5:$A$7,1)="5"))*('BALANCE 2029'!$H$5:$H$7-'BALANCE 2029'!$I$5:$I$7)))-(BILAN!H28-BILAN!H58)</f>
        <v>0</v>
      </c>
    </row>
    <row r="13" customFormat="false" ht="15" hidden="false" customHeight="false" outlineLevel="0" collapsed="false">
      <c r="A13" s="13"/>
      <c r="B13" s="12" t="s">
        <v>600</v>
      </c>
      <c r="C13" s="15" t="n">
        <f aca="false">-((SUMPRODUCT(((LEFT(T_BAL_2024[Compte],1)="1"))*(T_BAL_2024[Clôture Débit]-T_BAL_2024[Clôture Crédit]))+SUMPRODUCT(((LEFT('BALANCE 2024'!$A$5:$A$7,1)="1"))*('BALANCE 2024'!$H$5:$H$7-'BALANCE 2024'!$I$5:$I$7))))+'COMPTE DE RESULTAT'!C47-(BILAN!C43+BILAN!C47)</f>
        <v>0</v>
      </c>
      <c r="D13" s="15" t="n">
        <f aca="false">-((SUMPRODUCT(((LEFT(T_BAL_2025[Compte],1)="1"))*(T_BAL_2025[Clôture Débit]-T_BAL_2025[Clôture Crédit]))+SUMPRODUCT(((LEFT('BALANCE 2025'!$A$5:$A$7,1)="1"))*('BALANCE 2025'!$H$5:$H$7-'BALANCE 2025'!$I$5:$I$7))))+'COMPTE DE RESULTAT'!D47-(BILAN!D43+BILAN!D47)</f>
        <v>0</v>
      </c>
      <c r="E13" s="15" t="n">
        <f aca="false">-((SUMPRODUCT(((LEFT(T_BAL_2026[Compte],1)="1"))*(T_BAL_2026[Clôture Débit]-T_BAL_2026[Clôture Crédit]))+SUMPRODUCT(((LEFT('BALANCE 2026'!$A$5:$A$7,1)="1"))*('BALANCE 2026'!$H$5:$H$7-'BALANCE 2026'!$I$5:$I$7))))+'COMPTE DE RESULTAT'!E47-(BILAN!E43+BILAN!E47)</f>
        <v>0</v>
      </c>
      <c r="F13" s="15" t="n">
        <f aca="false">-((SUMPRODUCT(((LEFT(T_BAL_2027[Compte],1)="1"))*(T_BAL_2027[Clôture Débit]-T_BAL_2027[Clôture Crédit]))+SUMPRODUCT(((LEFT('BALANCE 2027'!$A$5:$A$7,1)="1"))*('BALANCE 2027'!$H$5:$H$7-'BALANCE 2027'!$I$5:$I$7))))+'COMPTE DE RESULTAT'!F47-(BILAN!F43+BILAN!F47)</f>
        <v>0</v>
      </c>
      <c r="G13" s="15" t="n">
        <f aca="false">-((SUMPRODUCT(((LEFT(T_BAL_2028[Compte],1)="1"))*(T_BAL_2028[Clôture Débit]-T_BAL_2028[Clôture Crédit]))+SUMPRODUCT(((LEFT('BALANCE 2028'!$A$5:$A$7,1)="1"))*('BALANCE 2028'!$H$5:$H$7-'BALANCE 2028'!$I$5:$I$7))))+'COMPTE DE RESULTAT'!G47-(BILAN!G43+BILAN!G47)</f>
        <v>0</v>
      </c>
      <c r="H13" s="15" t="n">
        <f aca="false">-((SUMPRODUCT(((LEFT(T_BAL_2029[Compte],1)="1"))*(T_BAL_2029[Clôture Débit]-T_BAL_2029[Clôture Crédit]))+SUMPRODUCT(((LEFT('BALANCE 2029'!$A$5:$A$7,1)="1"))*('BALANCE 2029'!$H$5:$H$7-'BALANCE 2029'!$I$5:$I$7))))+'COMPTE DE RESULTAT'!H47-(BILAN!H43+BILAN!H47)</f>
        <v>0</v>
      </c>
    </row>
    <row r="14" customFormat="false" ht="15" hidden="false" customHeight="false" outlineLevel="0" collapsed="false">
      <c r="A14" s="13"/>
      <c r="B14" s="12" t="s">
        <v>601</v>
      </c>
      <c r="C14" s="15" t="n">
        <f aca="false">-((SUMPRODUCT(((LEFT(T_BAL_2024[Compte],1)="6")+(LEFT(T_BAL_2024[Compte],1)="7")+(LEFT(T_BAL_2024[Compte],1)="8"))*(T_BAL_2024[Clôture Débit]-T_BAL_2024[Clôture Crédit]))+SUMPRODUCT(((LEFT('BALANCE 2024'!$A$5:$A$7,1)="6")+(LEFT('BALANCE 2024'!$A$5:$A$7,1)="7")+(LEFT('BALANCE 2024'!$A$5:$A$7,1)="8"))*('BALANCE 2024'!$H$5:$H$7-'BALANCE 2024'!$I$5:$I$7))))-'COMPTE DE RESULTAT'!C47</f>
        <v>0</v>
      </c>
      <c r="D14" s="15" t="n">
        <f aca="false">-((SUMPRODUCT(((LEFT(T_BAL_2025[Compte],1)="6")+(LEFT(T_BAL_2025[Compte],1)="7")+(LEFT(T_BAL_2025[Compte],1)="8"))*(T_BAL_2025[Clôture Débit]-T_BAL_2025[Clôture Crédit]))+SUMPRODUCT(((LEFT('BALANCE 2025'!$A$5:$A$7,1)="6")+(LEFT('BALANCE 2025'!$A$5:$A$7,1)="7")+(LEFT('BALANCE 2025'!$A$5:$A$7,1)="8"))*('BALANCE 2025'!$H$5:$H$7-'BALANCE 2025'!$I$5:$I$7))))-'COMPTE DE RESULTAT'!D47</f>
        <v>0</v>
      </c>
      <c r="E14" s="15" t="n">
        <f aca="false">-((SUMPRODUCT(((LEFT(T_BAL_2026[Compte],1)="6")+(LEFT(T_BAL_2026[Compte],1)="7")+(LEFT(T_BAL_2026[Compte],1)="8"))*(T_BAL_2026[Clôture Débit]-T_BAL_2026[Clôture Crédit]))+SUMPRODUCT(((LEFT('BALANCE 2026'!$A$5:$A$7,1)="6")+(LEFT('BALANCE 2026'!$A$5:$A$7,1)="7")+(LEFT('BALANCE 2026'!$A$5:$A$7,1)="8"))*('BALANCE 2026'!$H$5:$H$7-'BALANCE 2026'!$I$5:$I$7))))-'COMPTE DE RESULTAT'!E47</f>
        <v>0</v>
      </c>
      <c r="F14" s="15" t="n">
        <f aca="false">-((SUMPRODUCT(((LEFT(T_BAL_2027[Compte],1)="6")+(LEFT(T_BAL_2027[Compte],1)="7")+(LEFT(T_BAL_2027[Compte],1)="8"))*(T_BAL_2027[Clôture Débit]-T_BAL_2027[Clôture Crédit]))+SUMPRODUCT(((LEFT('BALANCE 2027'!$A$5:$A$7,1)="6")+(LEFT('BALANCE 2027'!$A$5:$A$7,1)="7")+(LEFT('BALANCE 2027'!$A$5:$A$7,1)="8"))*('BALANCE 2027'!$H$5:$H$7-'BALANCE 2027'!$I$5:$I$7))))-'COMPTE DE RESULTAT'!F47</f>
        <v>0</v>
      </c>
      <c r="G14" s="15" t="n">
        <f aca="false">-((SUMPRODUCT(((LEFT(T_BAL_2028[Compte],1)="6")+(LEFT(T_BAL_2028[Compte],1)="7")+(LEFT(T_BAL_2028[Compte],1)="8"))*(T_BAL_2028[Clôture Débit]-T_BAL_2028[Clôture Crédit]))+SUMPRODUCT(((LEFT('BALANCE 2028'!$A$5:$A$7,1)="6")+(LEFT('BALANCE 2028'!$A$5:$A$7,1)="7")+(LEFT('BALANCE 2028'!$A$5:$A$7,1)="8"))*('BALANCE 2028'!$H$5:$H$7-'BALANCE 2028'!$I$5:$I$7))))-'COMPTE DE RESULTAT'!G47</f>
        <v>0</v>
      </c>
      <c r="H14" s="15" t="n">
        <f aca="false">-((SUMPRODUCT(((LEFT(T_BAL_2029[Compte],1)="6")+(LEFT(T_BAL_2029[Compte],1)="7")+(LEFT(T_BAL_2029[Compte],1)="8"))*(T_BAL_2029[Clôture Débit]-T_BAL_2029[Clôture Crédit]))+SUMPRODUCT(((LEFT('BALANCE 2029'!$A$5:$A$7,1)="6")+(LEFT('BALANCE 2029'!$A$5:$A$7,1)="7")+(LEFT('BALANCE 2029'!$A$5:$A$7,1)="8"))*('BALANCE 2029'!$H$5:$H$7-'BALANCE 2029'!$I$5:$I$7))))-'COMPTE DE RESULTAT'!H47</f>
        <v>0</v>
      </c>
    </row>
    <row r="15" customFormat="false" ht="15" hidden="false" customHeight="false" outlineLevel="0" collapsed="false">
      <c r="A15" s="13"/>
      <c r="B15" s="12" t="s">
        <v>602</v>
      </c>
      <c r="C15" s="15" t="n">
        <f aca="false">-((SUMPRODUCT(((LEFT(T_BAL_2024[Compte],2)="70"))*(T_BAL_2024[Clôture Débit]-T_BAL_2024[Clôture Crédit]))+SUMPRODUCT(((LEFT('BALANCE 2024'!$A$5:$A$7,2)="70"))*('BALANCE 2024'!$H$5:$H$7-'BALANCE 2024'!$I$5:$I$7))))-'COMPTE DE RESULTAT'!C13</f>
        <v>0</v>
      </c>
      <c r="D15" s="15" t="n">
        <f aca="false">-((SUMPRODUCT(((LEFT(T_BAL_2025[Compte],2)="70"))*(T_BAL_2025[Clôture Débit]-T_BAL_2025[Clôture Crédit]))+SUMPRODUCT(((LEFT('BALANCE 2025'!$A$5:$A$7,2)="70"))*('BALANCE 2025'!$H$5:$H$7-'BALANCE 2025'!$I$5:$I$7))))-'COMPTE DE RESULTAT'!D13</f>
        <v>0</v>
      </c>
      <c r="E15" s="15" t="n">
        <f aca="false">-((SUMPRODUCT(((LEFT(T_BAL_2026[Compte],2)="70"))*(T_BAL_2026[Clôture Débit]-T_BAL_2026[Clôture Crédit]))+SUMPRODUCT(((LEFT('BALANCE 2026'!$A$5:$A$7,2)="70"))*('BALANCE 2026'!$H$5:$H$7-'BALANCE 2026'!$I$5:$I$7))))-'COMPTE DE RESULTAT'!E13</f>
        <v>0</v>
      </c>
      <c r="F15" s="15" t="n">
        <f aca="false">-((SUMPRODUCT(((LEFT(T_BAL_2027[Compte],2)="70"))*(T_BAL_2027[Clôture Débit]-T_BAL_2027[Clôture Crédit]))+SUMPRODUCT(((LEFT('BALANCE 2027'!$A$5:$A$7,2)="70"))*('BALANCE 2027'!$H$5:$H$7-'BALANCE 2027'!$I$5:$I$7))))-'COMPTE DE RESULTAT'!F13</f>
        <v>0</v>
      </c>
      <c r="G15" s="15" t="n">
        <f aca="false">-((SUMPRODUCT(((LEFT(T_BAL_2028[Compte],2)="70"))*(T_BAL_2028[Clôture Débit]-T_BAL_2028[Clôture Crédit]))+SUMPRODUCT(((LEFT('BALANCE 2028'!$A$5:$A$7,2)="70"))*('BALANCE 2028'!$H$5:$H$7-'BALANCE 2028'!$I$5:$I$7))))-'COMPTE DE RESULTAT'!G13</f>
        <v>0</v>
      </c>
      <c r="H15" s="15" t="n">
        <f aca="false">-((SUMPRODUCT(((LEFT(T_BAL_2029[Compte],2)="70"))*(T_BAL_2029[Clôture Débit]-T_BAL_2029[Clôture Crédit]))+SUMPRODUCT(((LEFT('BALANCE 2029'!$A$5:$A$7,2)="70"))*('BALANCE 2029'!$H$5:$H$7-'BALANCE 2029'!$I$5:$I$7))))-'COMPTE DE RESULTAT'!H13</f>
        <v>0</v>
      </c>
    </row>
    <row r="16" customFormat="false" ht="15" hidden="false" customHeight="false" outlineLevel="0" collapsed="false">
      <c r="A16" s="13"/>
      <c r="B16" s="12" t="s">
        <v>603</v>
      </c>
      <c r="C16" s="15" t="n">
        <f aca="false">BILAN!C30-BILAN!C60</f>
        <v>0</v>
      </c>
      <c r="D16" s="15" t="n">
        <f aca="false">BILAN!D30-BILAN!D60</f>
        <v>0</v>
      </c>
      <c r="E16" s="15" t="n">
        <f aca="false">BILAN!E30-BILAN!E60</f>
        <v>0</v>
      </c>
      <c r="F16" s="15" t="n">
        <f aca="false">BILAN!F30-BILAN!F60</f>
        <v>0</v>
      </c>
      <c r="G16" s="15" t="n">
        <f aca="false">BILAN!G30-BILAN!G60</f>
        <v>0</v>
      </c>
      <c r="H16" s="15" t="n">
        <f aca="false">BILAN!H30-BILAN!H60</f>
        <v>0</v>
      </c>
    </row>
    <row r="17" customFormat="false" ht="15" hidden="false" customHeight="false" outlineLevel="0" collapsed="false">
      <c r="A17" s="13"/>
      <c r="B17" s="12" t="s">
        <v>604</v>
      </c>
      <c r="C17" s="15" t="n">
        <f aca="false">'COMPTE DE RESULTAT'!C47-HYPOTHESES!C57</f>
        <v>0</v>
      </c>
      <c r="D17" s="15" t="n">
        <f aca="false">'COMPTE DE RESULTAT'!D47-HYPOTHESES!D57</f>
        <v>0</v>
      </c>
      <c r="E17" s="15" t="n">
        <f aca="false">'COMPTE DE RESULTAT'!E47-HYPOTHESES!E57</f>
        <v>0</v>
      </c>
      <c r="F17" s="15" t="n">
        <f aca="false">'COMPTE DE RESULTAT'!F47-HYPOTHESES!F57</f>
        <v>0</v>
      </c>
      <c r="G17" s="15" t="n">
        <f aca="false">'COMPTE DE RESULTAT'!G47-HYPOTHESES!G57</f>
        <v>0</v>
      </c>
      <c r="H17" s="15" t="n">
        <f aca="false">'COMPTE DE RESULTAT'!H47-HYPOTHESES!H57</f>
        <v>0</v>
      </c>
    </row>
    <row r="18" customFormat="false" ht="15" hidden="false" customHeight="false" outlineLevel="0" collapsed="false">
      <c r="A18" s="13"/>
      <c r="B18" s="12" t="s">
        <v>605</v>
      </c>
      <c r="C18" s="47" t="s">
        <v>540</v>
      </c>
      <c r="D18" s="15" t="n">
        <f aca="false">TFT!D30-(BILAN!D28-BILAN!D58)</f>
        <v>0</v>
      </c>
      <c r="E18" s="15" t="n">
        <f aca="false">TFT!E30-(BILAN!E28-BILAN!E58)</f>
        <v>0</v>
      </c>
      <c r="F18" s="15" t="n">
        <f aca="false">TFT!F30-(BILAN!F28-BILAN!F58)</f>
        <v>0</v>
      </c>
      <c r="G18" s="15" t="n">
        <f aca="false">TFT!G30-(BILAN!G28-BILAN!G58)</f>
        <v>0</v>
      </c>
      <c r="H18" s="15" t="n">
        <f aca="false">TFT!H30-(BILAN!H28-BILAN!H58)</f>
        <v>0</v>
      </c>
    </row>
    <row r="19" customFormat="false" ht="15" hidden="false" customHeight="false" outlineLevel="0" collapsed="false">
      <c r="A19" s="13"/>
      <c r="B19" s="12" t="s">
        <v>606</v>
      </c>
      <c r="C19" s="47" t="s">
        <v>540</v>
      </c>
      <c r="D19" s="15" t="n">
        <f aca="false">BILAN!D43-(BILAN!C43+'COMPTE DE RESULTAT'!D47+TFT!D22+TFT!D19+TFT!D20)</f>
        <v>0</v>
      </c>
      <c r="E19" s="15" t="n">
        <f aca="false">BILAN!E43-(BILAN!D43+'COMPTE DE RESULTAT'!E47+TFT!E22+TFT!E19+TFT!E20)</f>
        <v>0</v>
      </c>
      <c r="F19" s="15" t="n">
        <f aca="false">BILAN!F43-(BILAN!E43+'COMPTE DE RESULTAT'!F47+TFT!F22+TFT!F19+TFT!F20)</f>
        <v>0</v>
      </c>
      <c r="G19" s="15" t="n">
        <f aca="false">BILAN!G43-(BILAN!F43+'COMPTE DE RESULTAT'!G47+TFT!G22+TFT!G19+TFT!G20)</f>
        <v>0</v>
      </c>
      <c r="H19" s="15" t="n">
        <f aca="false">BILAN!H43-(BILAN!G43+'COMPTE DE RESULTAT'!H47+TFT!H22+TFT!H19+TFT!H20)</f>
        <v>0</v>
      </c>
    </row>
    <row r="20" customFormat="false" ht="15" hidden="false" customHeight="false" outlineLevel="0" collapsed="false">
      <c r="A20" s="13"/>
      <c r="B20" s="12" t="s">
        <v>607</v>
      </c>
      <c r="C20" s="47" t="s">
        <v>540</v>
      </c>
      <c r="D20" s="15" t="n">
        <f aca="false">TFT!D6-(BILAN!C28-BILAN!C58)</f>
        <v>0</v>
      </c>
      <c r="E20" s="15" t="n">
        <f aca="false">TFT!E6-(BILAN!D28-BILAN!D58)</f>
        <v>0</v>
      </c>
      <c r="F20" s="15" t="n">
        <f aca="false">TFT!F6-(BILAN!E28-BILAN!E58)</f>
        <v>0</v>
      </c>
      <c r="G20" s="15" t="n">
        <f aca="false">TFT!G6-(BILAN!F28-BILAN!F58)</f>
        <v>0</v>
      </c>
      <c r="H20" s="15" t="n">
        <f aca="false">TFT!H6-(BILAN!G28-BILAN!G58)</f>
        <v>0</v>
      </c>
    </row>
    <row r="21" customFormat="false" ht="15" hidden="false" customHeight="false" outlineLevel="0" collapsed="false">
      <c r="A21" s="13"/>
      <c r="B21" s="12" t="s">
        <v>608</v>
      </c>
      <c r="C21" s="15" t="n">
        <f aca="false">'INVEST ET FINANCEMENT'!C45-BILAN!C12</f>
        <v>0</v>
      </c>
      <c r="D21" s="15" t="n">
        <f aca="false">'INVEST ET FINANCEMENT'!D45-BILAN!D12</f>
        <v>0</v>
      </c>
      <c r="E21" s="15" t="n">
        <f aca="false">'INVEST ET FINANCEMENT'!E45-BILAN!E12</f>
        <v>0</v>
      </c>
      <c r="F21" s="15" t="n">
        <f aca="false">'INVEST ET FINANCEMENT'!F45-BILAN!F12</f>
        <v>0</v>
      </c>
      <c r="G21" s="15" t="n">
        <f aca="false">'INVEST ET FINANCEMENT'!G45-BILAN!G12</f>
        <v>0</v>
      </c>
      <c r="H21" s="15" t="n">
        <f aca="false">'INVEST ET FINANCEMENT'!H45-BILAN!H12</f>
        <v>0</v>
      </c>
    </row>
    <row r="22" customFormat="false" ht="15" hidden="false" customHeight="false" outlineLevel="0" collapsed="false">
      <c r="A22" s="13"/>
      <c r="B22" s="12" t="s">
        <v>609</v>
      </c>
      <c r="C22" s="47" t="s">
        <v>540</v>
      </c>
      <c r="D22" s="15" t="n">
        <f aca="false">'INVEST ET FINANCEMENT'!D77-((BILAN!D48-BILAN!D17)-(BILAN!C48-BILAN!C17))</f>
        <v>0</v>
      </c>
      <c r="E22" s="15" t="n">
        <f aca="false">'INVEST ET FINANCEMENT'!E77-((BILAN!E48-BILAN!E17)-(BILAN!D48-BILAN!D17))</f>
        <v>0</v>
      </c>
      <c r="F22" s="15" t="n">
        <f aca="false">'INVEST ET FINANCEMENT'!F77-((BILAN!F48-BILAN!F17)-(BILAN!E48-BILAN!E17))</f>
        <v>0</v>
      </c>
      <c r="G22" s="15" t="n">
        <f aca="false">'INVEST ET FINANCEMENT'!G77-((BILAN!G48-BILAN!G17)-(BILAN!F48-BILAN!F17))</f>
        <v>0</v>
      </c>
      <c r="H22" s="15" t="n">
        <f aca="false">'INVEST ET FINANCEMENT'!H77-((BILAN!H48-BILAN!H17)-(BILAN!G48-BILAN!G17))</f>
        <v>0</v>
      </c>
    </row>
    <row r="23" customFormat="false" ht="15" hidden="false" customHeight="false" outlineLevel="0" collapsed="false">
      <c r="A23" s="13"/>
      <c r="B23" s="12" t="s">
        <v>610</v>
      </c>
      <c r="C23" s="48" t="n">
        <f aca="false">COUNTIF(T_BAL_2024[Mouvements Débit],"&lt;-0.5")+COUNTIF(T_BAL_2024[Mouvements Crédit],"&lt;-0.5")+COUNTIF('BALANCE 2024'!F5:G7,"&lt;-0.5")</f>
        <v>0</v>
      </c>
      <c r="D23" s="48" t="n">
        <f aca="false">COUNTIF(T_BAL_2025[Mouvements Débit],"&lt;-0.5")+COUNTIF(T_BAL_2025[Mouvements Crédit],"&lt;-0.5")+COUNTIF('BALANCE 2025'!F5:G7,"&lt;-0.5")</f>
        <v>0</v>
      </c>
      <c r="E23" s="48" t="n">
        <f aca="false">COUNTIF(T_BAL_2026[Mouvements Débit],"&lt;-0.5")+COUNTIF(T_BAL_2026[Mouvements Crédit],"&lt;-0.5")+COUNTIF('BALANCE 2026'!F5:G7,"&lt;-0.5")</f>
        <v>0</v>
      </c>
      <c r="F23" s="48" t="n">
        <f aca="false">COUNTIF(T_BAL_2027[Mouvements Débit],"&lt;-0.5")+COUNTIF(T_BAL_2027[Mouvements Crédit],"&lt;-0.5")+COUNTIF('BALANCE 2027'!F5:G7,"&lt;-0.5")</f>
        <v>0</v>
      </c>
      <c r="G23" s="48" t="n">
        <f aca="false">COUNTIF(T_BAL_2028[Mouvements Débit],"&lt;-0.5")+COUNTIF(T_BAL_2028[Mouvements Crédit],"&lt;-0.5")+COUNTIF('BALANCE 2028'!F5:G7,"&lt;-0.5")</f>
        <v>0</v>
      </c>
      <c r="H23" s="48" t="n">
        <f aca="false">COUNTIF(T_BAL_2029[Mouvements Débit],"&lt;-0.5")+COUNTIF(T_BAL_2029[Mouvements Crédit],"&lt;-0.5")+COUNTIF('BALANCE 2029'!F5:G7,"&lt;-0.5")</f>
        <v>0</v>
      </c>
    </row>
    <row r="24" customFormat="false" ht="15" hidden="false" customHeight="false" outlineLevel="0" collapsed="false">
      <c r="A24" s="13"/>
      <c r="B24" s="12" t="s">
        <v>611</v>
      </c>
      <c r="C24" s="48" t="n">
        <f aca="false">IF(OR(BILAN!C44&lt;-0.5,BILAN!C45&lt;-0.5),1,0)</f>
        <v>0</v>
      </c>
      <c r="D24" s="48" t="n">
        <f aca="false">IF(OR(BILAN!D44&lt;-0.5,BILAN!D45&lt;-0.5),1,0)</f>
        <v>0</v>
      </c>
      <c r="E24" s="48" t="n">
        <f aca="false">IF(OR(BILAN!E44&lt;-0.5,BILAN!E45&lt;-0.5),1,0)</f>
        <v>0</v>
      </c>
      <c r="F24" s="48" t="n">
        <f aca="false">IF(OR(BILAN!F44&lt;-0.5,BILAN!F45&lt;-0.5),1,0)</f>
        <v>0</v>
      </c>
      <c r="G24" s="48" t="n">
        <f aca="false">IF(OR(BILAN!G44&lt;-0.5,BILAN!G45&lt;-0.5),1,0)</f>
        <v>0</v>
      </c>
      <c r="H24" s="48" t="n">
        <f aca="false">IF(OR(BILAN!H44&lt;-0.5,BILAN!H45&lt;-0.5),1,0)</f>
        <v>0</v>
      </c>
    </row>
    <row r="25" customFormat="false" ht="15" hidden="false" customHeight="false" outlineLevel="0" collapsed="false">
      <c r="A25" s="13"/>
      <c r="B25" s="12" t="s">
        <v>612</v>
      </c>
      <c r="C25" s="48" t="n">
        <f aca="false">IF('BALANCE 2024'!I6&gt;0.5,1,0)</f>
        <v>0</v>
      </c>
      <c r="D25" s="48" t="n">
        <f aca="false">IF('BALANCE 2025'!I6&gt;0.5,1,0)</f>
        <v>0</v>
      </c>
      <c r="E25" s="48" t="n">
        <f aca="false">IF('BALANCE 2026'!I6&gt;0.5,1,0)</f>
        <v>0</v>
      </c>
      <c r="F25" s="48" t="n">
        <f aca="false">IF('BALANCE 2027'!I6&gt;0.5,1,0)</f>
        <v>0</v>
      </c>
      <c r="G25" s="48" t="n">
        <f aca="false">IF('BALANCE 2028'!I6&gt;0.5,1,0)</f>
        <v>0</v>
      </c>
      <c r="H25" s="48" t="n">
        <f aca="false">IF('BALANCE 2029'!I6&gt;0.5,1,0)</f>
        <v>0</v>
      </c>
    </row>
    <row r="26" customFormat="false" ht="15" hidden="false" customHeight="false" outlineLevel="0" collapsed="false">
      <c r="A26" s="13"/>
      <c r="B26" s="12" t="s">
        <v>613</v>
      </c>
      <c r="C26" s="47" t="s">
        <v>540</v>
      </c>
      <c r="D26" s="15" t="n">
        <f aca="false">IF(ABS('BALANCE 2025'!G5-'BALANCE 2025'!H12)&lt;=2,0,'BALANCE 2025'!G5-'BALANCE 2025'!H12)</f>
        <v>0</v>
      </c>
      <c r="E26" s="15" t="n">
        <f aca="false">IF(ABS('BALANCE 2026'!G5-'BALANCE 2026'!H12)&lt;=2,0,'BALANCE 2026'!G5-'BALANCE 2026'!H12)</f>
        <v>0</v>
      </c>
      <c r="F26" s="15" t="n">
        <f aca="false">IF(ABS('BALANCE 2027'!G5-'BALANCE 2027'!H12)&lt;=2,0,'BALANCE 2027'!G5-'BALANCE 2027'!H12)</f>
        <v>0</v>
      </c>
      <c r="G26" s="15" t="n">
        <f aca="false">IF(ABS('BALANCE 2028'!G5-'BALANCE 2028'!H12)&lt;=2,0,'BALANCE 2028'!G5-'BALANCE 2028'!H12)</f>
        <v>0</v>
      </c>
      <c r="H26" s="15" t="n">
        <f aca="false">IF(ABS('BALANCE 2029'!G5-'BALANCE 2029'!H12)&lt;=2,0,'BALANCE 2029'!G5-'BALANCE 2029'!H12)</f>
        <v>0</v>
      </c>
    </row>
    <row r="27" customFormat="false" ht="15" hidden="false" customHeight="false" outlineLevel="0" collapsed="false">
      <c r="A27" s="13"/>
      <c r="B27" s="12" t="s">
        <v>614</v>
      </c>
      <c r="C27" s="48" t="n">
        <f aca="false">IF(BILAN!C28-BILAN!C58&lt;0,1,0)</f>
        <v>0</v>
      </c>
      <c r="D27" s="48" t="n">
        <f aca="false">IF(BILAN!D28-BILAN!D58&lt;0,1,0)</f>
        <v>0</v>
      </c>
      <c r="E27" s="48" t="n">
        <f aca="false">IF(BILAN!E28-BILAN!E58&lt;0,1,0)</f>
        <v>0</v>
      </c>
      <c r="F27" s="48" t="n">
        <f aca="false">IF(BILAN!F28-BILAN!F58&lt;0,1,0)</f>
        <v>0</v>
      </c>
      <c r="G27" s="48" t="n">
        <f aca="false">IF(BILAN!G28-BILAN!G58&lt;0,1,0)</f>
        <v>0</v>
      </c>
      <c r="H27" s="48" t="n">
        <f aca="false">IF(BILAN!H28-BILAN!H58&lt;0,1,0)</f>
        <v>0</v>
      </c>
    </row>
    <row r="28" customFormat="false" ht="15" hidden="false" customHeight="false" outlineLevel="0" collapsed="false">
      <c r="A28" s="13"/>
      <c r="B28" s="12" t="s">
        <v>615</v>
      </c>
      <c r="C28" s="48" t="n">
        <f aca="false">IF(BILAN!C43&lt;BILAN!C33/2,1,0)</f>
        <v>0</v>
      </c>
      <c r="D28" s="48" t="n">
        <f aca="false">IF(BILAN!D43&lt;BILAN!D33/2,1,0)</f>
        <v>0</v>
      </c>
      <c r="E28" s="48" t="n">
        <f aca="false">IF(BILAN!E43&lt;BILAN!E33/2,1,0)</f>
        <v>0</v>
      </c>
      <c r="F28" s="48" t="n">
        <f aca="false">IF(BILAN!F43&lt;BILAN!F33/2,1,0)</f>
        <v>0</v>
      </c>
      <c r="G28" s="48" t="n">
        <f aca="false">IF(BILAN!G43&lt;BILAN!G33/2,1,0)</f>
        <v>0</v>
      </c>
      <c r="H28" s="48" t="n">
        <f aca="false">IF(BILAN!H43&lt;BILAN!H33/2,1,0)</f>
        <v>0</v>
      </c>
    </row>
    <row r="29" customFormat="false" ht="15" hidden="false" customHeight="false" outlineLevel="0" collapsed="false">
      <c r="B29" s="49" t="s">
        <v>616</v>
      </c>
      <c r="C29" s="50" t="n">
        <f aca="false">(ABS(N(C6))&gt;0.5)+(ABS(N(C7))&gt;0.5)+(ABS(N(C8))&gt;0.5)+(ABS(N(C9))&gt;0.5)+(ABS(N(C10))&gt;0.5)+(ABS(N(C11))&gt;0.5)+(ABS(N(C12))&gt;0.5)+(ABS(N(C13))&gt;0.5)+(ABS(N(C14))&gt;0.5)+(ABS(N(C15))&gt;0.5)+(ABS(N(C16))&gt;0.5)+(ABS(N(C17))&gt;0.5)+(ABS(N(C18))&gt;0.5)+(ABS(N(C19))&gt;0.5)+(ABS(N(C20))&gt;0.5)+(ABS(N(C21))&gt;0.5)+(ABS(N(C22))&gt;0.5)+(ABS(N(C23))&gt;0.5)+(ABS(N(C24))&gt;0.5)+(ABS(N(C25))&gt;0.5)+(ABS(N(C26))&gt;0.5)+(ABS(N(C27))&gt;0.5)+(ABS(N(C28))&gt;0.5)</f>
        <v>0</v>
      </c>
      <c r="D29" s="50" t="n">
        <f aca="false">(ABS(N(D6))&gt;0.5)+(ABS(N(D7))&gt;0.5)+(ABS(N(D8))&gt;0.5)+(ABS(N(D9))&gt;0.5)+(ABS(N(D10))&gt;0.5)+(ABS(N(D11))&gt;0.5)+(ABS(N(D12))&gt;0.5)+(ABS(N(D13))&gt;0.5)+(ABS(N(D14))&gt;0.5)+(ABS(N(D15))&gt;0.5)+(ABS(N(D16))&gt;0.5)+(ABS(N(D17))&gt;0.5)+(ABS(N(D18))&gt;0.5)+(ABS(N(D19))&gt;0.5)+(ABS(N(D20))&gt;0.5)+(ABS(N(D21))&gt;0.5)+(ABS(N(D22))&gt;0.5)+(ABS(N(D23))&gt;0.5)+(ABS(N(D24))&gt;0.5)+(ABS(N(D25))&gt;0.5)+(ABS(N(D26))&gt;0.5)+(ABS(N(D27))&gt;0.5)+(ABS(N(D28))&gt;0.5)</f>
        <v>0</v>
      </c>
      <c r="E29" s="50" t="n">
        <f aca="false">(ABS(N(E6))&gt;0.5)+(ABS(N(E7))&gt;0.5)+(ABS(N(E8))&gt;0.5)+(ABS(N(E9))&gt;0.5)+(ABS(N(E10))&gt;0.5)+(ABS(N(E11))&gt;0.5)+(ABS(N(E12))&gt;0.5)+(ABS(N(E13))&gt;0.5)+(ABS(N(E14))&gt;0.5)+(ABS(N(E15))&gt;0.5)+(ABS(N(E16))&gt;0.5)+(ABS(N(E17))&gt;0.5)+(ABS(N(E18))&gt;0.5)+(ABS(N(E19))&gt;0.5)+(ABS(N(E20))&gt;0.5)+(ABS(N(E21))&gt;0.5)+(ABS(N(E22))&gt;0.5)+(ABS(N(E23))&gt;0.5)+(ABS(N(E24))&gt;0.5)+(ABS(N(E25))&gt;0.5)+(ABS(N(E26))&gt;0.5)+(ABS(N(E27))&gt;0.5)+(ABS(N(E28))&gt;0.5)</f>
        <v>0</v>
      </c>
      <c r="F29" s="50" t="n">
        <f aca="false">(ABS(N(F6))&gt;0.5)+(ABS(N(F7))&gt;0.5)+(ABS(N(F8))&gt;0.5)+(ABS(N(F9))&gt;0.5)+(ABS(N(F10))&gt;0.5)+(ABS(N(F11))&gt;0.5)+(ABS(N(F12))&gt;0.5)+(ABS(N(F13))&gt;0.5)+(ABS(N(F14))&gt;0.5)+(ABS(N(F15))&gt;0.5)+(ABS(N(F16))&gt;0.5)+(ABS(N(F17))&gt;0.5)+(ABS(N(F18))&gt;0.5)+(ABS(N(F19))&gt;0.5)+(ABS(N(F20))&gt;0.5)+(ABS(N(F21))&gt;0.5)+(ABS(N(F22))&gt;0.5)+(ABS(N(F23))&gt;0.5)+(ABS(N(F24))&gt;0.5)+(ABS(N(F25))&gt;0.5)+(ABS(N(F26))&gt;0.5)+(ABS(N(F27))&gt;0.5)+(ABS(N(F28))&gt;0.5)</f>
        <v>0</v>
      </c>
      <c r="G29" s="50" t="n">
        <f aca="false">(ABS(N(G6))&gt;0.5)+(ABS(N(G7))&gt;0.5)+(ABS(N(G8))&gt;0.5)+(ABS(N(G9))&gt;0.5)+(ABS(N(G10))&gt;0.5)+(ABS(N(G11))&gt;0.5)+(ABS(N(G12))&gt;0.5)+(ABS(N(G13))&gt;0.5)+(ABS(N(G14))&gt;0.5)+(ABS(N(G15))&gt;0.5)+(ABS(N(G16))&gt;0.5)+(ABS(N(G17))&gt;0.5)+(ABS(N(G18))&gt;0.5)+(ABS(N(G19))&gt;0.5)+(ABS(N(G20))&gt;0.5)+(ABS(N(G21))&gt;0.5)+(ABS(N(G22))&gt;0.5)+(ABS(N(G23))&gt;0.5)+(ABS(N(G24))&gt;0.5)+(ABS(N(G25))&gt;0.5)+(ABS(N(G26))&gt;0.5)+(ABS(N(G27))&gt;0.5)+(ABS(N(G28))&gt;0.5)</f>
        <v>0</v>
      </c>
      <c r="H29" s="50" t="n">
        <f aca="false">(ABS(N(H6))&gt;0.5)+(ABS(N(H7))&gt;0.5)+(ABS(N(H8))&gt;0.5)+(ABS(N(H9))&gt;0.5)+(ABS(N(H10))&gt;0.5)+(ABS(N(H11))&gt;0.5)+(ABS(N(H12))&gt;0.5)+(ABS(N(H13))&gt;0.5)+(ABS(N(H14))&gt;0.5)+(ABS(N(H15))&gt;0.5)+(ABS(N(H16))&gt;0.5)+(ABS(N(H17))&gt;0.5)+(ABS(N(H18))&gt;0.5)+(ABS(N(H19))&gt;0.5)+(ABS(N(H20))&gt;0.5)+(ABS(N(H21))&gt;0.5)+(ABS(N(H22))&gt;0.5)+(ABS(N(H23))&gt;0.5)+(ABS(N(H24))&gt;0.5)+(ABS(N(H25))&gt;0.5)+(ABS(N(H26))&gt;0.5)+(ABS(N(H27))&gt;0.5)+(ABS(N(H28))&gt;0.5)</f>
        <v>0</v>
      </c>
      <c r="I29" s="49" t="str">
        <f aca="false">IF(SUM(C29:H29)=0,"OK","À VÉRIFIER")</f>
        <v>OK</v>
      </c>
    </row>
    <row r="31" customFormat="false" ht="15" hidden="false" customHeight="false" outlineLevel="0" collapsed="false">
      <c r="A31" s="27" t="s">
        <v>375</v>
      </c>
      <c r="B31" s="27" t="s">
        <v>617</v>
      </c>
      <c r="C31" s="27" t="str">
        <f aca="false">"Réel "&amp;HYPOTHESES!$C$5</f>
        <v>Réel 2024</v>
      </c>
      <c r="D31" s="44" t="n">
        <f aca="false">HYPOTHESES!$C$5+1</f>
        <v>2025</v>
      </c>
      <c r="E31" s="44" t="n">
        <f aca="false">HYPOTHESES!$C$5+2</f>
        <v>2026</v>
      </c>
      <c r="F31" s="44" t="n">
        <f aca="false">HYPOTHESES!$C$5+3</f>
        <v>2027</v>
      </c>
      <c r="G31" s="44" t="n">
        <f aca="false">HYPOTHESES!$C$5+4</f>
        <v>2028</v>
      </c>
      <c r="H31" s="44" t="n">
        <f aca="false">HYPOTHESES!$C$5+5</f>
        <v>2029</v>
      </c>
      <c r="I31" s="27"/>
    </row>
    <row r="32" customFormat="false" ht="15" hidden="false" customHeight="false" outlineLevel="0" collapsed="false">
      <c r="A32" s="13"/>
      <c r="B32" s="12" t="s">
        <v>618</v>
      </c>
      <c r="C32" s="51" t="str">
        <f aca="false">""</f>
        <v/>
      </c>
      <c r="D32" s="17" t="n">
        <f aca="false">IF('COMPTE DE RESULTAT'!C13=0,0,'COMPTE DE RESULTAT'!D13/'COMPTE DE RESULTAT'!C13-1)</f>
        <v>0.0700000004992678</v>
      </c>
      <c r="E32" s="17" t="n">
        <f aca="false">IF('COMPTE DE RESULTAT'!D13=0,0,'COMPTE DE RESULTAT'!E13/'COMPTE DE RESULTAT'!D13-1)</f>
        <v>0.0499999997333684</v>
      </c>
      <c r="F32" s="17" t="n">
        <f aca="false">IF('COMPTE DE RESULTAT'!E13=0,0,'COMPTE DE RESULTAT'!F13/'COMPTE DE RESULTAT'!E13-1)</f>
        <v>0.0500000005078698</v>
      </c>
      <c r="G32" s="17" t="n">
        <f aca="false">IF('COMPTE DE RESULTAT'!F13=0,0,'COMPTE DE RESULTAT'!G13/'COMPTE DE RESULTAT'!F13-1)</f>
        <v>0.0499999995767753</v>
      </c>
      <c r="H32" s="17" t="n">
        <f aca="false">IF('COMPTE DE RESULTAT'!G13=0,0,'COMPTE DE RESULTAT'!H13/'COMPTE DE RESULTAT'!G13-1)</f>
        <v>0.0500000005758161</v>
      </c>
    </row>
    <row r="33" customFormat="false" ht="15" hidden="false" customHeight="false" outlineLevel="0" collapsed="false">
      <c r="A33" s="13"/>
      <c r="B33" s="12" t="s">
        <v>619</v>
      </c>
      <c r="C33" s="17" t="n">
        <f aca="false">IF('COMPTE DE RESULTAT'!C13=0,0,'COMPTE DE RESULTAT'!C27/'COMPTE DE RESULTAT'!C13)</f>
        <v>0.422394255613904</v>
      </c>
      <c r="D33" s="17" t="n">
        <f aca="false">IF('COMPTE DE RESULTAT'!D13=0,0,'COMPTE DE RESULTAT'!D27/'COMPTE DE RESULTAT'!D13)</f>
        <v>0.422400000755101</v>
      </c>
      <c r="E33" s="17" t="n">
        <f aca="false">IF('COMPTE DE RESULTAT'!E13=0,0,'COMPTE DE RESULTAT'!E27/'COMPTE DE RESULTAT'!E13)</f>
        <v>0.422399998703916</v>
      </c>
      <c r="F33" s="17" t="n">
        <f aca="false">IF('COMPTE DE RESULTAT'!F13=0,0,'COMPTE DE RESULTAT'!F27/'COMPTE DE RESULTAT'!F13)</f>
        <v>0.422400000071585</v>
      </c>
      <c r="G33" s="17" t="n">
        <f aca="false">IF('COMPTE DE RESULTAT'!G13=0,0,'COMPTE DE RESULTAT'!G27/'COMPTE DE RESULTAT'!G13)</f>
        <v>0.422400001335893</v>
      </c>
      <c r="H33" s="17" t="n">
        <f aca="false">IF('COMPTE DE RESULTAT'!H13=0,0,'COMPTE DE RESULTAT'!H27/'COMPTE DE RESULTAT'!H13)</f>
        <v>0.422400000171977</v>
      </c>
    </row>
    <row r="34" customFormat="false" ht="15" hidden="false" customHeight="false" outlineLevel="0" collapsed="false">
      <c r="A34" s="13"/>
      <c r="B34" s="12" t="s">
        <v>620</v>
      </c>
      <c r="C34" s="17" t="n">
        <f aca="false">IF('COMPTE DE RESULTAT'!C13=0,0,'COMPTE DE RESULTAT'!C29/'COMPTE DE RESULTAT'!C13)</f>
        <v>0.271151063655286</v>
      </c>
      <c r="D34" s="17" t="n">
        <f aca="false">IF('COMPTE DE RESULTAT'!D13=0,0,'COMPTE DE RESULTAT'!D29/'COMPTE DE RESULTAT'!D13)</f>
        <v>0.271200000590856</v>
      </c>
      <c r="E34" s="17" t="n">
        <f aca="false">IF('COMPTE DE RESULTAT'!E13=0,0,'COMPTE DE RESULTAT'!E29/'COMPTE DE RESULTAT'!E13)</f>
        <v>0.271199998691728</v>
      </c>
      <c r="F34" s="17" t="n">
        <f aca="false">IF('COMPTE DE RESULTAT'!F13=0,0,'COMPTE DE RESULTAT'!F29/'COMPTE DE RESULTAT'!F13)</f>
        <v>0.271200000616215</v>
      </c>
      <c r="G34" s="17" t="n">
        <f aca="false">IF('COMPTE DE RESULTAT'!G13=0,0,'COMPTE DE RESULTAT'!G29/'COMPTE DE RESULTAT'!G13)</f>
        <v>0.271200001243763</v>
      </c>
      <c r="H34" s="17" t="n">
        <f aca="false">IF('COMPTE DE RESULTAT'!H13=0,0,'COMPTE DE RESULTAT'!H29/'COMPTE DE RESULTAT'!H13)</f>
        <v>0.271200000546641</v>
      </c>
    </row>
    <row r="35" customFormat="false" ht="15" hidden="false" customHeight="false" outlineLevel="0" collapsed="false">
      <c r="A35" s="13"/>
      <c r="B35" s="12" t="s">
        <v>621</v>
      </c>
      <c r="C35" s="17" t="n">
        <f aca="false">IF('COMPTE DE RESULTAT'!C13=0,0,'COMPTE DE RESULTAT'!C47/'COMPTE DE RESULTAT'!C13)</f>
        <v>0.103703436001107</v>
      </c>
      <c r="D35" s="17" t="n">
        <f aca="false">IF('COMPTE DE RESULTAT'!D13=0,0,'COMPTE DE RESULTAT'!D47/'COMPTE DE RESULTAT'!D13)</f>
        <v>0.123336948556003</v>
      </c>
      <c r="E35" s="17" t="n">
        <f aca="false">IF('COMPTE DE RESULTAT'!E13=0,0,'COMPTE DE RESULTAT'!E47/'COMPTE DE RESULTAT'!E13)</f>
        <v>0.109206634904051</v>
      </c>
      <c r="F35" s="17" t="n">
        <f aca="false">IF('COMPTE DE RESULTAT'!F13=0,0,'COMPTE DE RESULTAT'!F47/'COMPTE DE RESULTAT'!F13)</f>
        <v>0.110616858168252</v>
      </c>
      <c r="G35" s="17" t="n">
        <f aca="false">IF('COMPTE DE RESULTAT'!G13=0,0,'COMPTE DE RESULTAT'!G47/'COMPTE DE RESULTAT'!G13)</f>
        <v>0.116184523020176</v>
      </c>
      <c r="H35" s="17" t="n">
        <f aca="false">IF('COMPTE DE RESULTAT'!H13=0,0,'COMPTE DE RESULTAT'!H47/'COMPTE DE RESULTAT'!H13)</f>
        <v>0.118541489553644</v>
      </c>
    </row>
    <row r="36" customFormat="false" ht="15" hidden="false" customHeight="false" outlineLevel="0" collapsed="false">
      <c r="A36" s="13"/>
      <c r="B36" s="12" t="s">
        <v>622</v>
      </c>
      <c r="C36" s="15" t="n">
        <f aca="false">BILAN!C48-BILAN!C17</f>
        <v>268769832</v>
      </c>
      <c r="D36" s="15" t="n">
        <f aca="false">BILAN!D48-BILAN!D17</f>
        <v>372388410</v>
      </c>
      <c r="E36" s="15" t="n">
        <f aca="false">BILAN!E48-BILAN!E17</f>
        <v>523164561</v>
      </c>
      <c r="F36" s="15" t="n">
        <f aca="false">BILAN!F48-BILAN!F17</f>
        <v>682798347</v>
      </c>
      <c r="G36" s="15" t="n">
        <f aca="false">BILAN!G48-BILAN!G17</f>
        <v>810509865</v>
      </c>
      <c r="H36" s="15" t="n">
        <f aca="false">BILAN!H48-BILAN!H17</f>
        <v>987598207</v>
      </c>
    </row>
    <row r="37" customFormat="false" ht="15" hidden="false" customHeight="false" outlineLevel="0" collapsed="false">
      <c r="A37" s="13"/>
      <c r="B37" s="12" t="s">
        <v>623</v>
      </c>
      <c r="C37" s="15" t="n">
        <f aca="false">BILAN!C24-BILAN!C55</f>
        <v>140635874</v>
      </c>
      <c r="D37" s="15" t="n">
        <f aca="false">BILAN!D24-BILAN!D55</f>
        <v>218062415</v>
      </c>
      <c r="E37" s="15" t="n">
        <f aca="false">BILAN!E24-BILAN!E55</f>
        <v>298056488</v>
      </c>
      <c r="F37" s="15" t="n">
        <f aca="false">BILAN!F24-BILAN!F55</f>
        <v>313207373</v>
      </c>
      <c r="G37" s="15" t="n">
        <f aca="false">BILAN!G24-BILAN!G55</f>
        <v>313337464</v>
      </c>
      <c r="H37" s="15" t="n">
        <f aca="false">BILAN!H24-BILAN!H55</f>
        <v>344208157</v>
      </c>
    </row>
    <row r="38" customFormat="false" ht="15" hidden="false" customHeight="false" outlineLevel="0" collapsed="false">
      <c r="A38" s="35"/>
      <c r="B38" s="35" t="s">
        <v>624</v>
      </c>
      <c r="C38" s="36" t="n">
        <f aca="false">BILAN!C28-BILAN!C58</f>
        <v>128133958</v>
      </c>
      <c r="D38" s="36" t="n">
        <f aca="false">BILAN!D28-BILAN!D58</f>
        <v>154325995</v>
      </c>
      <c r="E38" s="36" t="n">
        <f aca="false">BILAN!E28-BILAN!E58</f>
        <v>225108073</v>
      </c>
      <c r="F38" s="36" t="n">
        <f aca="false">BILAN!F28-BILAN!F58</f>
        <v>369590974</v>
      </c>
      <c r="G38" s="36" t="n">
        <f aca="false">BILAN!G28-BILAN!G58</f>
        <v>497172401</v>
      </c>
      <c r="H38" s="36" t="n">
        <f aca="false">BILAN!H28-BILAN!H58</f>
        <v>643390050</v>
      </c>
      <c r="I38" s="34"/>
    </row>
    <row r="39" customFormat="false" ht="15" hidden="false" customHeight="false" outlineLevel="0" collapsed="false">
      <c r="A39" s="13"/>
      <c r="B39" s="12" t="s">
        <v>625</v>
      </c>
      <c r="C39" s="18" t="n">
        <f aca="false">IF('COMPTE DE RESULTAT'!C13=0,0,C37/'COMPTE DE RESULTAT'!C13*360)</f>
        <v>72.2210937202613</v>
      </c>
      <c r="D39" s="18" t="n">
        <f aca="false">IF('COMPTE DE RESULTAT'!D13=0,0,D37/'COMPTE DE RESULTAT'!D13*360)</f>
        <v>104.656205421025</v>
      </c>
      <c r="E39" s="18" t="n">
        <f aca="false">IF('COMPTE DE RESULTAT'!E13=0,0,E37/'COMPTE DE RESULTAT'!E13*360)</f>
        <v>136.236490530949</v>
      </c>
      <c r="F39" s="18" t="n">
        <f aca="false">IF('COMPTE DE RESULTAT'!F13=0,0,F37/'COMPTE DE RESULTAT'!F13*360)</f>
        <v>136.344475446575</v>
      </c>
      <c r="G39" s="18" t="n">
        <f aca="false">IF('COMPTE DE RESULTAT'!G13=0,0,G37/'COMPTE DE RESULTAT'!G13*360)</f>
        <v>129.905815540665</v>
      </c>
      <c r="H39" s="18" t="n">
        <f aca="false">IF('COMPTE DE RESULTAT'!H13=0,0,H37/'COMPTE DE RESULTAT'!H13*360)</f>
        <v>135.908972224677</v>
      </c>
    </row>
    <row r="40" customFormat="false" ht="15" hidden="false" customHeight="false" outlineLevel="0" collapsed="false">
      <c r="A40" s="13"/>
      <c r="B40" s="12" t="s">
        <v>626</v>
      </c>
      <c r="C40" s="52" t="n">
        <f aca="false">IF(BILAN!C43=0,0,(BILAN!C44+BILAN!C45+BILAN!C58)/BILAN!C43)</f>
        <v>0.0587023942433689</v>
      </c>
      <c r="D40" s="52" t="n">
        <f aca="false">IF(BILAN!D43=0,0,(BILAN!D44+BILAN!D45+BILAN!D58)/BILAN!D43)</f>
        <v>0</v>
      </c>
      <c r="E40" s="52" t="n">
        <f aca="false">IF(BILAN!E43=0,0,(BILAN!E44+BILAN!E45+BILAN!E58)/BILAN!E43)</f>
        <v>0</v>
      </c>
      <c r="F40" s="52" t="n">
        <f aca="false">IF(BILAN!F43=0,0,(BILAN!F44+BILAN!F45+BILAN!F58)/BILAN!F43)</f>
        <v>0</v>
      </c>
      <c r="G40" s="52" t="n">
        <f aca="false">IF(BILAN!G43=0,0,(BILAN!G44+BILAN!G45+BILAN!G58)/BILAN!G43)</f>
        <v>0</v>
      </c>
      <c r="H40" s="52" t="n">
        <f aca="false">IF(BILAN!H43=0,0,(BILAN!H44+BILAN!H45+BILAN!H58)/BILAN!H43)</f>
        <v>0</v>
      </c>
    </row>
    <row r="41" customFormat="false" ht="15" hidden="false" customHeight="false" outlineLevel="0" collapsed="false">
      <c r="A41" s="13"/>
      <c r="B41" s="12" t="s">
        <v>627</v>
      </c>
      <c r="C41" s="17" t="n">
        <f aca="false">IF(BILAN!C43=0,0,'COMPTE DE RESULTAT'!C47/BILAN!C43)</f>
        <v>0.0848791418170092</v>
      </c>
      <c r="D41" s="17" t="n">
        <f aca="false">IF(BILAN!D43=0,0,'COMPTE DE RESULTAT'!D47/BILAN!D43)</f>
        <v>0.0974852925078641</v>
      </c>
      <c r="E41" s="17" t="n">
        <f aca="false">IF(BILAN!E43=0,0,'COMPTE DE RESULTAT'!E47/BILAN!E43)</f>
        <v>0.0831009074936242</v>
      </c>
      <c r="F41" s="17" t="n">
        <f aca="false">IF(BILAN!F43=0,0,'COMPTE DE RESULTAT'!F47/BILAN!F43)</f>
        <v>0.0812055518785634</v>
      </c>
      <c r="G41" s="17" t="n">
        <f aca="false">IF(BILAN!G43=0,0,'COMPTE DE RESULTAT'!G47/BILAN!G43)</f>
        <v>0.0821962160926193</v>
      </c>
      <c r="H41" s="17" t="n">
        <f aca="false">IF(BILAN!H43=0,0,'COMPTE DE RESULTAT'!H47/BILAN!H43)</f>
        <v>0.0809303896542483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ignoredErrors>
    <ignoredError sqref="A1:Z400" formula="1" formulaRange="1" unlockedFormula="1" numberStoredAsText="1" emptyCellReference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2026-10-08T15:09:53Z</dcterms:created>
  <dc:creator>openpyxl</dc:creator>
  <dc:description/>
  <dc:language>en-US</dc:language>
  <cp:lastModifiedBy/>
  <dcterms:modified xsi:type="dcterms:W3CDTF">2026-10-08T15:09:53Z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