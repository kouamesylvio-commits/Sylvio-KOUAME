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<sst xmlns="http://schemas.openxmlformats.org/spreadsheetml/2006/main" count="1789" uniqueCount="583">
  <si>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</si>
  <si>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</si>
  <si>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</si>
  <si>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</si>
  <si>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</si>
  <si>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</si>
  <si>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</si>
  <si>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</si>
  <si>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</si>
  <si>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</si>
  <si>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</si>
  <si>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</si>
  <si>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</si>
  <si>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</si>
  <si>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</si>
  <si>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</si>
  <si>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</si>
  <si>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</si>
  <si>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</si>
  <si>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</si>
  <si>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</si>
  <si>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</si>
  <si>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</si>
  <si>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</si>
  <si>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</si>
  <si>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</si>
  <si>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</si>
  <si>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</si>
  <si>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</si>
  <si>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</si>
  <si>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</si>
  <si>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</si>
  <si>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</si>
  <si>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</si>
  <si>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</si>
  <si>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</si>
  <si>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</si>
  <si>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</si>
  <si>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</si>
  <si>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</si>
  <si>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</si>
  <si>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</si>
  <si>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</si>
  <si>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</si>
  <si>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</si>
  <si>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</si>
  <si>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</si>
  <si>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</si>
  <si>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</si>
  <si>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</si>
  <si>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</si>
  <si>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</si>
  <si>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</si>
  <si>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</si>
  <si>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</si>
  <si>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</si>
  <si>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</si>
  <si>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</si>
  <si>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</si>
  <si>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</si>
  <si>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</si>
  <si>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</si>
  <si>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</si>
  <si>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</si>
  <si>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</si>
  <si>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</si>
  <si>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</si>
  <si>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</si>
  <si>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</si>
  <si>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</si>
  <si>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</si>
  <si>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</si>
  <si>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</si>
  <si>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</si>
  <si>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</si>
  <si>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</si>
  <si>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</si>
  <si>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</si>
  <si>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</si>
  <si>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</si>
  <si>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</si>
  <si>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</si>
  <si>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</si>
  <si>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</si>
  <si>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</si>
  <si>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</si>
  <si>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</si>
  <si>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</si>
  <si>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</si>
  <si>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</si>
  <si>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</si>
  <si>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</si>
  <si>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</si>
  <si>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</si>
  <si>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</si>
  <si>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</si>
  <si>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</si>
  <si>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</si>
  <si>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</si>
  <si>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</si>
  <si>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</si>
  <si>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</si>
  <si>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</si>
  <si>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</si>
  <si>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</si>
  <si>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</si>
  <si>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</si>
  <si>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</si>
  <si>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</si>
  <si>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</si>
  <si>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</si>
  <si>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</si>
  <si>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</si>
  <si>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</si>
  <si>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</si>
  <si>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</si>
  <si>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</si>
  <si>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</si>
  <si>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</si>
  <si>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</si>
  <si>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</si>
  <si>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</si>
  <si>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</si>
  <si>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</si>
  <si>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</si>
  <si>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</si>
  <si>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</si>
  <si>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</si>
  <si>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</si>
  <si>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</si>
  <si>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</si>
  <si>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</si>
  <si>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</si>
  <si>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</si>
  <si>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</si>
  <si>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</si>
  <si>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</si>
  <si>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</si>
  <si>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</si>
  <si>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</si>
  <si>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</si>
  <si>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</si>
  <si>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</si>
  <si>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</si>
  <si>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</si>
  <si>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</si>
  <si>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</si>
  <si>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</si>
  <si>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</si>
  <si>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</si>
  <si>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</si>
  <si>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</si>
  <si>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</si>
  <si>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</si>
  <si>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</si>
  <si>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</si>
  <si>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</si>
  <si>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</si>
  <si>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</si>
  <si>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</si>
  <si>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</si>
  <si>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</si>
  <si>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</si>
  <si>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</si>
  <si>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</si>
  <si>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</si>
  <si>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</si>
  <si>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</si>
  <si>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</si>
  <si>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</si>
  <si>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</si>
  <si>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</si>
  <si>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</si>
  <si>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</si>
  <si>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</si>
  <si>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</si>
  <si>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</si>
  <si>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</si>
  <si>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</si>
  <si>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</si>
  <si>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</si>
  <si>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</si>
  <si>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</si>
  <si>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</si>
  <si>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</si>
  <si>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</si>
  <si>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</si>
  <si>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</si>
  <si>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</si>
  <si>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</si>
  <si>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</si>
  <si>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</si>
  <si>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 2024, mouvements 2024,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</si>
  <si>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</si>
  <si>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</si>
  <si>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</si>
  <si>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</si>
  <si>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</si>
  <si>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</si>
  <si>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</si>
  <si>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</si>
  <si>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</si>
  <si>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</si>
  <si>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</si>
  <si>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</si>
  <si>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</si>
  <si>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</si>
  <si>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</si>
  <si>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</si>
  <si>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Résultat en instance d'affectation : bénéfice</t>
  </si>
  <si>
    <t xml:space="preserve">R13</t>
  </si>
  <si>
    <t xml:space="preserve">Emprunts auprès des établissements de crédit (BNI)</t>
  </si>
  <si>
    <t xml:space="preserve">Dettes de location-acquisition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</si>
  <si>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</si>
  <si>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</si>
  <si>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</si>
  <si>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</si>
  <si>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</si>
  <si>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</si>
  <si>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</si>
  <si>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</si>
  <si>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</si>
  <si>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</si>
  <si>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</si>
  <si>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</si>
  <si>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</si>
  <si>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</si>
  <si>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</si>
  <si>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</si>
  <si>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</si>
  <si>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</si>
  <si>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</si>
  <si>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</si>
  <si>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</si>
  <si>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</si>
  <si>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</si>
  <si>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</si>
  <si>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</si>
  <si>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</si>
  <si>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</si>
  <si>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</si>
  <si>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</si>
  <si>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</si>
  <si>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</si>
  <si>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</si>
  <si>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</si>
  <si>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</si>
  <si>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</si>
  <si>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</si>
  <si>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</si>
  <si>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</si>
  <si>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</si>
  <si>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</si>
  <si>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</si>
  <si>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</si>
  <si>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</si>
  <si>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</si>
  <si>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</si>
  <si>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</si>
  <si>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</si>
  <si>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</si>
  <si>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</si>
  <si>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</si>
  <si>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</si>
  <si>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</si>
  <si>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</si>
  <si>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</si>
  <si>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</si>
  <si>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</si>
  <si>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</si>
  <si>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</si>
  <si>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</si>
  <si>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</si>
  <si>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</si>
  <si>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</si>
  <si>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</si>
  <si>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</si>
  <si>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</si>
  <si>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</si>
  <si>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</si>
  <si>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</si>
  <si>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</si>
  <si>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</si>
  <si>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</si>
  <si>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</si>
  <si>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</si>
  <si>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</si>
  <si>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</si>
  <si>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</si>
  <si>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</si>
  <si>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</si>
  <si>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</si>
  <si>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</si>
  <si>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</si>
  <si>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</si>
  <si>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</si>
  <si>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</si>
  <si>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</si>
  <si>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</si>
  <si>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</si>
  <si>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</si>
  <si>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</si>
  <si>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</si>
  <si>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</si>
  <si>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</si>
  <si>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</si>
  <si>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</si>
  <si>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</si>
  <si>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</si>
  <si>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</si>
  <si>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</si>
  <si>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</si>
  <si>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</si>
  <si>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</si>
  <si>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</si>
  <si>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</si>
  <si>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</si>
  <si>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</si>
  <si>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</si>
  <si>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</si>
  <si>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</si>
  <si>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</si>
  <si>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</si>
  <si>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</si>
  <si>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BALANCE GÉNÉRALE À 6 COLONNES : EXERCICE 2025 (PRÉVISIONNEL)</t>
  </si>
  <si>
    <t xml:space="preserve">Ouverture = clôture de l'exercice précédent (classes 6 à 8 soldées, résultat N-1 en 13). Clôture calculée depuis les hypothèses ; mouvements = flux de l'exercice. Soldes après inventaire, avant écritures de clôture. Ne rien saisir.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</si>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</sst>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2024'!$C:$C,"TC")=0,0,SUMIFS('BALANCE 2024'!$H:$H,'BALANCE 2024'!$C:$C,"RK")/SUMIFS('BALANCE 2024'!$I:$I,'BALANCE 2024'!$C:$C,"TC"))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IF(C41=0,0,SUMIFS('BALANCE 2024'!$H:$H,'BALANCE 2024'!$C:$C,"BI")/(C41*(1+D10))*360)</f>
        <v>196.827174840192</v>
      </c>
      <c r="D22" s="19" t="n">
        <v>190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IF(C48=0,0,SUMIFS('BALANCE 2024'!$I:$I,'BALANCE 2024'!$C:$C,"DJ")/(C48*(1+D10))*360)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FINANCEMENT'!C41=0,0,SUMIFS('BALANCE 2024'!$I:$I,'BALANCE 2024'!$C:$C,"DH")/'INVEST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SUMIFS('BALANCE 2024'!$I:$I,'BALANCE 2024'!$C:$C,"DH")</f>
        <v>132896547</v>
      </c>
      <c r="D26" s="20" t="n">
        <f aca="false">$C26*MAX(0,1-SUM($D25:D25))</f>
        <v>53158618.8</v>
      </c>
      <c r="E26" s="20" t="n">
        <f aca="false">$C26*MAX(0,1-SUM($D25:E25))</f>
        <v>0</v>
      </c>
      <c r="F26" s="20" t="n">
        <f aca="false">$C26*MAX(0,1-SUM($D25:F25))</f>
        <v>0</v>
      </c>
      <c r="G26" s="20" t="n">
        <f aca="false">$C26*MAX(0,1-SUM($D25:G25))</f>
        <v>0</v>
      </c>
      <c r="H26" s="20" t="n">
        <f aca="false">$C26*MAX(0,1-SUM($D25:H25))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'INVEST ET FINANCEMENT'!D41*D24/360</f>
        <v>6012616.16666667</v>
      </c>
      <c r="E27" s="20" t="n">
        <f aca="false">'INVEST ET FINANCEMENT'!E41*E24/360</f>
        <v>12736111.1111111</v>
      </c>
      <c r="F27" s="20" t="n">
        <f aca="false">'INVEST ET FINANCEMENT'!F41*F24/360</f>
        <v>12736111.1111111</v>
      </c>
      <c r="G27" s="20" t="n">
        <f aca="false">'INVEST ET FINANCEMENT'!G41*G24/360</f>
        <v>27291666.6666667</v>
      </c>
      <c r="H27" s="20" t="n">
        <f aca="false">'INVEST ET FINANCEMENT'!H41*H24/360</f>
        <v>12736111.1111111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C26</f>
        <v>132896547</v>
      </c>
      <c r="D28" s="21" t="n">
        <f aca="false">D26+D27</f>
        <v>59171234.9666667</v>
      </c>
      <c r="E28" s="21" t="n">
        <f aca="false">E26+E27</f>
        <v>12736111.1111111</v>
      </c>
      <c r="F28" s="21" t="n">
        <f aca="false">F26+F27</f>
        <v>12736111.1111111</v>
      </c>
      <c r="G28" s="21" t="n">
        <f aca="false">G26+G27</f>
        <v>27291666.6666667</v>
      </c>
      <c r="H28" s="21" t="n">
        <f aca="false">H26+H27</f>
        <v>12736111.1111111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4" t="n">
        <v>0.2</v>
      </c>
      <c r="E29" s="14" t="n">
        <v>0.2</v>
      </c>
      <c r="F29" s="14" t="n">
        <v>0.2</v>
      </c>
      <c r="G29" s="14" t="n">
        <v>0.2</v>
      </c>
      <c r="H29" s="14" t="n">
        <v>0.2</v>
      </c>
      <c r="I29" s="7" t="s">
        <v>54</v>
      </c>
    </row>
    <row r="30" customFormat="false" ht="15" hidden="false" customHeight="false" outlineLevel="0" collapsed="false">
      <c r="A30" s="12" t="s">
        <v>55</v>
      </c>
      <c r="B30" s="13" t="s">
        <v>56</v>
      </c>
      <c r="D30" s="16" t="n">
        <v>0</v>
      </c>
      <c r="E30" s="16" t="n">
        <v>0</v>
      </c>
      <c r="F30" s="16" t="n">
        <v>0</v>
      </c>
      <c r="G30" s="16" t="n">
        <v>0</v>
      </c>
      <c r="H30" s="16" t="n">
        <v>0</v>
      </c>
      <c r="I30" s="7" t="s">
        <v>57</v>
      </c>
    </row>
    <row r="31" customFormat="false" ht="15" hidden="false" customHeight="false" outlineLevel="0" collapsed="false">
      <c r="I31" s="7" t="s">
        <v>58</v>
      </c>
    </row>
    <row r="32" customFormat="false" ht="15" hidden="false" customHeight="false" outlineLevel="0" collapsed="false">
      <c r="A32" s="10" t="s">
        <v>59</v>
      </c>
      <c r="B32" s="11"/>
      <c r="C32" s="11"/>
      <c r="D32" s="11"/>
      <c r="E32" s="11"/>
      <c r="F32" s="11"/>
      <c r="G32" s="11"/>
      <c r="H32" s="11"/>
      <c r="I32" s="11"/>
    </row>
    <row r="33" customFormat="false" ht="15" hidden="false" customHeight="false" outlineLevel="0" collapsed="false">
      <c r="A33" s="12" t="s">
        <v>60</v>
      </c>
      <c r="B33" s="13" t="s">
        <v>12</v>
      </c>
      <c r="D33" s="14" t="n">
        <v>0.25</v>
      </c>
      <c r="E33" s="14" t="n">
        <v>0.25</v>
      </c>
      <c r="F33" s="14" t="n">
        <v>0.25</v>
      </c>
      <c r="G33" s="14" t="n">
        <v>0.25</v>
      </c>
      <c r="H33" s="14" t="n">
        <v>0.25</v>
      </c>
      <c r="I33" s="7" t="s">
        <v>61</v>
      </c>
    </row>
    <row r="34" customFormat="false" ht="15" hidden="false" customHeight="false" outlineLevel="0" collapsed="false">
      <c r="A34" s="12" t="s">
        <v>62</v>
      </c>
      <c r="B34" s="13" t="s">
        <v>12</v>
      </c>
      <c r="D34" s="22" t="n">
        <v>0.005</v>
      </c>
      <c r="E34" s="22" t="n">
        <v>0.005</v>
      </c>
      <c r="F34" s="22" t="n">
        <v>0.005</v>
      </c>
      <c r="G34" s="22" t="n">
        <v>0.005</v>
      </c>
      <c r="H34" s="22" t="n">
        <v>0.005</v>
      </c>
      <c r="I34" s="7" t="s">
        <v>63</v>
      </c>
    </row>
    <row r="35" customFormat="false" ht="15" hidden="false" customHeight="false" outlineLevel="0" collapsed="false">
      <c r="A35" s="12" t="s">
        <v>64</v>
      </c>
      <c r="B35" s="13" t="s">
        <v>65</v>
      </c>
      <c r="D35" s="16" t="n">
        <v>3000000</v>
      </c>
      <c r="E35" s="16" t="n">
        <v>3000000</v>
      </c>
      <c r="F35" s="16" t="n">
        <v>3000000</v>
      </c>
      <c r="G35" s="16" t="n">
        <v>3000000</v>
      </c>
      <c r="H35" s="16" t="n">
        <v>3000000</v>
      </c>
      <c r="I35" s="7" t="s">
        <v>66</v>
      </c>
    </row>
    <row r="36" customFormat="false" ht="15" hidden="false" customHeight="false" outlineLevel="0" collapsed="false">
      <c r="A36" s="12" t="s">
        <v>67</v>
      </c>
      <c r="B36" s="13" t="s">
        <v>65</v>
      </c>
      <c r="D36" s="16" t="n">
        <v>35000000</v>
      </c>
      <c r="E36" s="16" t="n">
        <v>35000000</v>
      </c>
      <c r="F36" s="16" t="n">
        <v>35000000</v>
      </c>
      <c r="G36" s="16" t="n">
        <v>35000000</v>
      </c>
      <c r="H36" s="16" t="n">
        <v>35000000</v>
      </c>
      <c r="I36" s="7" t="s">
        <v>66</v>
      </c>
    </row>
    <row r="37" customFormat="false" ht="15" hidden="false" customHeight="false" outlineLevel="0" collapsed="false">
      <c r="A37" s="12" t="s">
        <v>68</v>
      </c>
      <c r="B37" s="13" t="s">
        <v>65</v>
      </c>
      <c r="D37" s="16" t="n">
        <v>0</v>
      </c>
      <c r="E37" s="16" t="n">
        <v>0</v>
      </c>
      <c r="F37" s="16" t="n">
        <v>0</v>
      </c>
      <c r="G37" s="16" t="n">
        <v>0</v>
      </c>
      <c r="H37" s="16" t="n">
        <v>0</v>
      </c>
      <c r="I37" s="7" t="s">
        <v>69</v>
      </c>
    </row>
    <row r="38" customFormat="false" ht="15" hidden="false" customHeight="false" outlineLevel="0" collapsed="false">
      <c r="A38" s="12" t="s">
        <v>70</v>
      </c>
      <c r="B38" s="13" t="s">
        <v>12</v>
      </c>
      <c r="D38" s="14" t="n">
        <v>0.1</v>
      </c>
      <c r="E38" s="14" t="n">
        <v>0.1</v>
      </c>
      <c r="F38" s="14" t="n">
        <v>0.1</v>
      </c>
      <c r="G38" s="14" t="n">
        <v>0.1</v>
      </c>
      <c r="H38" s="14" t="n">
        <v>0.1</v>
      </c>
      <c r="I38" s="7" t="s">
        <v>71</v>
      </c>
    </row>
    <row r="39" customFormat="false" ht="15" hidden="false" customHeight="false" outlineLevel="0" collapsed="false">
      <c r="A39" s="12" t="s">
        <v>72</v>
      </c>
      <c r="B39" s="13" t="s">
        <v>12</v>
      </c>
      <c r="D39" s="14" t="n">
        <v>0.2</v>
      </c>
      <c r="E39" s="14" t="n">
        <v>0.2</v>
      </c>
      <c r="F39" s="14" t="n">
        <v>0.2</v>
      </c>
      <c r="G39" s="14" t="n">
        <v>0.2</v>
      </c>
      <c r="H39" s="14" t="n">
        <v>0.2</v>
      </c>
      <c r="I39" s="7" t="s">
        <v>73</v>
      </c>
    </row>
    <row r="40" customFormat="false" ht="15" hidden="false" customHeight="false" outlineLevel="0" collapsed="false">
      <c r="A40" s="10" t="s">
        <v>74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false" outlineLevel="0" collapsed="false">
      <c r="A41" s="4" t="s">
        <v>75</v>
      </c>
      <c r="B41" s="13" t="s">
        <v>76</v>
      </c>
      <c r="C41" s="23" t="n">
        <f aca="false">SUMIFS('BALANCE 2024'!$I:$I,'BALANCE 2024'!$C:$C,"TC")</f>
        <v>701026695</v>
      </c>
      <c r="D41" s="21" t="n">
        <f aca="false">C41*(1+D9)</f>
        <v>750098563.65</v>
      </c>
      <c r="E41" s="21" t="n">
        <f aca="false">D41*(1+E9)</f>
        <v>787603491.8325</v>
      </c>
      <c r="F41" s="21" t="n">
        <f aca="false">E41*(1+F9)</f>
        <v>826983666.424125</v>
      </c>
      <c r="G41" s="21" t="n">
        <f aca="false">F41*(1+G9)</f>
        <v>868332849.745332</v>
      </c>
      <c r="H41" s="21" t="n">
        <f aca="false">G41*(1+H9)</f>
        <v>911749492.232598</v>
      </c>
    </row>
    <row r="42" customFormat="false" ht="15" hidden="false" customHeight="false" outlineLevel="0" collapsed="false">
      <c r="A42" s="12" t="s">
        <v>20</v>
      </c>
      <c r="B42" s="13" t="s">
        <v>21</v>
      </c>
      <c r="C42" s="15" t="n">
        <f aca="false">SUMIFS('BALANCE 2024'!$H:$H,'BALANCE 2024'!$C:$C,"RE")</f>
        <v>278141464</v>
      </c>
      <c r="D42" s="20" t="n">
        <f aca="false">D41*D13</f>
        <v>297639110.05632</v>
      </c>
      <c r="E42" s="20" t="n">
        <f aca="false">E41*E13</f>
        <v>312521065.559136</v>
      </c>
      <c r="F42" s="20" t="n">
        <f aca="false">F41*F13</f>
        <v>328147118.837093</v>
      </c>
      <c r="G42" s="20" t="n">
        <f aca="false">G41*G13</f>
        <v>344554474.778948</v>
      </c>
      <c r="H42" s="20" t="n">
        <f aca="false">H41*H13</f>
        <v>361782198.517895</v>
      </c>
    </row>
    <row r="43" customFormat="false" ht="15" hidden="false" customHeight="false" outlineLevel="0" collapsed="false">
      <c r="A43" s="12" t="s">
        <v>23</v>
      </c>
      <c r="B43" s="13" t="s">
        <v>24</v>
      </c>
      <c r="C43" s="15" t="n">
        <f aca="false">SUMIFS('BALANCE 2024'!$H:$H,'BALANCE 2024'!$C:$C,"RG")</f>
        <v>3820098</v>
      </c>
      <c r="D43" s="20" t="n">
        <f aca="false">D41*D14</f>
        <v>4050532.24371</v>
      </c>
      <c r="E43" s="20" t="n">
        <f aca="false">E41*E14</f>
        <v>4253058.8558955</v>
      </c>
      <c r="F43" s="20" t="n">
        <f aca="false">F41*F14</f>
        <v>4465711.79869028</v>
      </c>
      <c r="G43" s="20" t="n">
        <f aca="false">G41*G14</f>
        <v>4688997.38862479</v>
      </c>
      <c r="H43" s="20" t="n">
        <f aca="false">H41*H14</f>
        <v>4923447.25805603</v>
      </c>
    </row>
    <row r="44" customFormat="false" ht="15" hidden="false" customHeight="false" outlineLevel="0" collapsed="false">
      <c r="A44" s="12" t="s">
        <v>25</v>
      </c>
      <c r="B44" s="13" t="s">
        <v>26</v>
      </c>
      <c r="C44" s="15" t="n">
        <f aca="false">SUMIFS('BALANCE 2024'!$H:$H,'BALANCE 2024'!$C:$C,"RH")</f>
        <v>106769083</v>
      </c>
      <c r="D44" s="20" t="n">
        <f aca="false">D41*D15</f>
        <v>114240011.243895</v>
      </c>
      <c r="E44" s="20" t="n">
        <f aca="false">E41*E15</f>
        <v>119952011.80609</v>
      </c>
      <c r="F44" s="20" t="n">
        <f aca="false">F41*F15</f>
        <v>125949612.396394</v>
      </c>
      <c r="G44" s="20" t="n">
        <f aca="false">G41*G15</f>
        <v>132247093.016214</v>
      </c>
      <c r="H44" s="20" t="n">
        <f aca="false">H41*H15</f>
        <v>138859447.667025</v>
      </c>
    </row>
    <row r="45" customFormat="false" ht="15" hidden="false" customHeight="false" outlineLevel="0" collapsed="false">
      <c r="A45" s="12" t="s">
        <v>27</v>
      </c>
      <c r="B45" s="13" t="s">
        <v>28</v>
      </c>
      <c r="C45" s="15" t="n">
        <f aca="false">SUMIFS('BALANCE 2024'!$H:$H,'BALANCE 2024'!$C:$C,"RI")</f>
        <v>14869670</v>
      </c>
      <c r="D45" s="20" t="n">
        <f aca="false">D41*D16</f>
        <v>15902089.54938</v>
      </c>
      <c r="E45" s="20" t="n">
        <f aca="false">E41*E16</f>
        <v>16697194.026849</v>
      </c>
      <c r="F45" s="20" t="n">
        <f aca="false">F41*F16</f>
        <v>17532053.7281915</v>
      </c>
      <c r="G45" s="20" t="n">
        <f aca="false">G41*G16</f>
        <v>18408656.414601</v>
      </c>
      <c r="H45" s="20" t="n">
        <f aca="false">H41*H16</f>
        <v>19329089.2353311</v>
      </c>
    </row>
    <row r="46" customFormat="false" ht="15" hidden="false" customHeight="false" outlineLevel="0" collapsed="false">
      <c r="A46" s="12" t="s">
        <v>29</v>
      </c>
      <c r="B46" s="13" t="s">
        <v>30</v>
      </c>
      <c r="C46" s="15" t="n">
        <f aca="false">SUMIFS('BALANCE 2024'!$H:$H,'BALANCE 2024'!$C:$C,"RJ")</f>
        <v>1316731</v>
      </c>
      <c r="D46" s="20" t="n">
        <f aca="false">D41*D17</f>
        <v>1425187.270935</v>
      </c>
      <c r="E46" s="20" t="n">
        <f aca="false">E41*E17</f>
        <v>1496446.63448175</v>
      </c>
      <c r="F46" s="20" t="n">
        <f aca="false">F41*F17</f>
        <v>1571268.96620584</v>
      </c>
      <c r="G46" s="20" t="n">
        <f aca="false">G41*G17</f>
        <v>1649832.41451613</v>
      </c>
      <c r="H46" s="20" t="n">
        <f aca="false">H41*H17</f>
        <v>1732324.03524194</v>
      </c>
    </row>
    <row r="47" customFormat="false" ht="15" hidden="false" customHeight="false" outlineLevel="0" collapsed="false">
      <c r="A47" s="12" t="s">
        <v>31</v>
      </c>
      <c r="B47" s="13" t="s">
        <v>32</v>
      </c>
      <c r="C47" s="15" t="n">
        <f aca="false">SUMIFS('BALANCE 2024'!$H:$H,'BALANCE 2024'!$C:$C,"RK")</f>
        <v>106025515</v>
      </c>
      <c r="D47" s="20" t="n">
        <f aca="false">D41*D18</f>
        <v>113414902.82388</v>
      </c>
      <c r="E47" s="20" t="n">
        <f aca="false">E41*E18</f>
        <v>119085647.965074</v>
      </c>
      <c r="F47" s="20" t="n">
        <f aca="false">F41*F18</f>
        <v>125039930.363328</v>
      </c>
      <c r="G47" s="20" t="n">
        <f aca="false">G41*G18</f>
        <v>131291926.881494</v>
      </c>
      <c r="H47" s="20" t="n">
        <f aca="false">H41*H18</f>
        <v>137856523.225569</v>
      </c>
    </row>
    <row r="48" customFormat="false" ht="15" hidden="false" customHeight="false" outlineLevel="0" collapsed="false">
      <c r="A48" s="12" t="s">
        <v>77</v>
      </c>
      <c r="B48" s="13"/>
      <c r="C48" s="20" t="n">
        <f aca="false">C42+C43+C44</f>
        <v>388730645</v>
      </c>
      <c r="D48" s="20" t="n">
        <f aca="false">D42+D43+D44</f>
        <v>415929653.543925</v>
      </c>
      <c r="E48" s="20" t="n">
        <f aca="false">E42+E43+E44</f>
        <v>436726136.221121</v>
      </c>
      <c r="F48" s="20" t="n">
        <f aca="false">F42+F43+F44</f>
        <v>458562443.032177</v>
      </c>
      <c r="G48" s="20" t="n">
        <f aca="false">G42+G43+G44</f>
        <v>481490565.183786</v>
      </c>
      <c r="H48" s="20" t="n">
        <f aca="false">H42+H43+H44</f>
        <v>505565093.442976</v>
      </c>
    </row>
    <row r="49" customFormat="false" ht="15" hidden="false" customHeight="false" outlineLevel="0" collapsed="false">
      <c r="A49" s="12" t="s">
        <v>78</v>
      </c>
      <c r="B49" s="13" t="s">
        <v>79</v>
      </c>
      <c r="C49" s="15" t="n">
        <f aca="false">SUMIFS('BALANCE 2024'!$H:$H,'BALANCE 2024'!$A:$A,"&gt;=691000",'BALANCE 2024'!$A:$A,"&lt;692000")</f>
        <v>6059296</v>
      </c>
      <c r="D49" s="20" t="n">
        <f aca="false">D20</f>
        <v>6059296</v>
      </c>
      <c r="E49" s="20" t="n">
        <f aca="false">E20</f>
        <v>6059296</v>
      </c>
      <c r="F49" s="20" t="n">
        <f aca="false">F20</f>
        <v>6059296</v>
      </c>
      <c r="G49" s="20" t="n">
        <f aca="false">G20</f>
        <v>6059296</v>
      </c>
      <c r="H49" s="20" t="n">
        <f aca="false">H20</f>
        <v>6059296</v>
      </c>
    </row>
    <row r="50" customFormat="false" ht="15" hidden="false" customHeight="false" outlineLevel="0" collapsed="false">
      <c r="A50" s="12" t="s">
        <v>80</v>
      </c>
      <c r="B50" s="13" t="s">
        <v>17</v>
      </c>
      <c r="C50" s="20" t="n">
        <f aca="false">C11</f>
        <v>848594</v>
      </c>
      <c r="D50" s="20" t="n">
        <f aca="false">D11</f>
        <v>848594</v>
      </c>
      <c r="E50" s="20" t="n">
        <f aca="false">E11</f>
        <v>848594</v>
      </c>
      <c r="F50" s="20" t="n">
        <f aca="false">F11</f>
        <v>848594</v>
      </c>
      <c r="G50" s="20" t="n">
        <f aca="false">G11</f>
        <v>848594</v>
      </c>
      <c r="H50" s="20" t="n">
        <f aca="false">H11</f>
        <v>848594</v>
      </c>
    </row>
    <row r="51" customFormat="false" ht="15" hidden="false" customHeight="false" outlineLevel="0" collapsed="false">
      <c r="A51" s="4" t="s">
        <v>81</v>
      </c>
      <c r="B51" s="13" t="s">
        <v>82</v>
      </c>
      <c r="C51" s="21" t="n">
        <f aca="false">C41+C50-C42-C43-C44-C45-C46-C47-'INVEST ET FINANCEMENT'!C42-C49-'INVEST ET FINANCEMENT'!C64-'INVEST ET FINANCEMENT'!C65</f>
        <v>96931836</v>
      </c>
      <c r="D51" s="21" t="n">
        <f aca="false">D41+D50-D42-D43-D44-D45-D46-D47-'INVEST ET FINANCEMENT'!D42-D49-'INVEST ET FINANCEMENT'!D64-'INVEST ET FINANCEMENT'!D65</f>
        <v>123353156.90188</v>
      </c>
      <c r="E51" s="21" t="n">
        <f aca="false">E41+E50-E42-E43-E44-E45-E46-E47-'INVEST ET FINANCEMENT'!E42-E49-'INVEST ET FINANCEMENT'!E64-'INVEST ET FINANCEMENT'!E65</f>
        <v>114682036.984974</v>
      </c>
      <c r="F51" s="21" t="n">
        <f aca="false">F41+F50-F42-F43-F44-F45-F46-F47-'INVEST ET FINANCEMENT'!F42-F49-'INVEST ET FINANCEMENT'!F64-'INVEST ET FINANCEMENT'!F65</f>
        <v>121971113.334223</v>
      </c>
      <c r="G51" s="21" t="n">
        <f aca="false">G41+G50-G42-G43-G44-G45-G46-G47-'INVEST ET FINANCEMENT'!G42-G49-'INVEST ET FINANCEMENT'!G64-'INVEST ET FINANCEMENT'!G65</f>
        <v>134515782.517601</v>
      </c>
      <c r="H51" s="21" t="n">
        <f aca="false">H41+H50-H42-H43-H44-H45-H46-H47-'INVEST ET FINANCEMENT'!H42-H49-'INVEST ET FINANCEMENT'!H64-'INVEST ET FINANCEMENT'!H65</f>
        <v>144106856.960147</v>
      </c>
    </row>
    <row r="52" customFormat="false" ht="15" hidden="false" customHeight="false" outlineLevel="0" collapsed="false">
      <c r="A52" s="12" t="s">
        <v>83</v>
      </c>
      <c r="B52" s="13"/>
      <c r="D52" s="20" t="n">
        <f aca="false">D51+D37</f>
        <v>123353156.90188</v>
      </c>
      <c r="E52" s="20" t="n">
        <f aca="false">E51+E37</f>
        <v>114682036.984974</v>
      </c>
      <c r="F52" s="20" t="n">
        <f aca="false">F51+F37</f>
        <v>121971113.334223</v>
      </c>
      <c r="G52" s="20" t="n">
        <f aca="false">G51+G37</f>
        <v>134515782.517601</v>
      </c>
      <c r="H52" s="20" t="n">
        <f aca="false">H51+H37</f>
        <v>144106856.960147</v>
      </c>
    </row>
    <row r="53" customFormat="false" ht="15" hidden="false" customHeight="false" outlineLevel="0" collapsed="false">
      <c r="A53" s="12" t="s">
        <v>84</v>
      </c>
      <c r="B53" s="13"/>
      <c r="D53" s="20" t="n">
        <f aca="false">MAX(0,D52)*D33</f>
        <v>30838289.22547</v>
      </c>
      <c r="E53" s="20" t="n">
        <f aca="false">MAX(0,E52)*E33</f>
        <v>28670509.2462435</v>
      </c>
      <c r="F53" s="20" t="n">
        <f aca="false">MAX(0,F52)*F33</f>
        <v>30492778.3335557</v>
      </c>
      <c r="G53" s="20" t="n">
        <f aca="false">MAX(0,G52)*G33</f>
        <v>33628945.6294002</v>
      </c>
      <c r="H53" s="20" t="n">
        <f aca="false">MAX(0,H52)*H33</f>
        <v>36026714.2400368</v>
      </c>
    </row>
    <row r="54" customFormat="false" ht="15" hidden="false" customHeight="false" outlineLevel="0" collapsed="false">
      <c r="A54" s="12" t="s">
        <v>85</v>
      </c>
      <c r="B54" s="13"/>
      <c r="D54" s="20" t="n">
        <f aca="false">MIN(D36,MAX(D35,D34*(D41*(1+D10)+D50)))</f>
        <v>4429824.495535</v>
      </c>
      <c r="E54" s="20" t="n">
        <f aca="false">MIN(E36,MAX(E35,E34*(E41*(1+E10)+E50)))</f>
        <v>4651103.57181175</v>
      </c>
      <c r="F54" s="20" t="n">
        <f aca="false">MIN(F36,MAX(F35,F34*(F41*(1+F10)+F50)))</f>
        <v>4883446.60190234</v>
      </c>
      <c r="G54" s="20" t="n">
        <f aca="false">MIN(G36,MAX(G35,G34*(G41*(1+G10)+G50)))</f>
        <v>5127406.78349746</v>
      </c>
      <c r="H54" s="20" t="n">
        <f aca="false">MIN(H36,MAX(H35,H34*(H41*(1+H10)+H50)))</f>
        <v>5383564.97417233</v>
      </c>
    </row>
    <row r="55" customFormat="false" ht="15" hidden="false" customHeight="false" outlineLevel="0" collapsed="false">
      <c r="A55" s="4" t="s">
        <v>86</v>
      </c>
      <c r="B55" s="13" t="s">
        <v>87</v>
      </c>
      <c r="C55" s="23" t="n">
        <f aca="false">SUMIFS('BALANCE 2024'!$H:$H,'BALANCE 2024'!$C:$C,"RS")</f>
        <v>24232959</v>
      </c>
      <c r="D55" s="21" t="n">
        <f aca="false">MAX(D53,D54)</f>
        <v>30838289.22547</v>
      </c>
      <c r="E55" s="21" t="n">
        <f aca="false">MAX(E53,E54)</f>
        <v>28670509.2462435</v>
      </c>
      <c r="F55" s="21" t="n">
        <f aca="false">MAX(F53,F54)</f>
        <v>30492778.3335557</v>
      </c>
      <c r="G55" s="21" t="n">
        <f aca="false">MAX(G53,G54)</f>
        <v>33628945.6294002</v>
      </c>
      <c r="H55" s="21" t="n">
        <f aca="false">MAX(H53,H54)</f>
        <v>36026714.2400368</v>
      </c>
    </row>
    <row r="56" customFormat="false" ht="15" hidden="false" customHeight="false" outlineLevel="0" collapsed="false">
      <c r="A56" s="4" t="s">
        <v>88</v>
      </c>
      <c r="B56" s="13" t="s">
        <v>89</v>
      </c>
      <c r="C56" s="21" t="n">
        <f aca="false">C51-C55</f>
        <v>72698877</v>
      </c>
      <c r="D56" s="21" t="n">
        <f aca="false">D51-D55</f>
        <v>92514867.6764101</v>
      </c>
      <c r="E56" s="21" t="n">
        <f aca="false">E51-E55</f>
        <v>86011527.7387305</v>
      </c>
      <c r="F56" s="21" t="n">
        <f aca="false">F51-F55</f>
        <v>91478335.0006671</v>
      </c>
      <c r="G56" s="21" t="n">
        <f aca="false">G51-G55</f>
        <v>100886836.8882</v>
      </c>
      <c r="H56" s="21" t="n">
        <f aca="false">H51-H55</f>
        <v>108080142.72011</v>
      </c>
    </row>
    <row r="57" customFormat="false" ht="15" hidden="false" customHeight="false" outlineLevel="0" collapsed="false">
      <c r="A57" s="12" t="s">
        <v>90</v>
      </c>
      <c r="B57" s="13" t="s">
        <v>91</v>
      </c>
      <c r="D57" s="20" t="n">
        <f aca="false">MIN(D38*MAX(0,C56),MAX(0,D39*'BALANCE 2024'!I5-'BALANCE 2024'!I6))</f>
        <v>2000000</v>
      </c>
      <c r="E57" s="20" t="n">
        <f aca="false">MIN(E38*MAX(0,D56),MAX(0,E39*'BALANCE 2025'!I5-'BALANCE 2025'!I6))</f>
        <v>0</v>
      </c>
      <c r="F57" s="20" t="n">
        <f aca="false">MIN(F38*MAX(0,E56),MAX(0,F39*'BALANCE 2026'!I5-'BALANCE 2026'!I6))</f>
        <v>0</v>
      </c>
      <c r="G57" s="20" t="n">
        <f aca="false">MIN(G38*MAX(0,F56),MAX(0,G39*'BALANCE 2027'!I5-'BALANCE 2027'!I6))</f>
        <v>0</v>
      </c>
      <c r="H57" s="20" t="n">
        <f aca="false">MIN(H38*MAX(0,G56),MAX(0,H39*'BALANCE 2028'!I5-'BALANCE 2028'!I6))</f>
        <v>0</v>
      </c>
    </row>
    <row r="58" customFormat="false" ht="15" hidden="false" customHeight="false" outlineLevel="0" collapsed="false">
      <c r="A58" s="12" t="s">
        <v>92</v>
      </c>
      <c r="B58" s="13" t="s">
        <v>93</v>
      </c>
      <c r="D58" s="20" t="n">
        <f aca="false">MAX(0,C56-D57)*'INVEST ET FINANCEMENT'!D55</f>
        <v>0</v>
      </c>
      <c r="E58" s="20" t="n">
        <f aca="false">MAX(0,D56-E57)*'INVEST ET FINANCEMENT'!E55</f>
        <v>0</v>
      </c>
      <c r="F58" s="20" t="n">
        <f aca="false">MAX(0,E56-F57)*'INVEST ET FINANCEMENT'!F55</f>
        <v>0</v>
      </c>
      <c r="G58" s="20" t="n">
        <f aca="false">MAX(0,F56-G57)*'INVEST ET FINANCEMENT'!G55</f>
        <v>0</v>
      </c>
      <c r="H58" s="20" t="n">
        <f aca="false">MAX(0,G56-H57)*'INVEST ET FINANCEMENT'!H55</f>
        <v>0</v>
      </c>
    </row>
    <row r="59" customFormat="false" ht="15" hidden="false" customHeight="false" outlineLevel="0" collapsed="false">
      <c r="A59" s="12" t="s">
        <v>94</v>
      </c>
      <c r="B59" s="13" t="s">
        <v>95</v>
      </c>
      <c r="D59" s="20" t="n">
        <f aca="false">C56-D57-D58</f>
        <v>70698877</v>
      </c>
      <c r="E59" s="20" t="n">
        <f aca="false">D56-E57-E58</f>
        <v>92514867.6764101</v>
      </c>
      <c r="F59" s="20" t="n">
        <f aca="false">E56-F57-F58</f>
        <v>86011527.7387305</v>
      </c>
      <c r="G59" s="20" t="n">
        <f aca="false">F56-G57-G58</f>
        <v>91478335.0006671</v>
      </c>
      <c r="H59" s="20" t="n">
        <f aca="false">G56-H57-H58</f>
        <v>100886836.8882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97</v>
      </c>
    </row>
    <row r="3" customFormat="false" ht="15" hidden="false" customHeight="false" outlineLevel="0" collapsed="false">
      <c r="A3" s="3" t="s">
        <v>98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99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100</v>
      </c>
      <c r="B9" s="13" t="s">
        <v>101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102</v>
      </c>
    </row>
    <row r="10" customFormat="false" ht="15" hidden="false" customHeight="false" outlineLevel="0" collapsed="false">
      <c r="A10" s="12" t="s">
        <v>103</v>
      </c>
      <c r="B10" s="13" t="s">
        <v>104</v>
      </c>
      <c r="C10" s="24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102</v>
      </c>
    </row>
    <row r="11" customFormat="false" ht="15" hidden="false" customHeight="false" outlineLevel="0" collapsed="false">
      <c r="A11" s="12" t="s">
        <v>105</v>
      </c>
      <c r="B11" s="13" t="s">
        <v>106</v>
      </c>
      <c r="C11" s="24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102</v>
      </c>
    </row>
    <row r="12" customFormat="false" ht="15" hidden="false" customHeight="false" outlineLevel="0" collapsed="false">
      <c r="A12" s="12" t="s">
        <v>107</v>
      </c>
      <c r="B12" s="13" t="s">
        <v>108</v>
      </c>
      <c r="C12" s="24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102</v>
      </c>
    </row>
    <row r="13" customFormat="false" ht="15" hidden="false" customHeight="false" outlineLevel="0" collapsed="false">
      <c r="A13" s="12" t="s">
        <v>109</v>
      </c>
      <c r="B13" s="13" t="s">
        <v>110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111</v>
      </c>
    </row>
    <row r="15" customFormat="false" ht="15" hidden="false" customHeight="false" outlineLevel="0" collapsed="false">
      <c r="A15" s="12" t="s">
        <v>112</v>
      </c>
      <c r="C15" s="6" t="n">
        <v>10</v>
      </c>
      <c r="I15" s="7" t="s">
        <v>113</v>
      </c>
    </row>
    <row r="16" customFormat="false" ht="15" hidden="false" customHeight="false" outlineLevel="0" collapsed="false">
      <c r="A16" s="12" t="s">
        <v>114</v>
      </c>
      <c r="C16" s="6" t="n">
        <v>5</v>
      </c>
      <c r="I16" s="7" t="s">
        <v>113</v>
      </c>
    </row>
    <row r="17" customFormat="false" ht="15" hidden="false" customHeight="false" outlineLevel="0" collapsed="false">
      <c r="A17" s="12" t="s">
        <v>115</v>
      </c>
      <c r="C17" s="6" t="n">
        <v>2</v>
      </c>
      <c r="I17" s="7" t="s">
        <v>113</v>
      </c>
    </row>
    <row r="18" customFormat="false" ht="15" hidden="false" customHeight="false" outlineLevel="0" collapsed="false">
      <c r="A18" s="12" t="s">
        <v>116</v>
      </c>
      <c r="C18" s="6" t="n">
        <v>3</v>
      </c>
      <c r="I18" s="7" t="s">
        <v>113</v>
      </c>
    </row>
    <row r="19" customFormat="false" ht="15" hidden="false" customHeight="false" outlineLevel="0" collapsed="false">
      <c r="A19" s="4" t="s">
        <v>117</v>
      </c>
    </row>
    <row r="20" customFormat="false" ht="15" hidden="false" customHeight="false" outlineLevel="0" collapsed="false">
      <c r="A20" s="12" t="s">
        <v>112</v>
      </c>
      <c r="B20" s="13" t="s">
        <v>118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114</v>
      </c>
      <c r="B21" s="13" t="s">
        <v>118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115</v>
      </c>
      <c r="B22" s="13" t="s">
        <v>118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116</v>
      </c>
      <c r="B23" s="13" t="s">
        <v>118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119</v>
      </c>
      <c r="B24" s="13" t="s">
        <v>101</v>
      </c>
      <c r="C24" s="20" t="n">
        <v>61665016</v>
      </c>
      <c r="I24" s="7" t="s">
        <v>120</v>
      </c>
    </row>
    <row r="25" customFormat="false" ht="15" hidden="false" customHeight="false" outlineLevel="0" collapsed="false">
      <c r="A25" s="12" t="s">
        <v>121</v>
      </c>
      <c r="B25" s="13" t="s">
        <v>104</v>
      </c>
      <c r="C25" s="20" t="n">
        <v>257861504</v>
      </c>
      <c r="I25" s="7" t="s">
        <v>120</v>
      </c>
    </row>
    <row r="26" customFormat="false" ht="15" hidden="false" customHeight="false" outlineLevel="0" collapsed="false">
      <c r="A26" s="12" t="s">
        <v>122</v>
      </c>
      <c r="B26" s="13" t="s">
        <v>106</v>
      </c>
      <c r="C26" s="20" t="n">
        <v>9579057</v>
      </c>
      <c r="I26" s="7" t="s">
        <v>120</v>
      </c>
    </row>
    <row r="27" customFormat="false" ht="15" hidden="false" customHeight="false" outlineLevel="0" collapsed="false">
      <c r="A27" s="12" t="s">
        <v>123</v>
      </c>
      <c r="B27" s="13" t="s">
        <v>108</v>
      </c>
      <c r="C27" s="20" t="n">
        <v>73755603</v>
      </c>
      <c r="I27" s="7" t="s">
        <v>120</v>
      </c>
    </row>
    <row r="28" customFormat="false" ht="15" hidden="false" customHeight="false" outlineLevel="0" collapsed="false">
      <c r="A28" s="10" t="s">
        <v>124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125</v>
      </c>
      <c r="B29" s="13" t="s">
        <v>118</v>
      </c>
      <c r="D29" s="20" t="n">
        <f aca="false">MIN(D20,$C24)</f>
        <v>19282845</v>
      </c>
      <c r="E29" s="20" t="n">
        <f aca="false">MIN(E20,$C24-SUM($D29:D29))</f>
        <v>19282845</v>
      </c>
      <c r="F29" s="20" t="n">
        <f aca="false">MIN(F20,$C24-SUM($D29:E29))</f>
        <v>19282845</v>
      </c>
      <c r="G29" s="20" t="n">
        <f aca="false">MIN(G20,$C24-SUM($D29:F29))</f>
        <v>3816481</v>
      </c>
      <c r="H29" s="20" t="n">
        <f aca="false">MIN(H20,$C24-SUM($D29:G29))</f>
        <v>0</v>
      </c>
    </row>
    <row r="30" customFormat="false" ht="15" hidden="false" customHeight="false" outlineLevel="0" collapsed="false">
      <c r="A30" s="12" t="s">
        <v>126</v>
      </c>
      <c r="B30" s="13" t="s">
        <v>118</v>
      </c>
      <c r="D30" s="20" t="n">
        <f aca="false">SUMPRODUCT($D9:D9/$C15*((D$7-$D$7:D$7)&lt;$C15))</f>
        <v>0</v>
      </c>
      <c r="E30" s="20" t="n">
        <f aca="false">SUMPRODUCT($D9:E9/$C15*((E$7-$D$7:E$7)&lt;$C15))</f>
        <v>0</v>
      </c>
      <c r="F30" s="20" t="n">
        <f aca="false">SUMPRODUCT($D9:F9/$C15*((F$7-$D$7:F$7)&lt;$C15))</f>
        <v>0</v>
      </c>
      <c r="G30" s="20" t="n">
        <f aca="false">SUMPRODUCT($D9:G9/$C15*((G$7-$D$7:G$7)&lt;$C15))</f>
        <v>0</v>
      </c>
      <c r="H30" s="20" t="n">
        <f aca="false">SUMPRODUCT($D9:H9/$C15*((H$7-$D$7:H$7)&lt;$C15))</f>
        <v>0</v>
      </c>
    </row>
    <row r="31" customFormat="false" ht="15" hidden="false" customHeight="false" outlineLevel="0" collapsed="false">
      <c r="A31" s="12" t="s">
        <v>127</v>
      </c>
      <c r="B31" s="13" t="s">
        <v>118</v>
      </c>
      <c r="D31" s="20" t="n">
        <f aca="false">D29+D30</f>
        <v>19282845</v>
      </c>
      <c r="E31" s="20" t="n">
        <f aca="false">E29+E30</f>
        <v>19282845</v>
      </c>
      <c r="F31" s="20" t="n">
        <f aca="false">F29+F30</f>
        <v>19282845</v>
      </c>
      <c r="G31" s="20" t="n">
        <f aca="false">G29+G30</f>
        <v>3816481</v>
      </c>
      <c r="H31" s="20" t="n">
        <f aca="false">H29+H30</f>
        <v>0</v>
      </c>
    </row>
    <row r="32" customFormat="false" ht="15" hidden="false" customHeight="false" outlineLevel="0" collapsed="false">
      <c r="A32" s="12" t="s">
        <v>128</v>
      </c>
      <c r="B32" s="13" t="s">
        <v>118</v>
      </c>
      <c r="D32" s="20" t="n">
        <f aca="false">MIN(D21,$C25)</f>
        <v>28205053</v>
      </c>
      <c r="E32" s="20" t="n">
        <f aca="false">MIN(E21,$C25-SUM($D32:D32))</f>
        <v>44854932</v>
      </c>
      <c r="F32" s="20" t="n">
        <f aca="false">MIN(F21,$C25-SUM($D32:E32))</f>
        <v>44854932</v>
      </c>
      <c r="G32" s="20" t="n">
        <f aca="false">MIN(G21,$C25-SUM($D32:F32))</f>
        <v>44854932</v>
      </c>
      <c r="H32" s="20" t="n">
        <f aca="false">MIN(H21,$C25-SUM($D32:G32))</f>
        <v>44854932</v>
      </c>
    </row>
    <row r="33" customFormat="false" ht="15" hidden="false" customHeight="false" outlineLevel="0" collapsed="false">
      <c r="A33" s="12" t="s">
        <v>129</v>
      </c>
      <c r="B33" s="13" t="s">
        <v>118</v>
      </c>
      <c r="D33" s="20" t="n">
        <f aca="false">SUMPRODUCT($D10:D10/$C16*((D$7-$D$7:D$7)&lt;$C16))</f>
        <v>0</v>
      </c>
      <c r="E33" s="20" t="n">
        <f aca="false">SUMPRODUCT($D10:E10/$C16*((E$7-$D$7:E$7)&lt;$C16))</f>
        <v>6000000</v>
      </c>
      <c r="F33" s="20" t="n">
        <f aca="false">SUMPRODUCT($D10:F10/$C16*((F$7-$D$7:F$7)&lt;$C16))</f>
        <v>12000000</v>
      </c>
      <c r="G33" s="20" t="n">
        <f aca="false">SUMPRODUCT($D10:G10/$C16*((G$7-$D$7:G$7)&lt;$C16))</f>
        <v>18000000</v>
      </c>
      <c r="H33" s="20" t="n">
        <f aca="false">SUMPRODUCT($D10:H10/$C16*((H$7-$D$7:H$7)&lt;$C16))</f>
        <v>24000000</v>
      </c>
    </row>
    <row r="34" customFormat="false" ht="15" hidden="false" customHeight="false" outlineLevel="0" collapsed="false">
      <c r="A34" s="12" t="s">
        <v>130</v>
      </c>
      <c r="B34" s="13" t="s">
        <v>118</v>
      </c>
      <c r="D34" s="20" t="n">
        <f aca="false">D32+D33</f>
        <v>28205053</v>
      </c>
      <c r="E34" s="20" t="n">
        <f aca="false">E32+E33</f>
        <v>50854932</v>
      </c>
      <c r="F34" s="20" t="n">
        <f aca="false">F32+F33</f>
        <v>56854932</v>
      </c>
      <c r="G34" s="20" t="n">
        <f aca="false">G32+G33</f>
        <v>62854932</v>
      </c>
      <c r="H34" s="20" t="n">
        <f aca="false">H32+H33</f>
        <v>68854932</v>
      </c>
    </row>
    <row r="35" customFormat="false" ht="15" hidden="false" customHeight="false" outlineLevel="0" collapsed="false">
      <c r="A35" s="12" t="s">
        <v>131</v>
      </c>
      <c r="B35" s="13" t="s">
        <v>118</v>
      </c>
      <c r="D35" s="20" t="n">
        <f aca="false">MIN(D22,$C26)</f>
        <v>4934884</v>
      </c>
      <c r="E35" s="20" t="n">
        <f aca="false">MIN(E22,$C26-SUM($D35:D35))</f>
        <v>4644173</v>
      </c>
      <c r="F35" s="20" t="n">
        <f aca="false">MIN(F22,$C26-SUM($D35:E35))</f>
        <v>0</v>
      </c>
      <c r="G35" s="20" t="n">
        <f aca="false">MIN(G22,$C26-SUM($D35:F35))</f>
        <v>0</v>
      </c>
      <c r="H35" s="20" t="n">
        <f aca="false">MIN(H22,$C26-SUM($D35:G35))</f>
        <v>0</v>
      </c>
    </row>
    <row r="36" customFormat="false" ht="15" hidden="false" customHeight="false" outlineLevel="0" collapsed="false">
      <c r="A36" s="12" t="s">
        <v>132</v>
      </c>
      <c r="B36" s="13" t="s">
        <v>118</v>
      </c>
      <c r="D36" s="20" t="n">
        <f aca="false">SUMPRODUCT($D11:D11/$C17*((D$7-$D$7:D$7)&lt;$C17))</f>
        <v>465000</v>
      </c>
      <c r="E36" s="20" t="n">
        <f aca="false">SUMPRODUCT($D11:E11/$C17*((E$7-$D$7:E$7)&lt;$C17))</f>
        <v>2965000</v>
      </c>
      <c r="F36" s="20" t="n">
        <f aca="false">SUMPRODUCT($D11:F11/$C17*((F$7-$D$7:F$7)&lt;$C17))</f>
        <v>5000000</v>
      </c>
      <c r="G36" s="20" t="n">
        <f aca="false">SUMPRODUCT($D11:G11/$C17*((G$7-$D$7:G$7)&lt;$C17))</f>
        <v>5000000</v>
      </c>
      <c r="H36" s="20" t="n">
        <f aca="false">SUMPRODUCT($D11:H11/$C17*((H$7-$D$7:H$7)&lt;$C17))</f>
        <v>5000000</v>
      </c>
    </row>
    <row r="37" customFormat="false" ht="15" hidden="false" customHeight="false" outlineLevel="0" collapsed="false">
      <c r="A37" s="12" t="s">
        <v>133</v>
      </c>
      <c r="B37" s="13" t="s">
        <v>118</v>
      </c>
      <c r="D37" s="20" t="n">
        <f aca="false">D35+D36</f>
        <v>5399884</v>
      </c>
      <c r="E37" s="20" t="n">
        <f aca="false">E35+E36</f>
        <v>7609173</v>
      </c>
      <c r="F37" s="20" t="n">
        <f aca="false">F35+F36</f>
        <v>5000000</v>
      </c>
      <c r="G37" s="20" t="n">
        <f aca="false">G35+G36</f>
        <v>5000000</v>
      </c>
      <c r="H37" s="20" t="n">
        <f aca="false">H35+H36</f>
        <v>5000000</v>
      </c>
    </row>
    <row r="38" customFormat="false" ht="15" hidden="false" customHeight="false" outlineLevel="0" collapsed="false">
      <c r="A38" s="12" t="s">
        <v>134</v>
      </c>
      <c r="B38" s="13" t="s">
        <v>118</v>
      </c>
      <c r="D38" s="20" t="n">
        <f aca="false">MIN(D23,$C27)</f>
        <v>13760638</v>
      </c>
      <c r="E38" s="20" t="n">
        <f aca="false">MIN(E23,$C27-SUM($D38:D38))</f>
        <v>10760638</v>
      </c>
      <c r="F38" s="20" t="n">
        <f aca="false">MIN(F23,$C27-SUM($D38:E38))</f>
        <v>10760638</v>
      </c>
      <c r="G38" s="20" t="n">
        <f aca="false">MIN(G23,$C27-SUM($D38:F38))</f>
        <v>10760638</v>
      </c>
      <c r="H38" s="20" t="n">
        <f aca="false">MIN(H23,$C27-SUM($D38:G38))</f>
        <v>10760638</v>
      </c>
    </row>
    <row r="39" customFormat="false" ht="15" hidden="false" customHeight="false" outlineLevel="0" collapsed="false">
      <c r="A39" s="12" t="s">
        <v>135</v>
      </c>
      <c r="B39" s="13" t="s">
        <v>118</v>
      </c>
      <c r="D39" s="20" t="n">
        <f aca="false">SUMPRODUCT($D12:D12/$C18*((D$7-$D$7:D$7)&lt;$C18))</f>
        <v>5197740</v>
      </c>
      <c r="E39" s="20" t="n">
        <f aca="false">SUMPRODUCT($D12:E12/$C18*((E$7-$D$7:E$7)&lt;$C18))</f>
        <v>5197740</v>
      </c>
      <c r="F39" s="20" t="n">
        <f aca="false">SUMPRODUCT($D12:F12/$C18*((F$7-$D$7:F$7)&lt;$C18))</f>
        <v>5197740</v>
      </c>
      <c r="G39" s="20" t="n">
        <f aca="false">SUMPRODUCT($D12:G12/$C18*((G$7-$D$7:G$7)&lt;$C18))</f>
        <v>13333333.3333333</v>
      </c>
      <c r="H39" s="20" t="n">
        <f aca="false">SUMPRODUCT($D12:H12/$C18*((H$7-$D$7:H$7)&lt;$C18))</f>
        <v>13333333.3333333</v>
      </c>
    </row>
    <row r="40" customFormat="false" ht="15" hidden="false" customHeight="false" outlineLevel="0" collapsed="false">
      <c r="A40" s="12" t="s">
        <v>136</v>
      </c>
      <c r="B40" s="13" t="s">
        <v>118</v>
      </c>
      <c r="D40" s="20" t="n">
        <f aca="false">D38+D39</f>
        <v>18958378</v>
      </c>
      <c r="E40" s="20" t="n">
        <f aca="false">E38+E39</f>
        <v>15958378</v>
      </c>
      <c r="F40" s="20" t="n">
        <f aca="false">F38+F39</f>
        <v>15958378</v>
      </c>
      <c r="G40" s="20" t="n">
        <f aca="false">G38+G39</f>
        <v>24093971.3333333</v>
      </c>
      <c r="H40" s="20" t="n">
        <f aca="false">H38+H39</f>
        <v>24093971.3333333</v>
      </c>
    </row>
    <row r="41" customFormat="false" ht="15" hidden="false" customHeight="false" outlineLevel="0" collapsed="false">
      <c r="A41" s="4" t="s">
        <v>137</v>
      </c>
      <c r="B41" s="13"/>
      <c r="C41" s="21" t="n">
        <f aca="false">C9+C10+C11+C12</f>
        <v>364938869</v>
      </c>
      <c r="D41" s="21" t="n">
        <f aca="false">D9+D10+D11+D12</f>
        <v>16523220</v>
      </c>
      <c r="E41" s="21" t="n">
        <f aca="false">E9+E10+E11+E12</f>
        <v>35000000</v>
      </c>
      <c r="F41" s="21" t="n">
        <f aca="false">F9+F10+F11+F12</f>
        <v>35000000</v>
      </c>
      <c r="G41" s="21" t="n">
        <f aca="false">G9+G10+G11+G12</f>
        <v>75000000</v>
      </c>
      <c r="H41" s="21" t="n">
        <f aca="false">H9+H10+H11+H12</f>
        <v>35000000</v>
      </c>
    </row>
    <row r="42" customFormat="false" ht="15" hidden="false" customHeight="false" outlineLevel="0" collapsed="false">
      <c r="A42" s="4" t="s">
        <v>138</v>
      </c>
      <c r="B42" s="13" t="s">
        <v>118</v>
      </c>
      <c r="C42" s="23" t="n">
        <f aca="false">SUMIFS('BALANCE 2024'!$H:$H,'BALANCE 2024'!$A:$A,"&gt;=681000",'BALANCE 2024'!$A:$A,"&lt;682000")</f>
        <v>79833299</v>
      </c>
      <c r="D42" s="21" t="n">
        <f aca="false">D31+D34+D37+D40</f>
        <v>71846160</v>
      </c>
      <c r="E42" s="21" t="n">
        <f aca="false">E31+E34+E37+E40</f>
        <v>93705328</v>
      </c>
      <c r="F42" s="21" t="n">
        <f aca="false">F31+F34+F37+F40</f>
        <v>97096155</v>
      </c>
      <c r="G42" s="21" t="n">
        <f aca="false">G31+G34+G37+G40</f>
        <v>95765384.3333333</v>
      </c>
      <c r="H42" s="21" t="n">
        <f aca="false">H31+H34+H37+H40</f>
        <v>97948903.3333333</v>
      </c>
    </row>
    <row r="43" customFormat="false" ht="15" hidden="false" customHeight="false" outlineLevel="0" collapsed="false">
      <c r="A43" s="12" t="s">
        <v>139</v>
      </c>
      <c r="B43" s="13" t="s">
        <v>140</v>
      </c>
      <c r="C43" s="15" t="n">
        <f aca="false">SUMIFS('BALANCE 2024'!$H:$H,'BALANCE 2024'!$C:$C,"AJ")+SUMIFS('BALANCE 2024'!$H:$H,'BALANCE 2024'!$C:$C,"AK")+SUMIFS('BALANCE 2024'!$H:$H,'BALANCE 2024'!$C:$C,"AL")+SUMIFS('BALANCE 2024'!$H:$H,'BALANCE 2024'!$C:$C,"AM")+SUMIFS('BALANCE 2024'!$H:$H,'BALANCE 2024'!$C:$C,"AN")</f>
        <v>876398854</v>
      </c>
      <c r="D43" s="20" t="n">
        <f aca="false">C43+D41</f>
        <v>892922074</v>
      </c>
      <c r="E43" s="20" t="n">
        <f aca="false">D43+E41</f>
        <v>927922074</v>
      </c>
      <c r="F43" s="20" t="n">
        <f aca="false">E43+F41</f>
        <v>962922074</v>
      </c>
      <c r="G43" s="20" t="n">
        <f aca="false">F43+G41</f>
        <v>1037922074</v>
      </c>
      <c r="H43" s="20" t="n">
        <f aca="false">G43+H41</f>
        <v>1072922074</v>
      </c>
    </row>
    <row r="44" customFormat="false" ht="15" hidden="false" customHeight="false" outlineLevel="0" collapsed="false">
      <c r="A44" s="12" t="s">
        <v>141</v>
      </c>
      <c r="B44" s="13" t="s">
        <v>142</v>
      </c>
      <c r="C44" s="15" t="n">
        <f aca="false">SUMIFS('BALANCE 2024'!$I:$I,'BALANCE 2024'!$C:$C,"AJ")+SUMIFS('BALANCE 2024'!$I:$I,'BALANCE 2024'!$C:$C,"AK")+SUMIFS('BALANCE 2024'!$I:$I,'BALANCE 2024'!$C:$C,"AL")+SUMIFS('BALANCE 2024'!$I:$I,'BALANCE 2024'!$C:$C,"AM")+SUMIFS('BALANCE 2024'!$I:$I,'BALANCE 2024'!$C:$C,"AN")</f>
        <v>473537674</v>
      </c>
      <c r="D44" s="20" t="n">
        <f aca="false">C44+D42</f>
        <v>545383834</v>
      </c>
      <c r="E44" s="20" t="n">
        <f aca="false">D44+E42</f>
        <v>639089162</v>
      </c>
      <c r="F44" s="20" t="n">
        <f aca="false">E44+F42</f>
        <v>736185317</v>
      </c>
      <c r="G44" s="20" t="n">
        <f aca="false">F44+G42</f>
        <v>831950701.333333</v>
      </c>
      <c r="H44" s="20" t="n">
        <f aca="false">G44+H42</f>
        <v>929899604.666667</v>
      </c>
    </row>
    <row r="45" customFormat="false" ht="15" hidden="false" customHeight="false" outlineLevel="0" collapsed="false">
      <c r="A45" s="4" t="s">
        <v>143</v>
      </c>
      <c r="B45" s="13" t="s">
        <v>144</v>
      </c>
      <c r="C45" s="21" t="n">
        <f aca="false">C43-C44</f>
        <v>402861180</v>
      </c>
      <c r="D45" s="21" t="n">
        <f aca="false">D43-D44</f>
        <v>347538240</v>
      </c>
      <c r="E45" s="21" t="n">
        <f aca="false">E43-E44</f>
        <v>288832912</v>
      </c>
      <c r="F45" s="21" t="n">
        <f aca="false">F43-F44</f>
        <v>226736757</v>
      </c>
      <c r="G45" s="21" t="n">
        <f aca="false">G43-G44</f>
        <v>205971372.666667</v>
      </c>
      <c r="H45" s="21" t="n">
        <f aca="false">H43-H44</f>
        <v>143022469.333333</v>
      </c>
    </row>
    <row r="46" customFormat="false" ht="15" hidden="false" customHeight="false" outlineLevel="0" collapsed="false">
      <c r="A46" s="10" t="s">
        <v>145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146</v>
      </c>
      <c r="B47" s="13" t="s">
        <v>147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148</v>
      </c>
      <c r="B48" s="13" t="s">
        <v>147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149</v>
      </c>
    </row>
    <row r="49" customFormat="false" ht="15" hidden="false" customHeight="false" outlineLevel="0" collapsed="false">
      <c r="A49" s="12" t="s">
        <v>150</v>
      </c>
      <c r="B49" s="13" t="s">
        <v>151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152</v>
      </c>
    </row>
    <row r="50" customFormat="false" ht="15" hidden="false" customHeight="false" outlineLevel="0" collapsed="false">
      <c r="A50" s="12" t="s">
        <v>153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154</v>
      </c>
    </row>
    <row r="51" customFormat="false" ht="15" hidden="false" customHeight="false" outlineLevel="0" collapsed="false">
      <c r="A51" s="12" t="s">
        <v>155</v>
      </c>
      <c r="B51" s="13" t="s">
        <v>156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157</v>
      </c>
      <c r="B52" s="13" t="s">
        <v>158</v>
      </c>
      <c r="D52" s="14" t="n">
        <v>1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159</v>
      </c>
    </row>
    <row r="53" customFormat="false" ht="15" hidden="false" customHeight="false" outlineLevel="0" collapsed="false">
      <c r="A53" s="12" t="s">
        <v>160</v>
      </c>
      <c r="B53" s="13" t="s">
        <v>158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</row>
    <row r="54" customFormat="false" ht="15" hidden="false" customHeight="false" outlineLevel="0" collapsed="false">
      <c r="A54" s="12" t="s">
        <v>161</v>
      </c>
      <c r="B54" s="13" t="s">
        <v>158</v>
      </c>
      <c r="C54" s="15" t="n">
        <f aca="false">SUMIFS('BALANCE 2024'!$I:$I,'BALANCE 2024'!$A:$A,462100)-SUMIFS('BALANCE 2024'!$H:$H,'BALANCE 2024'!$A:$A,462100)</f>
        <v>3700000</v>
      </c>
      <c r="D54" s="20" t="n">
        <f aca="false">$C54*MAX(0,1-SUM($D52:D52))+SUM($D53:D53)</f>
        <v>0</v>
      </c>
      <c r="E54" s="20" t="n">
        <f aca="false">$C54*MAX(0,1-SUM($D52:E52))+SUM($D53:E53)</f>
        <v>0</v>
      </c>
      <c r="F54" s="20" t="n">
        <f aca="false">$C54*MAX(0,1-SUM($D52:F52))+SUM($D53:F53)</f>
        <v>0</v>
      </c>
      <c r="G54" s="20" t="n">
        <f aca="false">$C54*MAX(0,1-SUM($D52:G52))+SUM($D53:G53)</f>
        <v>0</v>
      </c>
      <c r="H54" s="20" t="n">
        <f aca="false">$C54*MAX(0,1-SUM($D52:H52))+SUM($D53:H53)</f>
        <v>0</v>
      </c>
    </row>
    <row r="55" customFormat="false" ht="15" hidden="false" customHeight="false" outlineLevel="0" collapsed="false">
      <c r="A55" s="12" t="s">
        <v>162</v>
      </c>
      <c r="B55" s="13" t="s">
        <v>12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7" t="s">
        <v>163</v>
      </c>
    </row>
    <row r="56" customFormat="false" ht="15" hidden="false" customHeight="false" outlineLevel="0" collapsed="false">
      <c r="A56" s="10" t="s">
        <v>164</v>
      </c>
      <c r="B56" s="11"/>
      <c r="C56" s="11"/>
      <c r="D56" s="11"/>
      <c r="E56" s="11"/>
      <c r="F56" s="11"/>
      <c r="G56" s="11"/>
      <c r="H56" s="11"/>
      <c r="I56" s="11"/>
    </row>
    <row r="57" customFormat="false" ht="15" hidden="false" customHeight="false" outlineLevel="0" collapsed="false">
      <c r="A57" s="12" t="s">
        <v>165</v>
      </c>
      <c r="B57" s="13" t="s">
        <v>147</v>
      </c>
      <c r="D57" s="20" t="n">
        <f aca="false">'BALANCE 2024'!I9</f>
        <v>39658832</v>
      </c>
      <c r="E57" s="20" t="n">
        <f aca="false">'BALANCE 2025'!I9</f>
        <v>0</v>
      </c>
      <c r="F57" s="20" t="n">
        <f aca="false">'BALANCE 2026'!I9</f>
        <v>0</v>
      </c>
      <c r="G57" s="20" t="n">
        <f aca="false">'BALANCE 2027'!I9</f>
        <v>0</v>
      </c>
      <c r="H57" s="20" t="n">
        <f aca="false">'BALANCE 2028'!I9</f>
        <v>0</v>
      </c>
    </row>
    <row r="58" customFormat="false" ht="15" hidden="false" customHeight="false" outlineLevel="0" collapsed="false">
      <c r="A58" s="12" t="s">
        <v>166</v>
      </c>
      <c r="B58" s="13" t="s">
        <v>147</v>
      </c>
      <c r="D58" s="20" t="n">
        <f aca="false">D47</f>
        <v>54395682</v>
      </c>
      <c r="E58" s="20" t="n">
        <f aca="false">E47</f>
        <v>0</v>
      </c>
      <c r="F58" s="20" t="n">
        <f aca="false">F47</f>
        <v>0</v>
      </c>
      <c r="G58" s="20" t="n">
        <f aca="false">G47</f>
        <v>0</v>
      </c>
      <c r="H58" s="20" t="n">
        <f aca="false">H47</f>
        <v>0</v>
      </c>
    </row>
    <row r="59" customFormat="false" ht="15" hidden="false" customHeight="false" outlineLevel="0" collapsed="false">
      <c r="A59" s="12" t="s">
        <v>167</v>
      </c>
      <c r="B59" s="13" t="s">
        <v>147</v>
      </c>
      <c r="D59" s="20" t="n">
        <f aca="false">-D48</f>
        <v>-94054514</v>
      </c>
      <c r="E59" s="20" t="n">
        <f aca="false">-E48</f>
        <v>-0</v>
      </c>
      <c r="F59" s="20" t="n">
        <f aca="false">-F48</f>
        <v>-0</v>
      </c>
      <c r="G59" s="20" t="n">
        <f aca="false">-G48</f>
        <v>-0</v>
      </c>
      <c r="H59" s="20" t="n">
        <f aca="false">-H48</f>
        <v>-0</v>
      </c>
    </row>
    <row r="60" customFormat="false" ht="15" hidden="false" customHeight="false" outlineLevel="0" collapsed="false">
      <c r="A60" s="4" t="s">
        <v>168</v>
      </c>
      <c r="B60" s="13" t="s">
        <v>169</v>
      </c>
      <c r="C60" s="23" t="n">
        <f aca="false">SUMIFS('BALANCE 2024'!$I:$I,'BALANCE 2024'!$C:$C,"DA")</f>
        <v>39658832</v>
      </c>
      <c r="D60" s="21" t="n">
        <f aca="false">D57+D58+D59</f>
        <v>0</v>
      </c>
      <c r="E60" s="21" t="n">
        <f aca="false">E57+E58+E59</f>
        <v>0</v>
      </c>
      <c r="F60" s="21" t="n">
        <f aca="false">F57+F58+F59</f>
        <v>0</v>
      </c>
      <c r="G60" s="21" t="n">
        <f aca="false">G57+G58+G59</f>
        <v>0</v>
      </c>
      <c r="H60" s="21" t="n">
        <f aca="false">H57+H58+H59</f>
        <v>0</v>
      </c>
    </row>
    <row r="61" customFormat="false" ht="15" hidden="false" customHeight="false" outlineLevel="0" collapsed="false">
      <c r="A61" s="12" t="s">
        <v>170</v>
      </c>
      <c r="B61" s="13" t="s">
        <v>151</v>
      </c>
      <c r="D61" s="20" t="n">
        <f aca="false">'BALANCE 2024'!I10</f>
        <v>10619694</v>
      </c>
      <c r="E61" s="20" t="n">
        <f aca="false">'BALANCE 2025'!I10</f>
        <v>0</v>
      </c>
      <c r="F61" s="20" t="n">
        <f aca="false">'BALANCE 2026'!I10</f>
        <v>0</v>
      </c>
      <c r="G61" s="20" t="n">
        <f aca="false">'BALANCE 2027'!I10</f>
        <v>0</v>
      </c>
      <c r="H61" s="20" t="n">
        <f aca="false">'BALANCE 2028'!I10</f>
        <v>0</v>
      </c>
    </row>
    <row r="62" customFormat="false" ht="15" hidden="false" customHeight="false" outlineLevel="0" collapsed="false">
      <c r="A62" s="12" t="s">
        <v>167</v>
      </c>
      <c r="B62" s="13" t="s">
        <v>151</v>
      </c>
      <c r="D62" s="20" t="n">
        <f aca="false">-D49</f>
        <v>-10619694</v>
      </c>
      <c r="E62" s="20" t="n">
        <f aca="false">-E49</f>
        <v>-0</v>
      </c>
      <c r="F62" s="20" t="n">
        <f aca="false">-F49</f>
        <v>-0</v>
      </c>
      <c r="G62" s="20" t="n">
        <f aca="false">-G49</f>
        <v>-0</v>
      </c>
      <c r="H62" s="20" t="n">
        <f aca="false">-H49</f>
        <v>-0</v>
      </c>
    </row>
    <row r="63" customFormat="false" ht="15" hidden="false" customHeight="false" outlineLevel="0" collapsed="false">
      <c r="A63" s="4" t="s">
        <v>171</v>
      </c>
      <c r="B63" s="13" t="s">
        <v>172</v>
      </c>
      <c r="C63" s="23" t="n">
        <f aca="false">SUMIFS('BALANCE 2024'!$I:$I,'BALANCE 2024'!$C:$C,"DB")</f>
        <v>10619694</v>
      </c>
      <c r="D63" s="21" t="n">
        <f aca="false">D61+D62</f>
        <v>0</v>
      </c>
      <c r="E63" s="21" t="n">
        <f aca="false">E61+E62</f>
        <v>0</v>
      </c>
      <c r="F63" s="21" t="n">
        <f aca="false">F61+F62</f>
        <v>0</v>
      </c>
      <c r="G63" s="21" t="n">
        <f aca="false">G61+G62</f>
        <v>0</v>
      </c>
      <c r="H63" s="21" t="n">
        <f aca="false">H61+H62</f>
        <v>0</v>
      </c>
    </row>
    <row r="64" customFormat="false" ht="15" hidden="false" customHeight="false" outlineLevel="0" collapsed="false">
      <c r="A64" s="12" t="s">
        <v>173</v>
      </c>
      <c r="B64" s="13" t="s">
        <v>174</v>
      </c>
      <c r="C64" s="15" t="n">
        <f aca="false">SUMIFS('BALANCE 2024'!$H:$H,'BALANCE 2024'!$A:$A,"&gt;=671000",'BALANCE 2024'!$A:$A,"&lt;672000")</f>
        <v>4142819</v>
      </c>
      <c r="D64" s="20" t="n">
        <f aca="false">D50*'BALANCE 2024'!I9</f>
        <v>2379529.92</v>
      </c>
      <c r="E64" s="20" t="n">
        <f aca="false">E50*'BALANCE 2025'!I9</f>
        <v>0</v>
      </c>
      <c r="F64" s="20" t="n">
        <f aca="false">F50*'BALANCE 2026'!I9</f>
        <v>0</v>
      </c>
      <c r="G64" s="20" t="n">
        <f aca="false">G50*'BALANCE 2027'!I9</f>
        <v>0</v>
      </c>
      <c r="H64" s="20" t="n">
        <f aca="false">H50*'BALANCE 2028'!I9</f>
        <v>0</v>
      </c>
    </row>
    <row r="65" customFormat="false" ht="15" hidden="false" customHeight="false" outlineLevel="0" collapsed="false">
      <c r="A65" s="12" t="s">
        <v>175</v>
      </c>
      <c r="B65" s="13" t="s">
        <v>176</v>
      </c>
      <c r="C65" s="15" t="n">
        <f aca="false">SUMIFS('BALANCE 2024'!$H:$H,'BALANCE 2024'!$A:$A,"&gt;=672000",'BALANCE 2024'!$A:$A,"&lt;673000")</f>
        <v>3965478</v>
      </c>
      <c r="D65" s="20" t="n">
        <f aca="false">D50*'BALANCE 2024'!I10</f>
        <v>637181.64</v>
      </c>
      <c r="E65" s="20" t="n">
        <f aca="false">E50*'BALANCE 2025'!I10</f>
        <v>0</v>
      </c>
      <c r="F65" s="20" t="n">
        <f aca="false">F50*'BALANCE 2026'!I10</f>
        <v>0</v>
      </c>
      <c r="G65" s="20" t="n">
        <f aca="false">G50*'BALANCE 2027'!I10</f>
        <v>0</v>
      </c>
      <c r="H65" s="20" t="n">
        <f aca="false">H50*'BALANCE 2028'!I10</f>
        <v>0</v>
      </c>
    </row>
    <row r="66" customFormat="false" ht="15" hidden="false" customHeight="false" outlineLevel="0" collapsed="false">
      <c r="A66" s="4" t="s">
        <v>177</v>
      </c>
      <c r="B66" s="13"/>
      <c r="D66" s="21" t="n">
        <f aca="false">D48+D49+D64+D65</f>
        <v>107690919.56</v>
      </c>
      <c r="E66" s="21" t="n">
        <f aca="false">E48+E49+E64+E65</f>
        <v>0</v>
      </c>
      <c r="F66" s="21" t="n">
        <f aca="false">F48+F49+F64+F65</f>
        <v>0</v>
      </c>
      <c r="G66" s="21" t="n">
        <f aca="false">G48+G49+G64+G65</f>
        <v>0</v>
      </c>
      <c r="H66" s="21" t="n">
        <f aca="false">H48+H49+H64+H65</f>
        <v>0</v>
      </c>
    </row>
    <row r="67" customFormat="false" ht="15" hidden="false" customHeight="false" outlineLevel="0" collapsed="false">
      <c r="A67" s="10" t="s">
        <v>178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false" outlineLevel="0" collapsed="false">
      <c r="A68" s="12" t="s">
        <v>179</v>
      </c>
      <c r="B68" s="13"/>
      <c r="D68" s="20" t="n">
        <f aca="false">D41</f>
        <v>16523220</v>
      </c>
      <c r="E68" s="20" t="n">
        <f aca="false">E41</f>
        <v>35000000</v>
      </c>
      <c r="F68" s="20" t="n">
        <f aca="false">F41</f>
        <v>35000000</v>
      </c>
      <c r="G68" s="20" t="n">
        <f aca="false">G41</f>
        <v>75000000</v>
      </c>
      <c r="H68" s="20" t="n">
        <f aca="false">H41</f>
        <v>35000000</v>
      </c>
    </row>
    <row r="69" customFormat="false" ht="15" hidden="false" customHeight="false" outlineLevel="0" collapsed="false">
      <c r="A69" s="12" t="s">
        <v>180</v>
      </c>
      <c r="B69" s="13"/>
      <c r="D69" s="20" t="n">
        <f aca="false">D13</f>
        <v>0</v>
      </c>
      <c r="E69" s="20" t="n">
        <f aca="false">E13</f>
        <v>0</v>
      </c>
      <c r="F69" s="20" t="n">
        <f aca="false">F13</f>
        <v>0</v>
      </c>
      <c r="G69" s="20" t="n">
        <f aca="false">G13</f>
        <v>0</v>
      </c>
      <c r="H69" s="20" t="n">
        <f aca="false">H13</f>
        <v>0</v>
      </c>
    </row>
    <row r="70" customFormat="false" ht="15" hidden="false" customHeight="false" outlineLevel="0" collapsed="false">
      <c r="A70" s="12" t="s">
        <v>181</v>
      </c>
      <c r="B70" s="13"/>
      <c r="D70" s="20" t="n">
        <f aca="false">D48+D49</f>
        <v>104674208</v>
      </c>
      <c r="E70" s="20" t="n">
        <f aca="false">E48+E49</f>
        <v>0</v>
      </c>
      <c r="F70" s="20" t="n">
        <f aca="false">F48+F49</f>
        <v>0</v>
      </c>
      <c r="G70" s="20" t="n">
        <f aca="false">G48+G49</f>
        <v>0</v>
      </c>
      <c r="H70" s="20" t="n">
        <f aca="false">H48+H49</f>
        <v>0</v>
      </c>
    </row>
    <row r="71" customFormat="false" ht="15" hidden="false" customHeight="false" outlineLevel="0" collapsed="false">
      <c r="A71" s="12" t="s">
        <v>182</v>
      </c>
      <c r="B71" s="13"/>
      <c r="D71" s="20" t="n">
        <f aca="false">HYPOTHESES!D58</f>
        <v>0</v>
      </c>
      <c r="E71" s="20" t="n">
        <f aca="false">HYPOTHESES!E58</f>
        <v>0</v>
      </c>
      <c r="F71" s="20" t="n">
        <f aca="false">HYPOTHESES!F58</f>
        <v>0</v>
      </c>
      <c r="G71" s="20" t="n">
        <f aca="false">HYPOTHESES!G58</f>
        <v>0</v>
      </c>
      <c r="H71" s="20" t="n">
        <f aca="false">HYPOTHESES!H58</f>
        <v>0</v>
      </c>
    </row>
    <row r="72" customFormat="false" ht="15" hidden="false" customHeight="false" outlineLevel="0" collapsed="false">
      <c r="A72" s="4" t="s">
        <v>183</v>
      </c>
      <c r="B72" s="13"/>
      <c r="D72" s="21" t="n">
        <f aca="false">SUM(D68:D71)</f>
        <v>121197428</v>
      </c>
      <c r="E72" s="21" t="n">
        <f aca="false">SUM(E68:E71)</f>
        <v>35000000</v>
      </c>
      <c r="F72" s="21" t="n">
        <f aca="false">SUM(F68:F71)</f>
        <v>35000000</v>
      </c>
      <c r="G72" s="21" t="n">
        <f aca="false">SUM(G68:G71)</f>
        <v>75000000</v>
      </c>
      <c r="H72" s="21" t="n">
        <f aca="false">SUM(H68:H71)</f>
        <v>35000000</v>
      </c>
    </row>
    <row r="73" customFormat="false" ht="15" hidden="false" customHeight="false" outlineLevel="0" collapsed="false">
      <c r="A73" s="12" t="s">
        <v>184</v>
      </c>
      <c r="B73" s="13" t="s">
        <v>185</v>
      </c>
      <c r="D73" s="20" t="n">
        <f aca="false">HYPOTHESES!D56+D42+HYPOTHESES!D49</f>
        <v>170420323.67641</v>
      </c>
      <c r="E73" s="20" t="n">
        <f aca="false">HYPOTHESES!E56+E42+HYPOTHESES!E49</f>
        <v>185776151.738731</v>
      </c>
      <c r="F73" s="20" t="n">
        <f aca="false">HYPOTHESES!F56+F42+HYPOTHESES!F49</f>
        <v>194633786.000667</v>
      </c>
      <c r="G73" s="20" t="n">
        <f aca="false">HYPOTHESES!G56+G42+HYPOTHESES!G49</f>
        <v>202711517.221534</v>
      </c>
      <c r="H73" s="20" t="n">
        <f aca="false">HYPOTHESES!H56+H42+HYPOTHESES!H49</f>
        <v>212088342.053444</v>
      </c>
    </row>
    <row r="74" customFormat="false" ht="15" hidden="false" customHeight="false" outlineLevel="0" collapsed="false">
      <c r="A74" s="12" t="s">
        <v>186</v>
      </c>
      <c r="B74" s="13"/>
      <c r="D74" s="20" t="n">
        <f aca="false">D51</f>
        <v>0</v>
      </c>
      <c r="E74" s="20" t="n">
        <f aca="false">E51</f>
        <v>0</v>
      </c>
      <c r="F74" s="20" t="n">
        <f aca="false">F51</f>
        <v>0</v>
      </c>
      <c r="G74" s="20" t="n">
        <f aca="false">G51</f>
        <v>0</v>
      </c>
      <c r="H74" s="20" t="n">
        <f aca="false">H51</f>
        <v>0</v>
      </c>
    </row>
    <row r="75" customFormat="false" ht="15" hidden="false" customHeight="false" outlineLevel="0" collapsed="false">
      <c r="A75" s="12" t="s">
        <v>187</v>
      </c>
      <c r="B75" s="13"/>
      <c r="D75" s="20" t="n">
        <f aca="false">D47</f>
        <v>54395682</v>
      </c>
      <c r="E75" s="20" t="n">
        <f aca="false">E47</f>
        <v>0</v>
      </c>
      <c r="F75" s="20" t="n">
        <f aca="false">F47</f>
        <v>0</v>
      </c>
      <c r="G75" s="20" t="n">
        <f aca="false">G47</f>
        <v>0</v>
      </c>
      <c r="H75" s="20" t="n">
        <f aca="false">H47</f>
        <v>0</v>
      </c>
    </row>
    <row r="76" customFormat="false" ht="15" hidden="false" customHeight="false" outlineLevel="0" collapsed="false">
      <c r="A76" s="4" t="s">
        <v>188</v>
      </c>
      <c r="B76" s="13"/>
      <c r="D76" s="21" t="n">
        <f aca="false">SUM(D73:D75)</f>
        <v>224816005.67641</v>
      </c>
      <c r="E76" s="21" t="n">
        <f aca="false">SUM(E73:E75)</f>
        <v>185776151.738731</v>
      </c>
      <c r="F76" s="21" t="n">
        <f aca="false">SUM(F73:F75)</f>
        <v>194633786.000667</v>
      </c>
      <c r="G76" s="21" t="n">
        <f aca="false">SUM(G73:G75)</f>
        <v>202711517.221534</v>
      </c>
      <c r="H76" s="21" t="n">
        <f aca="false">SUM(H73:H75)</f>
        <v>212088342.053444</v>
      </c>
    </row>
    <row r="77" customFormat="false" ht="15" hidden="false" customHeight="false" outlineLevel="0" collapsed="false">
      <c r="A77" s="4" t="s">
        <v>189</v>
      </c>
      <c r="B77" s="13"/>
      <c r="D77" s="21" t="n">
        <f aca="false">D76-D72</f>
        <v>103618577.67641</v>
      </c>
      <c r="E77" s="21" t="n">
        <f aca="false">E76-E72</f>
        <v>150776151.738731</v>
      </c>
      <c r="F77" s="21" t="n">
        <f aca="false">F76-F72</f>
        <v>159633786.000667</v>
      </c>
      <c r="G77" s="21" t="n">
        <f aca="false">G76-G72</f>
        <v>127711517.221534</v>
      </c>
      <c r="H77" s="21" t="n">
        <f aca="false">H76-H72</f>
        <v>177088342.053444</v>
      </c>
      <c r="I77" s="7" t="s">
        <v>190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192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1" t="n">
        <v>0</v>
      </c>
      <c r="E5" s="31" t="n">
        <v>10000000</v>
      </c>
      <c r="F5" s="31" t="n">
        <v>0</v>
      </c>
      <c r="G5" s="31" t="n">
        <v>0</v>
      </c>
      <c r="H5" s="31" t="n">
        <v>0</v>
      </c>
      <c r="I5" s="31" t="n"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24" t="n">
        <v>0</v>
      </c>
      <c r="E6" s="24" t="n">
        <v>0</v>
      </c>
      <c r="F6" s="24" t="n">
        <v>0</v>
      </c>
      <c r="G6" s="24" t="n">
        <v>0</v>
      </c>
      <c r="H6" s="24" t="n">
        <v>0</v>
      </c>
      <c r="I6" s="24" t="n">
        <v>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24" t="n">
        <v>0</v>
      </c>
      <c r="E7" s="24" t="n">
        <v>654621364</v>
      </c>
      <c r="F7" s="24" t="n">
        <v>0</v>
      </c>
      <c r="G7" s="24" t="n">
        <v>119178487</v>
      </c>
      <c r="H7" s="24" t="n">
        <v>0</v>
      </c>
      <c r="I7" s="24" t="n">
        <v>773799851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24" t="n">
        <v>0</v>
      </c>
      <c r="E8" s="24" t="n">
        <v>119178487</v>
      </c>
      <c r="F8" s="24" t="n">
        <v>119178487</v>
      </c>
      <c r="G8" s="24" t="n">
        <v>0</v>
      </c>
      <c r="H8" s="24" t="n">
        <v>0</v>
      </c>
      <c r="I8" s="24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24" t="n">
        <v>0</v>
      </c>
      <c r="E9" s="24" t="n">
        <v>0</v>
      </c>
      <c r="F9" s="24" t="n">
        <v>351341168</v>
      </c>
      <c r="G9" s="24" t="n">
        <v>391000000</v>
      </c>
      <c r="H9" s="24" t="n">
        <v>0</v>
      </c>
      <c r="I9" s="24" t="n">
        <v>39658832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24" t="n">
        <v>0</v>
      </c>
      <c r="E10" s="24" t="n">
        <v>0</v>
      </c>
      <c r="F10" s="24" t="n">
        <v>18000000</v>
      </c>
      <c r="G10" s="24" t="n">
        <v>28619694</v>
      </c>
      <c r="H10" s="24" t="n">
        <v>0</v>
      </c>
      <c r="I10" s="24" t="n">
        <v>10619694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24" t="n">
        <v>0</v>
      </c>
      <c r="E11" s="24" t="n">
        <v>15214600</v>
      </c>
      <c r="F11" s="24" t="n">
        <v>0</v>
      </c>
      <c r="G11" s="24" t="n">
        <v>6059296</v>
      </c>
      <c r="H11" s="24" t="n">
        <v>0</v>
      </c>
      <c r="I11" s="24" t="n">
        <v>21273896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1" t="n">
        <v>103601492</v>
      </c>
      <c r="E12" s="31" t="n">
        <v>0</v>
      </c>
      <c r="F12" s="31" t="n">
        <v>0</v>
      </c>
      <c r="G12" s="31" t="n">
        <v>0</v>
      </c>
      <c r="H12" s="31" t="n">
        <v>103601492</v>
      </c>
      <c r="I12" s="31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24" t="n">
        <v>19316887</v>
      </c>
      <c r="E13" s="24" t="n">
        <v>0</v>
      </c>
      <c r="F13" s="24" t="n">
        <v>294528381</v>
      </c>
      <c r="G13" s="24" t="n">
        <v>0</v>
      </c>
      <c r="H13" s="24" t="n">
        <v>313845268</v>
      </c>
      <c r="I13" s="24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24" t="n">
        <v>2050000</v>
      </c>
      <c r="E14" s="24" t="n">
        <v>0</v>
      </c>
      <c r="F14" s="24" t="n">
        <v>7256956</v>
      </c>
      <c r="G14" s="24" t="n">
        <v>0</v>
      </c>
      <c r="H14" s="24" t="n">
        <v>9306956</v>
      </c>
      <c r="I14" s="24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24" t="n">
        <v>5723474</v>
      </c>
      <c r="E15" s="24" t="n">
        <v>0</v>
      </c>
      <c r="F15" s="24" t="n">
        <v>7256985</v>
      </c>
      <c r="G15" s="24" t="n">
        <v>0</v>
      </c>
      <c r="H15" s="24" t="n">
        <v>12980459</v>
      </c>
      <c r="I15" s="24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24" t="n">
        <v>352148438</v>
      </c>
      <c r="E16" s="24" t="n">
        <v>0</v>
      </c>
      <c r="F16" s="24" t="n">
        <v>55896547</v>
      </c>
      <c r="G16" s="24" t="n">
        <v>0</v>
      </c>
      <c r="H16" s="24" t="n">
        <v>408044985</v>
      </c>
      <c r="I16" s="24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24" t="n">
        <v>0</v>
      </c>
      <c r="E17" s="24" t="n">
        <v>0</v>
      </c>
      <c r="F17" s="24" t="n">
        <v>28619694</v>
      </c>
      <c r="G17" s="24" t="n">
        <v>0</v>
      </c>
      <c r="H17" s="24" t="n">
        <v>28619694</v>
      </c>
      <c r="I17" s="24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24" t="n">
        <v>0</v>
      </c>
      <c r="E18" s="24" t="n">
        <v>0</v>
      </c>
      <c r="F18" s="24" t="n">
        <v>25000000</v>
      </c>
      <c r="G18" s="24" t="n">
        <v>0</v>
      </c>
      <c r="H18" s="24" t="n">
        <v>25000000</v>
      </c>
      <c r="I18" s="24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24" t="n">
        <v>10150000</v>
      </c>
      <c r="E19" s="24" t="n">
        <v>0</v>
      </c>
      <c r="F19" s="24" t="n">
        <v>221270138</v>
      </c>
      <c r="G19" s="24" t="n">
        <v>0</v>
      </c>
      <c r="H19" s="24" t="n">
        <v>231420138</v>
      </c>
      <c r="I19" s="24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24" t="n">
        <v>0</v>
      </c>
      <c r="E20" s="24" t="n">
        <v>22653631</v>
      </c>
      <c r="F20" s="24" t="n">
        <v>0</v>
      </c>
      <c r="G20" s="24" t="n">
        <v>19282845</v>
      </c>
      <c r="H20" s="24" t="n">
        <v>0</v>
      </c>
      <c r="I20" s="24" t="n">
        <v>41936476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24" t="n">
        <v>0</v>
      </c>
      <c r="E21" s="24" t="n">
        <v>11128832</v>
      </c>
      <c r="F21" s="24" t="n">
        <v>0</v>
      </c>
      <c r="G21" s="24" t="n">
        <v>44854932</v>
      </c>
      <c r="H21" s="24" t="n">
        <v>0</v>
      </c>
      <c r="I21" s="24" t="n">
        <v>55983764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24" t="n">
        <v>0</v>
      </c>
      <c r="E22" s="24" t="n">
        <v>7773474</v>
      </c>
      <c r="F22" s="24" t="n">
        <v>0</v>
      </c>
      <c r="G22" s="24" t="n">
        <v>4934884</v>
      </c>
      <c r="H22" s="24" t="n">
        <v>0</v>
      </c>
      <c r="I22" s="24" t="n">
        <v>12708358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24" t="n">
        <v>0</v>
      </c>
      <c r="E23" s="24" t="n">
        <v>352148438</v>
      </c>
      <c r="F23" s="24" t="n">
        <v>0</v>
      </c>
      <c r="G23" s="24" t="n">
        <v>10760638</v>
      </c>
      <c r="H23" s="24" t="n">
        <v>0</v>
      </c>
      <c r="I23" s="24" t="n">
        <v>362909076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1" t="n">
        <v>0</v>
      </c>
      <c r="E24" s="31" t="n">
        <v>75819203</v>
      </c>
      <c r="F24" s="31" t="n">
        <v>389098615</v>
      </c>
      <c r="G24" s="31" t="n">
        <v>386227278</v>
      </c>
      <c r="H24" s="31" t="n">
        <v>0</v>
      </c>
      <c r="I24" s="31" t="n">
        <v>72947866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24" t="n">
        <v>67361582</v>
      </c>
      <c r="E25" s="24" t="n">
        <v>0</v>
      </c>
      <c r="F25" s="24" t="n">
        <v>0</v>
      </c>
      <c r="G25" s="24" t="n">
        <v>67361582</v>
      </c>
      <c r="H25" s="24" t="n">
        <v>0</v>
      </c>
      <c r="I25" s="24" t="n"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24" t="n">
        <v>371642188</v>
      </c>
      <c r="E26" s="24" t="n">
        <v>0</v>
      </c>
      <c r="F26" s="24" t="n">
        <v>753172393</v>
      </c>
      <c r="G26" s="24" t="n">
        <v>672543185</v>
      </c>
      <c r="H26" s="24" t="n">
        <v>452271396</v>
      </c>
      <c r="I26" s="24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24" t="n">
        <v>0</v>
      </c>
      <c r="E27" s="24" t="n">
        <v>0</v>
      </c>
      <c r="F27" s="24" t="n">
        <v>70124589</v>
      </c>
      <c r="G27" s="24" t="n">
        <v>81272138</v>
      </c>
      <c r="H27" s="24" t="n">
        <v>0</v>
      </c>
      <c r="I27" s="24" t="n">
        <v>11147549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24" t="n">
        <v>0</v>
      </c>
      <c r="E28" s="24" t="n">
        <v>0</v>
      </c>
      <c r="F28" s="24" t="n">
        <v>2145896</v>
      </c>
      <c r="G28" s="24" t="n">
        <v>7005273</v>
      </c>
      <c r="H28" s="24" t="n">
        <v>0</v>
      </c>
      <c r="I28" s="24" t="n">
        <v>4859377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24" t="n">
        <v>0</v>
      </c>
      <c r="E29" s="24" t="n">
        <v>0</v>
      </c>
      <c r="F29" s="24" t="n">
        <v>10256985</v>
      </c>
      <c r="G29" s="24" t="n">
        <v>11459390</v>
      </c>
      <c r="H29" s="24" t="n">
        <v>0</v>
      </c>
      <c r="I29" s="24" t="n">
        <v>1202405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24" t="n">
        <v>0</v>
      </c>
      <c r="E30" s="24" t="n">
        <v>0</v>
      </c>
      <c r="F30" s="24" t="n">
        <v>225682</v>
      </c>
      <c r="G30" s="24" t="n">
        <v>387620</v>
      </c>
      <c r="H30" s="24" t="n">
        <v>0</v>
      </c>
      <c r="I30" s="24" t="n">
        <v>161938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24" t="n">
        <v>0</v>
      </c>
      <c r="E31" s="24" t="n">
        <v>182715</v>
      </c>
      <c r="F31" s="24" t="n">
        <v>182715</v>
      </c>
      <c r="G31" s="24" t="n">
        <v>0</v>
      </c>
      <c r="H31" s="24" t="n">
        <v>0</v>
      </c>
      <c r="I31" s="24" t="n"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24" t="n">
        <v>0</v>
      </c>
      <c r="E32" s="24" t="n">
        <v>39726162</v>
      </c>
      <c r="F32" s="24" t="n">
        <v>39726162</v>
      </c>
      <c r="G32" s="24" t="n">
        <v>24232959</v>
      </c>
      <c r="H32" s="24" t="n">
        <v>0</v>
      </c>
      <c r="I32" s="24" t="n">
        <v>24232959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24" t="n">
        <v>0</v>
      </c>
      <c r="E33" s="24" t="n">
        <v>198286</v>
      </c>
      <c r="F33" s="24" t="n">
        <v>198286</v>
      </c>
      <c r="G33" s="24" t="n">
        <v>725658</v>
      </c>
      <c r="H33" s="24" t="n">
        <v>0</v>
      </c>
      <c r="I33" s="24" t="n">
        <v>725658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24" t="n">
        <v>0</v>
      </c>
      <c r="E34" s="24" t="n">
        <v>0</v>
      </c>
      <c r="F34" s="24" t="n">
        <v>0</v>
      </c>
      <c r="G34" s="24" t="n">
        <v>104066</v>
      </c>
      <c r="H34" s="24" t="n">
        <v>0</v>
      </c>
      <c r="I34" s="24" t="n">
        <v>104066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24" t="n">
        <v>0</v>
      </c>
      <c r="E35" s="24" t="n">
        <v>0</v>
      </c>
      <c r="F35" s="24" t="n">
        <v>0</v>
      </c>
      <c r="G35" s="24" t="n">
        <v>156106</v>
      </c>
      <c r="H35" s="24" t="n">
        <v>0</v>
      </c>
      <c r="I35" s="24" t="n">
        <v>156106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24" t="n">
        <v>0</v>
      </c>
      <c r="E36" s="24" t="n">
        <v>0</v>
      </c>
      <c r="F36" s="24" t="n">
        <v>0</v>
      </c>
      <c r="G36" s="24" t="n">
        <v>156105</v>
      </c>
      <c r="H36" s="24" t="n">
        <v>0</v>
      </c>
      <c r="I36" s="24" t="n">
        <v>156105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24" t="n">
        <v>0</v>
      </c>
      <c r="E37" s="24" t="n">
        <v>0</v>
      </c>
      <c r="F37" s="24" t="n">
        <v>458965</v>
      </c>
      <c r="G37" s="24" t="n">
        <v>826575</v>
      </c>
      <c r="H37" s="24" t="n">
        <v>0</v>
      </c>
      <c r="I37" s="24" t="n">
        <v>367610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24" t="n">
        <v>0</v>
      </c>
      <c r="E38" s="24" t="n">
        <v>0</v>
      </c>
      <c r="F38" s="24" t="n">
        <v>4055133</v>
      </c>
      <c r="G38" s="24" t="n">
        <v>9055133</v>
      </c>
      <c r="H38" s="24" t="n">
        <v>0</v>
      </c>
      <c r="I38" s="24" t="n">
        <v>5000000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24" t="n">
        <v>0</v>
      </c>
      <c r="E39" s="24" t="n">
        <v>0</v>
      </c>
      <c r="F39" s="24" t="n">
        <v>0</v>
      </c>
      <c r="G39" s="24" t="n">
        <v>52145698</v>
      </c>
      <c r="H39" s="24" t="n">
        <v>0</v>
      </c>
      <c r="I39" s="24" t="n">
        <v>52145698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24" t="n">
        <v>0</v>
      </c>
      <c r="E40" s="24" t="n">
        <v>0</v>
      </c>
      <c r="F40" s="24" t="n">
        <v>11685</v>
      </c>
      <c r="G40" s="24" t="n">
        <v>211685</v>
      </c>
      <c r="H40" s="24" t="n">
        <v>0</v>
      </c>
      <c r="I40" s="24" t="n">
        <v>200000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24" t="n">
        <v>0</v>
      </c>
      <c r="E41" s="24" t="n">
        <v>320198</v>
      </c>
      <c r="F41" s="24" t="n">
        <v>4589654</v>
      </c>
      <c r="G41" s="24" t="n">
        <v>5901094</v>
      </c>
      <c r="H41" s="24" t="n">
        <v>0</v>
      </c>
      <c r="I41" s="24" t="n">
        <v>1631638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24" t="n">
        <v>0</v>
      </c>
      <c r="E42" s="24" t="n">
        <v>0</v>
      </c>
      <c r="F42" s="24" t="n">
        <v>20000000</v>
      </c>
      <c r="G42" s="24" t="n">
        <v>23700000</v>
      </c>
      <c r="H42" s="24" t="n">
        <v>0</v>
      </c>
      <c r="I42" s="24" t="n"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24" t="n">
        <v>0</v>
      </c>
      <c r="E43" s="24" t="n">
        <v>0</v>
      </c>
      <c r="F43" s="24" t="n">
        <v>0</v>
      </c>
      <c r="G43" s="24" t="n">
        <v>0</v>
      </c>
      <c r="H43" s="24" t="n">
        <v>0</v>
      </c>
      <c r="I43" s="24" t="n"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24" t="n">
        <v>0</v>
      </c>
      <c r="E44" s="24" t="n">
        <v>0</v>
      </c>
      <c r="F44" s="24" t="n">
        <v>232042322</v>
      </c>
      <c r="G44" s="24" t="n">
        <v>364938869</v>
      </c>
      <c r="H44" s="24" t="n">
        <v>0</v>
      </c>
      <c r="I44" s="24" t="n">
        <v>132896547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1" t="n">
        <v>372469349</v>
      </c>
      <c r="E45" s="31" t="n">
        <v>0</v>
      </c>
      <c r="F45" s="31" t="n">
        <v>1088091779</v>
      </c>
      <c r="G45" s="31" t="n">
        <v>1337972863</v>
      </c>
      <c r="H45" s="31" t="n">
        <v>122588265</v>
      </c>
      <c r="I45" s="31" t="n"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24" t="n">
        <v>4501980</v>
      </c>
      <c r="E46" s="24" t="n">
        <v>0</v>
      </c>
      <c r="F46" s="24" t="n">
        <v>6589458</v>
      </c>
      <c r="G46" s="24" t="n">
        <v>5545745</v>
      </c>
      <c r="H46" s="24" t="n">
        <v>5545693</v>
      </c>
      <c r="I46" s="24" t="n"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24" t="n">
        <v>0</v>
      </c>
      <c r="E47" s="24" t="n">
        <v>0</v>
      </c>
      <c r="F47" s="24" t="n">
        <v>0</v>
      </c>
      <c r="G47" s="24" t="n">
        <v>0</v>
      </c>
      <c r="H47" s="24" t="n">
        <v>0</v>
      </c>
      <c r="I47" s="24" t="n"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1" t="n">
        <v>0</v>
      </c>
      <c r="E48" s="31" t="n">
        <v>0</v>
      </c>
      <c r="F48" s="31" t="n">
        <v>1250398</v>
      </c>
      <c r="G48" s="31" t="n">
        <v>0</v>
      </c>
      <c r="H48" s="31" t="n">
        <v>1250398</v>
      </c>
      <c r="I48" s="31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4" t="n">
        <v>0</v>
      </c>
      <c r="E49" s="24" t="n">
        <v>0</v>
      </c>
      <c r="F49" s="24" t="n">
        <v>124576</v>
      </c>
      <c r="G49" s="24" t="n">
        <v>0</v>
      </c>
      <c r="H49" s="24" t="n">
        <v>124576</v>
      </c>
      <c r="I49" s="24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4" t="n">
        <v>0</v>
      </c>
      <c r="E50" s="24" t="n">
        <v>0</v>
      </c>
      <c r="F50" s="24" t="n">
        <v>39961389</v>
      </c>
      <c r="G50" s="24" t="n">
        <v>0</v>
      </c>
      <c r="H50" s="24" t="n">
        <v>39961389</v>
      </c>
      <c r="I50" s="24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4" t="n">
        <v>0</v>
      </c>
      <c r="E51" s="24" t="n">
        <v>0</v>
      </c>
      <c r="F51" s="24" t="n">
        <v>19839054</v>
      </c>
      <c r="G51" s="24" t="n">
        <v>0</v>
      </c>
      <c r="H51" s="24" t="n">
        <v>19839054</v>
      </c>
      <c r="I51" s="24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4" t="n">
        <v>0</v>
      </c>
      <c r="E52" s="24" t="n">
        <v>0</v>
      </c>
      <c r="F52" s="24" t="n">
        <v>12873612</v>
      </c>
      <c r="G52" s="24" t="n">
        <v>0</v>
      </c>
      <c r="H52" s="24" t="n">
        <v>12873612</v>
      </c>
      <c r="I52" s="24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4" t="n">
        <v>0</v>
      </c>
      <c r="E53" s="24" t="n">
        <v>0</v>
      </c>
      <c r="F53" s="24" t="n">
        <v>3691625</v>
      </c>
      <c r="G53" s="24" t="n">
        <v>0</v>
      </c>
      <c r="H53" s="24" t="n">
        <v>3691625</v>
      </c>
      <c r="I53" s="24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4" t="n">
        <v>0</v>
      </c>
      <c r="E54" s="24" t="n">
        <v>0</v>
      </c>
      <c r="F54" s="24" t="n">
        <v>80160324</v>
      </c>
      <c r="G54" s="24" t="n">
        <v>0</v>
      </c>
      <c r="H54" s="24" t="n">
        <v>80160324</v>
      </c>
      <c r="I54" s="24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4" t="n">
        <v>0</v>
      </c>
      <c r="E55" s="24" t="n">
        <v>0</v>
      </c>
      <c r="F55" s="24" t="n">
        <v>120240486</v>
      </c>
      <c r="G55" s="24" t="n">
        <v>0</v>
      </c>
      <c r="H55" s="24" t="n">
        <v>120240486</v>
      </c>
      <c r="I55" s="24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4" t="n">
        <v>0</v>
      </c>
      <c r="E56" s="24" t="n">
        <v>0</v>
      </c>
      <c r="F56" s="24" t="n">
        <v>93905</v>
      </c>
      <c r="G56" s="24" t="n">
        <v>0</v>
      </c>
      <c r="H56" s="24" t="n">
        <v>93905</v>
      </c>
      <c r="I56" s="24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4" t="n">
        <v>0</v>
      </c>
      <c r="E57" s="24" t="n">
        <v>0</v>
      </c>
      <c r="F57" s="24" t="n">
        <v>1566944</v>
      </c>
      <c r="G57" s="24" t="n">
        <v>0</v>
      </c>
      <c r="H57" s="24" t="n">
        <v>1566944</v>
      </c>
      <c r="I57" s="24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4" t="n">
        <v>0</v>
      </c>
      <c r="E58" s="24" t="n">
        <v>0</v>
      </c>
      <c r="F58" s="24" t="n">
        <v>2159249</v>
      </c>
      <c r="G58" s="24" t="n">
        <v>0</v>
      </c>
      <c r="H58" s="24" t="n">
        <v>2159249</v>
      </c>
      <c r="I58" s="24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4" t="n">
        <v>0</v>
      </c>
      <c r="E59" s="24" t="n">
        <v>0</v>
      </c>
      <c r="F59" s="24" t="n">
        <v>16635091</v>
      </c>
      <c r="G59" s="24" t="n">
        <v>0</v>
      </c>
      <c r="H59" s="24" t="n">
        <v>16635091</v>
      </c>
      <c r="I59" s="24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4" t="n">
        <v>0</v>
      </c>
      <c r="E60" s="24" t="n">
        <v>0</v>
      </c>
      <c r="F60" s="24" t="n">
        <v>34203480</v>
      </c>
      <c r="G60" s="24" t="n">
        <v>0</v>
      </c>
      <c r="H60" s="24" t="n">
        <v>34203480</v>
      </c>
      <c r="I60" s="24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4" t="n">
        <v>0</v>
      </c>
      <c r="E61" s="24" t="n">
        <v>0</v>
      </c>
      <c r="F61" s="24" t="n">
        <v>4589652</v>
      </c>
      <c r="G61" s="24" t="n">
        <v>0</v>
      </c>
      <c r="H61" s="24" t="n">
        <v>4589652</v>
      </c>
      <c r="I61" s="24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4" t="n">
        <v>0</v>
      </c>
      <c r="E62" s="24" t="n">
        <v>0</v>
      </c>
      <c r="F62" s="24" t="n">
        <v>32000</v>
      </c>
      <c r="G62" s="24" t="n">
        <v>0</v>
      </c>
      <c r="H62" s="24" t="n">
        <v>32000</v>
      </c>
      <c r="I62" s="24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4" t="n">
        <v>0</v>
      </c>
      <c r="E63" s="24" t="n">
        <v>0</v>
      </c>
      <c r="F63" s="24" t="n">
        <v>58500</v>
      </c>
      <c r="G63" s="24" t="n">
        <v>0</v>
      </c>
      <c r="H63" s="24" t="n">
        <v>58500</v>
      </c>
      <c r="I63" s="24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4" t="n">
        <v>0</v>
      </c>
      <c r="E64" s="24" t="n">
        <v>0</v>
      </c>
      <c r="F64" s="24" t="n">
        <v>794044</v>
      </c>
      <c r="G64" s="24" t="n">
        <v>0</v>
      </c>
      <c r="H64" s="24" t="n">
        <v>794044</v>
      </c>
      <c r="I64" s="24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4" t="n">
        <v>0</v>
      </c>
      <c r="E65" s="24" t="n">
        <v>0</v>
      </c>
      <c r="F65" s="24" t="n">
        <v>22590164</v>
      </c>
      <c r="G65" s="24" t="n">
        <v>0</v>
      </c>
      <c r="H65" s="24" t="n">
        <v>22590164</v>
      </c>
      <c r="I65" s="24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4" t="n">
        <v>0</v>
      </c>
      <c r="E66" s="24" t="n">
        <v>0</v>
      </c>
      <c r="F66" s="24" t="n">
        <v>4753040</v>
      </c>
      <c r="G66" s="24" t="n">
        <v>0</v>
      </c>
      <c r="H66" s="24" t="n">
        <v>4753040</v>
      </c>
      <c r="I66" s="24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4" t="n">
        <v>0</v>
      </c>
      <c r="E67" s="24" t="n">
        <v>0</v>
      </c>
      <c r="F67" s="24" t="n">
        <v>23113112</v>
      </c>
      <c r="G67" s="24" t="n">
        <v>0</v>
      </c>
      <c r="H67" s="24" t="n">
        <v>23113112</v>
      </c>
      <c r="I67" s="24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4" t="n">
        <v>0</v>
      </c>
      <c r="E68" s="24" t="n">
        <v>0</v>
      </c>
      <c r="F68" s="24" t="n">
        <v>360000</v>
      </c>
      <c r="G68" s="24" t="n">
        <v>0</v>
      </c>
      <c r="H68" s="24" t="n">
        <v>360000</v>
      </c>
      <c r="I68" s="24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4" t="n">
        <v>0</v>
      </c>
      <c r="E69" s="24" t="n">
        <v>0</v>
      </c>
      <c r="F69" s="24" t="n">
        <v>9055133</v>
      </c>
      <c r="G69" s="24" t="n">
        <v>0</v>
      </c>
      <c r="H69" s="24" t="n">
        <v>9055133</v>
      </c>
      <c r="I69" s="24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4" t="n">
        <v>0</v>
      </c>
      <c r="E70" s="24" t="n">
        <v>0</v>
      </c>
      <c r="F70" s="24" t="n">
        <v>1548695</v>
      </c>
      <c r="G70" s="24" t="n">
        <v>0</v>
      </c>
      <c r="H70" s="24" t="n">
        <v>1548695</v>
      </c>
      <c r="I70" s="24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4" t="n">
        <v>0</v>
      </c>
      <c r="E71" s="24" t="n">
        <v>0</v>
      </c>
      <c r="F71" s="24" t="n">
        <v>826575</v>
      </c>
      <c r="G71" s="24" t="n">
        <v>0</v>
      </c>
      <c r="H71" s="24" t="n">
        <v>826575</v>
      </c>
      <c r="I71" s="24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4" t="n">
        <v>0</v>
      </c>
      <c r="E72" s="24" t="n">
        <v>0</v>
      </c>
      <c r="F72" s="24" t="n">
        <v>104066</v>
      </c>
      <c r="G72" s="24" t="n">
        <v>0</v>
      </c>
      <c r="H72" s="24" t="n">
        <v>104066</v>
      </c>
      <c r="I72" s="24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4" t="n">
        <v>0</v>
      </c>
      <c r="E73" s="24" t="n">
        <v>0</v>
      </c>
      <c r="F73" s="24" t="n">
        <v>312211</v>
      </c>
      <c r="G73" s="24" t="n">
        <v>0</v>
      </c>
      <c r="H73" s="24" t="n">
        <v>312211</v>
      </c>
      <c r="I73" s="24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4" t="n">
        <v>0</v>
      </c>
      <c r="E74" s="24" t="n">
        <v>0</v>
      </c>
      <c r="F74" s="24" t="n">
        <v>211685</v>
      </c>
      <c r="G74" s="24" t="n">
        <v>0</v>
      </c>
      <c r="H74" s="24" t="n">
        <v>211685</v>
      </c>
      <c r="I74" s="24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4" t="n">
        <v>0</v>
      </c>
      <c r="E75" s="24" t="n">
        <v>0</v>
      </c>
      <c r="F75" s="24" t="n">
        <v>1725647</v>
      </c>
      <c r="G75" s="24" t="n">
        <v>0</v>
      </c>
      <c r="H75" s="24" t="n">
        <v>1725647</v>
      </c>
      <c r="I75" s="24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4" t="n">
        <v>0</v>
      </c>
      <c r="E76" s="24" t="n">
        <v>0</v>
      </c>
      <c r="F76" s="24" t="n">
        <v>725658</v>
      </c>
      <c r="G76" s="24" t="n">
        <v>0</v>
      </c>
      <c r="H76" s="24" t="n">
        <v>725658</v>
      </c>
      <c r="I76" s="24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4" t="n">
        <v>0</v>
      </c>
      <c r="E77" s="24" t="n">
        <v>0</v>
      </c>
      <c r="F77" s="24" t="n">
        <v>1316731</v>
      </c>
      <c r="G77" s="24" t="n">
        <v>0</v>
      </c>
      <c r="H77" s="24" t="n">
        <v>1316731</v>
      </c>
      <c r="I77" s="24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4" t="n">
        <v>0</v>
      </c>
      <c r="E78" s="24" t="n">
        <v>0</v>
      </c>
      <c r="F78" s="24" t="n">
        <v>58979354</v>
      </c>
      <c r="G78" s="24" t="n">
        <v>0</v>
      </c>
      <c r="H78" s="24" t="n">
        <v>58979354</v>
      </c>
      <c r="I78" s="24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4" t="n">
        <v>0</v>
      </c>
      <c r="E79" s="24" t="n">
        <v>0</v>
      </c>
      <c r="F79" s="24" t="n">
        <v>19937999</v>
      </c>
      <c r="G79" s="24" t="n">
        <v>0</v>
      </c>
      <c r="H79" s="24" t="n">
        <v>19937999</v>
      </c>
      <c r="I79" s="24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4" t="n">
        <v>0</v>
      </c>
      <c r="E80" s="24" t="n">
        <v>0</v>
      </c>
      <c r="F80" s="24" t="n">
        <v>6578578</v>
      </c>
      <c r="G80" s="24" t="n">
        <v>0</v>
      </c>
      <c r="H80" s="24" t="n">
        <v>6578578</v>
      </c>
      <c r="I80" s="24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4" t="n">
        <v>0</v>
      </c>
      <c r="E81" s="24" t="n">
        <v>0</v>
      </c>
      <c r="F81" s="24" t="n">
        <v>6643514</v>
      </c>
      <c r="G81" s="24" t="n">
        <v>0</v>
      </c>
      <c r="H81" s="24" t="n">
        <v>6643514</v>
      </c>
      <c r="I81" s="24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4" t="n">
        <v>0</v>
      </c>
      <c r="E82" s="24" t="n">
        <v>0</v>
      </c>
      <c r="F82" s="24" t="n">
        <v>6880797</v>
      </c>
      <c r="G82" s="24" t="n">
        <v>0</v>
      </c>
      <c r="H82" s="24" t="n">
        <v>6880797</v>
      </c>
      <c r="I82" s="24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4" t="n">
        <v>0</v>
      </c>
      <c r="E83" s="24" t="n">
        <v>0</v>
      </c>
      <c r="F83" s="24" t="n">
        <v>7005273</v>
      </c>
      <c r="G83" s="24" t="n">
        <v>0</v>
      </c>
      <c r="H83" s="24" t="n">
        <v>7005273</v>
      </c>
      <c r="I83" s="24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4" t="n">
        <v>0</v>
      </c>
      <c r="E84" s="24" t="n">
        <v>0</v>
      </c>
      <c r="F84" s="24" t="n">
        <v>4142819</v>
      </c>
      <c r="G84" s="24" t="n">
        <v>0</v>
      </c>
      <c r="H84" s="24" t="n">
        <v>4142819</v>
      </c>
      <c r="I84" s="24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4" t="n">
        <v>0</v>
      </c>
      <c r="E85" s="24" t="n">
        <v>0</v>
      </c>
      <c r="F85" s="24" t="n">
        <v>3965478</v>
      </c>
      <c r="G85" s="24" t="n">
        <v>0</v>
      </c>
      <c r="H85" s="24" t="n">
        <v>3965478</v>
      </c>
      <c r="I85" s="24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4" t="n">
        <v>0</v>
      </c>
      <c r="E86" s="24" t="n">
        <v>0</v>
      </c>
      <c r="F86" s="24" t="n">
        <v>19282845</v>
      </c>
      <c r="G86" s="24" t="n">
        <v>0</v>
      </c>
      <c r="H86" s="24" t="n">
        <v>19282845</v>
      </c>
      <c r="I86" s="24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4" t="n">
        <v>0</v>
      </c>
      <c r="E87" s="24" t="n">
        <v>0</v>
      </c>
      <c r="F87" s="24" t="n">
        <v>44854932</v>
      </c>
      <c r="G87" s="24" t="n">
        <v>0</v>
      </c>
      <c r="H87" s="24" t="n">
        <v>44854932</v>
      </c>
      <c r="I87" s="24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4" t="n">
        <v>0</v>
      </c>
      <c r="E88" s="24" t="n">
        <v>0</v>
      </c>
      <c r="F88" s="24" t="n">
        <v>4934884</v>
      </c>
      <c r="G88" s="24" t="n">
        <v>0</v>
      </c>
      <c r="H88" s="24" t="n">
        <v>4934884</v>
      </c>
      <c r="I88" s="24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4" t="n">
        <v>0</v>
      </c>
      <c r="E89" s="24" t="n">
        <v>0</v>
      </c>
      <c r="F89" s="24" t="n">
        <v>10760638</v>
      </c>
      <c r="G89" s="24" t="n">
        <v>0</v>
      </c>
      <c r="H89" s="24" t="n">
        <v>10760638</v>
      </c>
      <c r="I89" s="24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4" t="n">
        <v>0</v>
      </c>
      <c r="E90" s="24" t="n">
        <v>0</v>
      </c>
      <c r="F90" s="24" t="n">
        <v>6059296</v>
      </c>
      <c r="G90" s="24" t="n">
        <v>0</v>
      </c>
      <c r="H90" s="24" t="n">
        <v>6059296</v>
      </c>
      <c r="I90" s="24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1" t="n">
        <v>0</v>
      </c>
      <c r="E91" s="31" t="n">
        <v>0</v>
      </c>
      <c r="F91" s="31" t="n">
        <v>0</v>
      </c>
      <c r="G91" s="31" t="n">
        <v>701026695</v>
      </c>
      <c r="H91" s="31" t="n">
        <v>0</v>
      </c>
      <c r="I91" s="31" t="n">
        <v>701026695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4" t="n">
        <v>0</v>
      </c>
      <c r="E92" s="24" t="n">
        <v>0</v>
      </c>
      <c r="F92" s="24" t="n">
        <v>0</v>
      </c>
      <c r="G92" s="24" t="n">
        <v>848594</v>
      </c>
      <c r="H92" s="24" t="n">
        <v>0</v>
      </c>
      <c r="I92" s="24" t="n"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1" t="n">
        <v>0</v>
      </c>
      <c r="E93" s="31" t="n">
        <v>0</v>
      </c>
      <c r="F93" s="31" t="n">
        <v>24232959</v>
      </c>
      <c r="G93" s="31" t="n">
        <v>0</v>
      </c>
      <c r="H93" s="31" t="n">
        <v>24232959</v>
      </c>
      <c r="I93" s="31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4" t="n">
        <v>0</v>
      </c>
      <c r="E94" s="24" t="n">
        <v>0</v>
      </c>
      <c r="F94" s="24" t="n">
        <v>0</v>
      </c>
      <c r="G94" s="24" t="n">
        <v>0</v>
      </c>
      <c r="H94" s="24" t="n">
        <v>0</v>
      </c>
      <c r="I94" s="24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1308965390</v>
      </c>
      <c r="E96" s="36" t="n">
        <f aca="false">SUM(E5:E94)</f>
        <v>1308965390</v>
      </c>
      <c r="F96" s="36" t="n">
        <f aca="false">SUM(F5:F94)</f>
        <v>4378495087</v>
      </c>
      <c r="G96" s="36" t="n">
        <f aca="false">SUM(G5:G94)</f>
        <v>4378495087</v>
      </c>
      <c r="H96" s="36" t="n">
        <f aca="false">SUM(H5:H94)</f>
        <v>2342400758</v>
      </c>
      <c r="I96" s="36" t="n">
        <f aca="false">SUM(I5:I94)</f>
        <v>2342400758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2024'!H5</f>
        <v>0</v>
      </c>
      <c r="E5" s="37" t="n">
        <f aca="false">'BALANCE 2024'!I5</f>
        <v>10000000</v>
      </c>
      <c r="F5" s="37" t="n">
        <f aca="false">'INVEST ET FINANCEMENT'!D$51+(H5-I5)-(D5-E5)</f>
        <v>0</v>
      </c>
      <c r="G5" s="37" t="n">
        <f aca="false">'INVEST ET FINANCEMENT'!D$51</f>
        <v>0</v>
      </c>
      <c r="H5" s="32" t="n">
        <v>0</v>
      </c>
      <c r="I5" s="37" t="n">
        <f aca="false">E5+'INVEST ET FINANCEMENT'!D$51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2024'!H6</f>
        <v>0</v>
      </c>
      <c r="E6" s="15" t="n">
        <f aca="false">'BALANCE 2024'!I6</f>
        <v>0</v>
      </c>
      <c r="F6" s="15" t="n">
        <f aca="false">HYPOTHESES!D$57+(H6-I6)-(D6-E6)</f>
        <v>0</v>
      </c>
      <c r="G6" s="15" t="n">
        <f aca="false">HYPOTHESES!D$57</f>
        <v>2000000</v>
      </c>
      <c r="H6" s="20" t="n">
        <v>0</v>
      </c>
      <c r="I6" s="15" t="n">
        <f aca="false">E6+HYPOTHESES!D$57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2024'!H7</f>
        <v>0</v>
      </c>
      <c r="E7" s="15" t="n">
        <f aca="false">'BALANCE 2024'!I7</f>
        <v>773799851</v>
      </c>
      <c r="F7" s="20" t="n">
        <f aca="false">MAX(0,(H7-I7)-(D7-E7))</f>
        <v>0</v>
      </c>
      <c r="G7" s="20" t="n">
        <f aca="false">MAX(0,(D7-E7)-(H7-I7))</f>
        <v>70698877</v>
      </c>
      <c r="H7" s="15" t="n">
        <f aca="false">MAX(0,-(E7-D7+HYPOTHESES!D$59))</f>
        <v>0</v>
      </c>
      <c r="I7" s="15" t="n">
        <f aca="false">MAX(0,(E7-D7+HYPOTHESES!D$59))</f>
        <v>844498728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2024'!I48:I94)-SUM('BALANCE 2024'!H48:H94)))</f>
        <v>0</v>
      </c>
      <c r="E8" s="15" t="n">
        <f aca="false">MAX(0,(SUM('BALANCE 2024'!I48:I94)-SUM('BALANCE 2024'!H48:H94)))</f>
        <v>72698877</v>
      </c>
      <c r="F8" s="20" t="n">
        <f aca="false">MAX(0,(H8-I8)-(D8-E8))</f>
        <v>72698877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2024'!H9</f>
        <v>0</v>
      </c>
      <c r="E9" s="15" t="n">
        <f aca="false">'BALANCE 2024'!I9</f>
        <v>39658832</v>
      </c>
      <c r="F9" s="15" t="n">
        <f aca="false">'INVEST ET FINANCEMENT'!D$47+(H9-I9)-(D9-E9)</f>
        <v>94054514</v>
      </c>
      <c r="G9" s="15" t="n">
        <f aca="false">'INVEST ET FINANCEMENT'!D$47</f>
        <v>54395682</v>
      </c>
      <c r="H9" s="20" t="n">
        <v>0</v>
      </c>
      <c r="I9" s="15" t="n">
        <f aca="false">E9+'INVEST ET FINANCEMENT'!D$47-'INVEST ET FINANCEMENT'!D$48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2024'!H10</f>
        <v>0</v>
      </c>
      <c r="E10" s="15" t="n">
        <f aca="false">'BALANCE 2024'!I10</f>
        <v>10619694</v>
      </c>
      <c r="F10" s="15" t="n">
        <f aca="false">'INVEST ET FINANCEMENT'!D$49</f>
        <v>10619694</v>
      </c>
      <c r="G10" s="15" t="n">
        <f aca="false">'INVEST ET FINANCEMENT'!D$49+(D10-E10)-(H10-I10)</f>
        <v>0</v>
      </c>
      <c r="H10" s="20" t="n">
        <v>0</v>
      </c>
      <c r="I10" s="15" t="n">
        <f aca="false">E10-'INVEST ET FINANCEMENT'!D$49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2024'!H11</f>
        <v>0</v>
      </c>
      <c r="E11" s="15" t="n">
        <f aca="false">'BALANCE 2024'!I11</f>
        <v>21273896</v>
      </c>
      <c r="F11" s="15" t="n">
        <f aca="false">HYPOTHESES!D$20+(H11-I11)-(D11-E11)</f>
        <v>0</v>
      </c>
      <c r="G11" s="15" t="n">
        <f aca="false">HYPOTHESES!D$20</f>
        <v>6059296</v>
      </c>
      <c r="H11" s="20" t="n">
        <v>0</v>
      </c>
      <c r="I11" s="15" t="n">
        <f aca="false">E11+HYPOTHESES!D$20</f>
        <v>27333192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2024'!H12</f>
        <v>103601492</v>
      </c>
      <c r="E12" s="37" t="n">
        <f aca="false">'BALANCE 2024'!I12</f>
        <v>0</v>
      </c>
      <c r="F12" s="37" t="n">
        <f aca="false">'INVEST ET FINANCEMENT'!D$9</f>
        <v>0</v>
      </c>
      <c r="G12" s="37" t="n">
        <f aca="false">'INVEST ET FINANCEMENT'!D$9+(D12-E12)-(H12-I12)</f>
        <v>0</v>
      </c>
      <c r="H12" s="37" t="n">
        <f aca="false">D12+'INVEST ET FINANCEMENT'!D$9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2024'!H13</f>
        <v>313845268</v>
      </c>
      <c r="E13" s="15" t="n">
        <f aca="false">'BALANCE 2024'!I13</f>
        <v>0</v>
      </c>
      <c r="F13" s="15" t="n">
        <f aca="false">'INVEST ET FINANCEMENT'!D$10</f>
        <v>0</v>
      </c>
      <c r="G13" s="15" t="n">
        <f aca="false">'INVEST ET FINANCEMENT'!D$10+(D13-E13)-(H13-I13)</f>
        <v>0</v>
      </c>
      <c r="H13" s="15" t="n">
        <f aca="false">D13+'INVEST ET FINANCEMENT'!D$10</f>
        <v>313845268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2024'!H14</f>
        <v>9306956</v>
      </c>
      <c r="E14" s="15" t="n">
        <f aca="false">'BALANCE 2024'!I14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2024'!H15</f>
        <v>12980459</v>
      </c>
      <c r="E15" s="15" t="n">
        <f aca="false">'BALANCE 2024'!I15</f>
        <v>0</v>
      </c>
      <c r="F15" s="15" t="n">
        <f aca="false">'INVEST ET FINANCEMENT'!D$11</f>
        <v>930000</v>
      </c>
      <c r="G15" s="15" t="n">
        <f aca="false">'INVEST ET FINANCEMENT'!D$11+(D15-E15)-(H15-I15)</f>
        <v>0</v>
      </c>
      <c r="H15" s="15" t="n">
        <f aca="false">D15+'INVEST ET FINANCEMENT'!D$11</f>
        <v>13910459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2024'!H16</f>
        <v>408044985</v>
      </c>
      <c r="E16" s="15" t="n">
        <f aca="false">'BALANCE 2024'!I16</f>
        <v>0</v>
      </c>
      <c r="F16" s="15" t="n">
        <f aca="false">'INVEST ET FINANCEMENT'!D$12</f>
        <v>15593220</v>
      </c>
      <c r="G16" s="15" t="n">
        <f aca="false">'INVEST ET FINANCEMENT'!D$12+(D16-E16)-(H16-I16)</f>
        <v>0</v>
      </c>
      <c r="H16" s="15" t="n">
        <f aca="false">D16+'INVEST ET FINANCEMENT'!D$12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2024'!H17</f>
        <v>28619694</v>
      </c>
      <c r="E17" s="15" t="n">
        <f aca="false">'BALANCE 2024'!I17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2024'!H18</f>
        <v>25000000</v>
      </c>
      <c r="E18" s="15" t="n">
        <f aca="false">'BALANCE 2024'!I18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2024'!H19</f>
        <v>231420138</v>
      </c>
      <c r="E19" s="15" t="n">
        <f aca="false">'BALANCE 2024'!I19</f>
        <v>0</v>
      </c>
      <c r="F19" s="15" t="n">
        <f aca="false">'INVEST ET FINANCEMENT'!D$13</f>
        <v>0</v>
      </c>
      <c r="G19" s="15" t="n">
        <f aca="false">'INVEST ET FINANCEMENT'!D$13+(D19-E19)-(H19-I19)</f>
        <v>0</v>
      </c>
      <c r="H19" s="15" t="n">
        <f aca="false">D19+'INVEST ET FINANCEMENT'!D$13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2024'!H20</f>
        <v>0</v>
      </c>
      <c r="E20" s="15" t="n">
        <f aca="false">'BALANCE 2024'!I20</f>
        <v>41936476</v>
      </c>
      <c r="F20" s="15" t="n">
        <f aca="false">'INVEST ET FINANCEMENT'!D$31+(H20-I20)-(D20-E20)</f>
        <v>0</v>
      </c>
      <c r="G20" s="15" t="n">
        <f aca="false">'INVEST ET FINANCEMENT'!D$31</f>
        <v>19282845</v>
      </c>
      <c r="H20" s="20" t="n">
        <v>0</v>
      </c>
      <c r="I20" s="15" t="n">
        <f aca="false">E20+'INVEST ET FINANCEMENT'!D$31</f>
        <v>61219321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2024'!H21</f>
        <v>0</v>
      </c>
      <c r="E21" s="15" t="n">
        <f aca="false">'BALANCE 2024'!I21</f>
        <v>55983764</v>
      </c>
      <c r="F21" s="15" t="n">
        <f aca="false">'INVEST ET FINANCEMENT'!D$34+(H21-I21)-(D21-E21)</f>
        <v>0</v>
      </c>
      <c r="G21" s="15" t="n">
        <f aca="false">'INVEST ET FINANCEMENT'!D$34</f>
        <v>28205053</v>
      </c>
      <c r="H21" s="20" t="n">
        <v>0</v>
      </c>
      <c r="I21" s="15" t="n">
        <f aca="false">E21+'INVEST ET FINANCEMENT'!D$34</f>
        <v>84188817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2024'!H22</f>
        <v>0</v>
      </c>
      <c r="E22" s="15" t="n">
        <f aca="false">'BALANCE 2024'!I22</f>
        <v>12708358</v>
      </c>
      <c r="F22" s="15" t="n">
        <f aca="false">'INVEST ET FINANCEMENT'!D$37+(H22-I22)-(D22-E22)</f>
        <v>0</v>
      </c>
      <c r="G22" s="15" t="n">
        <f aca="false">'INVEST ET FINANCEMENT'!D$37</f>
        <v>5399884</v>
      </c>
      <c r="H22" s="20" t="n">
        <v>0</v>
      </c>
      <c r="I22" s="15" t="n">
        <f aca="false">E22+'INVEST ET FINANCEMENT'!D$37</f>
        <v>18108242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2024'!H23</f>
        <v>0</v>
      </c>
      <c r="E23" s="15" t="n">
        <f aca="false">'BALANCE 2024'!I23</f>
        <v>362909076</v>
      </c>
      <c r="F23" s="15" t="n">
        <f aca="false">'INVEST ET FINANCEMENT'!D$40+(H23-I23)-(D23-E23)</f>
        <v>0</v>
      </c>
      <c r="G23" s="15" t="n">
        <f aca="false">'INVEST ET FINANCEMENT'!D$40</f>
        <v>18958378</v>
      </c>
      <c r="H23" s="20" t="n">
        <v>0</v>
      </c>
      <c r="I23" s="15" t="n">
        <f aca="false">E23+'INVEST ET FINANCEMENT'!D$40</f>
        <v>381867454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2024'!H24</f>
        <v>0</v>
      </c>
      <c r="E24" s="37" t="n">
        <f aca="false">'BALANCE 2024'!I24</f>
        <v>72947866</v>
      </c>
      <c r="F24" s="37" t="n">
        <f aca="false">HYPOTHESES!D$48*(1+HYPOTHESES!D$10)+(H24-I24)-(D24-E24)</f>
        <v>486035333.578042</v>
      </c>
      <c r="G24" s="37" t="n">
        <f aca="false">HYPOTHESES!D$48*(1+HYPOTHESES!D$10)</f>
        <v>490796991.181832</v>
      </c>
      <c r="H24" s="32" t="n">
        <v>0</v>
      </c>
      <c r="I24" s="37" t="n">
        <f aca="false">HYPOTHESES!D$48*(1+HYPOTHESES!D$10)*HYPOTHESES!D$23/360</f>
        <v>77709523.60379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2024'!H25</f>
        <v>0</v>
      </c>
      <c r="E25" s="15" t="n">
        <f aca="false">'BALANCE 2024'!I25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2024'!H26</f>
        <v>452271396</v>
      </c>
      <c r="E26" s="15" t="n">
        <f aca="false">'BALANCE 2024'!I26</f>
        <v>0</v>
      </c>
      <c r="F26" s="15" t="n">
        <f aca="false">HYPOTHESES!D$41*(1+HYPOTHESES!D$10)</f>
        <v>885116305.107</v>
      </c>
      <c r="G26" s="15" t="n">
        <f aca="false">HYPOTHESES!D$41*(1+HYPOTHESES!D$10)+(D26-E26)-(H26-I26)</f>
        <v>870242984.52275</v>
      </c>
      <c r="H26" s="15" t="n">
        <f aca="false">HYPOTHESES!D$41*(1+HYPOTHESES!D$10)*HYPOTHESES!D$22/360</f>
        <v>467144716.58425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2024'!H27</f>
        <v>0</v>
      </c>
      <c r="E27" s="15" t="n">
        <f aca="false">'BALANCE 2024'!I27</f>
        <v>11147549</v>
      </c>
      <c r="F27" s="15" t="n">
        <f aca="false">IF(HYPOTHESES!$C$47=0,0,'BALANCE 2024'!$G$27*HYPOTHESES!D$47/HYPOTHESES!$C$47)+(H27-I27)-(D27-E27)</f>
        <v>86159431.2530551</v>
      </c>
      <c r="G27" s="15" t="n">
        <f aca="false">IF(HYPOTHESES!$C$47=0,0,'BALANCE 2024'!$G$27*HYPOTHESES!D$47/HYPOTHESES!$C$47)</f>
        <v>86936353.3255082</v>
      </c>
      <c r="H27" s="20" t="n">
        <v>0</v>
      </c>
      <c r="I27" s="15" t="n">
        <f aca="false">IF(HYPOTHESES!$C$47=0,0,'BALANCE 2024'!$I$27*HYPOTHESES!D$47/HYPOTHESES!$C$47)</f>
        <v>11924471.0724531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2024'!H28</f>
        <v>0</v>
      </c>
      <c r="E28" s="15" t="n">
        <f aca="false">'BALANCE 2024'!I28</f>
        <v>4859377</v>
      </c>
      <c r="F28" s="15" t="n">
        <f aca="false">IF(HYPOTHESES!$C$47=0,0,'BALANCE 2024'!$G$28*HYPOTHESES!D$47/HYPOTHESES!$C$47)+(H28-I28)-(D28-E28)</f>
        <v>7154829.99836698</v>
      </c>
      <c r="G28" s="15" t="n">
        <f aca="false">IF(HYPOTHESES!$C$47=0,0,'BALANCE 2024'!$G$28*HYPOTHESES!D$47/HYPOTHESES!$C$47)</f>
        <v>7493501.50810162</v>
      </c>
      <c r="H28" s="20" t="n">
        <v>0</v>
      </c>
      <c r="I28" s="15" t="n">
        <f aca="false">IF(HYPOTHESES!$C$47=0,0,'BALANCE 2024'!$I$28*HYPOTHESES!D$47/HYPOTHESES!$C$47)</f>
        <v>5198048.50973464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2024'!H29</f>
        <v>0</v>
      </c>
      <c r="E29" s="15" t="n">
        <f aca="false">'BALANCE 2024'!I29</f>
        <v>1202405</v>
      </c>
      <c r="F29" s="15" t="n">
        <f aca="false">IF(HYPOTHESES!$C$47=0,0,'BALANCE 2024'!$G$29*HYPOTHESES!D$47/HYPOTHESES!$C$47)+(H29-I29)-(D29-E29)</f>
        <v>12174244.7221744</v>
      </c>
      <c r="G29" s="15" t="n">
        <f aca="false">IF(HYPOTHESES!$C$47=0,0,'BALANCE 2024'!$G$29*HYPOTHESES!D$47/HYPOTHESES!$C$47)</f>
        <v>12258045.6531708</v>
      </c>
      <c r="H29" s="20" t="n">
        <v>0</v>
      </c>
      <c r="I29" s="15" t="n">
        <f aca="false">IF(HYPOTHESES!$C$47=0,0,'BALANCE 2024'!$I$29*HYPOTHESES!D$47/HYPOTHESES!$C$47)</f>
        <v>1286205.9309964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2024'!H30</f>
        <v>0</v>
      </c>
      <c r="E30" s="15" t="n">
        <f aca="false">'BALANCE 2024'!I30</f>
        <v>161938</v>
      </c>
      <c r="F30" s="15" t="n">
        <f aca="false">IF(HYPOTHESES!$C$47=0,0,'BALANCE 2024'!$G$30*HYPOTHESES!D$47/HYPOTHESES!$C$47)+(H30-I30)-(D30-E30)</f>
        <v>403348.778331036</v>
      </c>
      <c r="G30" s="15" t="n">
        <f aca="false">IF(HYPOTHESES!$C$47=0,0,'BALANCE 2024'!$G$30*HYPOTHESES!D$47/HYPOTHESES!$C$47)</f>
        <v>414634.954921864</v>
      </c>
      <c r="H30" s="20" t="n">
        <v>0</v>
      </c>
      <c r="I30" s="15" t="n">
        <f aca="false">IF(HYPOTHESES!$C$47=0,0,'BALANCE 2024'!$I$30*HYPOTHESES!D$47/HYPOTHESES!$C$47)</f>
        <v>173224.176590828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2024'!H31</f>
        <v>0</v>
      </c>
      <c r="E31" s="15" t="n">
        <f aca="false">'BALANCE 2024'!I31</f>
        <v>0</v>
      </c>
      <c r="F31" s="15" t="n">
        <f aca="false">IF(HYPOTHESES!$C$47=0,0,'BALANCE 2024'!$G$31*HYPOTHESES!D$47/HYPOTHESES!$C$47)+(H31-I31)-(D31-E31)</f>
        <v>0</v>
      </c>
      <c r="G31" s="15" t="n">
        <f aca="false">IF(HYPOTHESES!$C$47=0,0,'BALANCE 2024'!$G$31*HYPOTHESES!D$47/HYPOTHESES!$C$47)</f>
        <v>0</v>
      </c>
      <c r="H31" s="20" t="n">
        <v>0</v>
      </c>
      <c r="I31" s="15" t="n">
        <f aca="false">IF(HYPOTHESES!$C$47=0,0,'BALANCE 2024'!$I$31*HYPOTHESES!D$47/HYPOTHESES!$C$47)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2024'!H32</f>
        <v>0</v>
      </c>
      <c r="E32" s="15" t="n">
        <f aca="false">'BALANCE 2024'!I32</f>
        <v>24232959</v>
      </c>
      <c r="F32" s="15" t="n">
        <f aca="false">HYPOTHESES!D$55+(H32-I32)-(D32-E32)</f>
        <v>24232959</v>
      </c>
      <c r="G32" s="15" t="n">
        <f aca="false">HYPOTHESES!D$55</f>
        <v>30838289.22547</v>
      </c>
      <c r="H32" s="20" t="n">
        <v>0</v>
      </c>
      <c r="I32" s="15" t="n">
        <f aca="false">HYPOTHESES!D$55</f>
        <v>30838289.22547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2024'!H33</f>
        <v>0</v>
      </c>
      <c r="E33" s="15" t="n">
        <f aca="false">'BALANCE 2024'!I33</f>
        <v>725658</v>
      </c>
      <c r="F33" s="15" t="n">
        <f aca="false">IF(HYPOTHESES!$C$45=0,0,'BALANCE 2024'!$G$33*HYPOTHESES!D$45/HYPOTHESES!$C$45)+(H33-I33)-(D33-E33)</f>
        <v>725658</v>
      </c>
      <c r="G33" s="15" t="n">
        <f aca="false">IF(HYPOTHESES!$C$45=0,0,'BALANCE 2024'!$G$33*HYPOTHESES!D$45/HYPOTHESES!$C$45)</f>
        <v>776041.330992819</v>
      </c>
      <c r="H33" s="20" t="n">
        <v>0</v>
      </c>
      <c r="I33" s="15" t="n">
        <f aca="false">IF(HYPOTHESES!$C$45=0,0,'BALANCE 2024'!$I$33*HYPOTHESES!D$45/HYPOTHESES!$C$45)</f>
        <v>776041.330992819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2024'!H34</f>
        <v>0</v>
      </c>
      <c r="E34" s="15" t="n">
        <f aca="false">'BALANCE 2024'!I34</f>
        <v>104066</v>
      </c>
      <c r="F34" s="15" t="n">
        <f aca="false">IF(HYPOTHESES!$C$45=0,0,'BALANCE 2024'!$G$34*HYPOTHESES!D$45/HYPOTHESES!$C$45)+(H34-I34)-(D34-E34)</f>
        <v>104066</v>
      </c>
      <c r="G34" s="15" t="n">
        <f aca="false">IF(HYPOTHESES!$C$45=0,0,'BALANCE 2024'!$G$34*HYPOTHESES!D$45/HYPOTHESES!$C$45)</f>
        <v>111291.430882177</v>
      </c>
      <c r="H34" s="20" t="n">
        <v>0</v>
      </c>
      <c r="I34" s="15" t="n">
        <f aca="false">IF(HYPOTHESES!$C$45=0,0,'BALANCE 2024'!$I$34*HYPOTHESES!D$45/HYPOTHESES!$C$45)</f>
        <v>111291.430882177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2024'!H35</f>
        <v>0</v>
      </c>
      <c r="E35" s="15" t="n">
        <f aca="false">'BALANCE 2024'!I35</f>
        <v>156106</v>
      </c>
      <c r="F35" s="15" t="n">
        <f aca="false">IF(HYPOTHESES!$C$45=0,0,'BALANCE 2024'!$G$35*HYPOTHESES!D$45/HYPOTHESES!$C$45)+(H35-I35)-(D35-E35)</f>
        <v>156106</v>
      </c>
      <c r="G35" s="15" t="n">
        <f aca="false">IF(HYPOTHESES!$C$45=0,0,'BALANCE 2024'!$G$35*HYPOTHESES!D$45/HYPOTHESES!$C$45)</f>
        <v>166944.632341909</v>
      </c>
      <c r="H35" s="20" t="n">
        <v>0</v>
      </c>
      <c r="I35" s="15" t="n">
        <f aca="false">IF(HYPOTHESES!$C$45=0,0,'BALANCE 2024'!$I$35*HYPOTHESES!D$45/HYPOTHESES!$C$45)</f>
        <v>166944.632341909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2024'!H36</f>
        <v>0</v>
      </c>
      <c r="E36" s="15" t="n">
        <f aca="false">'BALANCE 2024'!I36</f>
        <v>156105</v>
      </c>
      <c r="F36" s="15" t="n">
        <f aca="false">IF(HYPOTHESES!$C$45=0,0,'BALANCE 2024'!$G$36*HYPOTHESES!D$45/HYPOTHESES!$C$45)+(H36-I36)-(D36-E36)</f>
        <v>156105</v>
      </c>
      <c r="G36" s="15" t="n">
        <f aca="false">IF(HYPOTHESES!$C$45=0,0,'BALANCE 2024'!$G$36*HYPOTHESES!D$45/HYPOTHESES!$C$45)</f>
        <v>166943.562910674</v>
      </c>
      <c r="H36" s="20" t="n">
        <v>0</v>
      </c>
      <c r="I36" s="15" t="n">
        <f aca="false">IF(HYPOTHESES!$C$45=0,0,'BALANCE 2024'!$I$36*HYPOTHESES!D$45/HYPOTHESES!$C$45)</f>
        <v>166943.562910674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2024'!H37</f>
        <v>0</v>
      </c>
      <c r="E37" s="15" t="n">
        <f aca="false">'BALANCE 2024'!I37</f>
        <v>367610</v>
      </c>
      <c r="F37" s="15" t="n">
        <f aca="false">IF(HYPOTHESES!$C$45=0,0,'BALANCE 2024'!$G$37*HYPOTHESES!D$45/HYPOTHESES!$C$45)+(H37-I37)-(D37-E37)</f>
        <v>858441.50668651</v>
      </c>
      <c r="G37" s="15" t="n">
        <f aca="false">IF(HYPOTHESES!$C$45=0,0,'BALANCE 2024'!$G$37*HYPOTHESES!D$45/HYPOTHESES!$C$45)</f>
        <v>883965.122916566</v>
      </c>
      <c r="H37" s="20" t="n">
        <v>0</v>
      </c>
      <c r="I37" s="15" t="n">
        <f aca="false">IF(HYPOTHESES!$C$45=0,0,'BALANCE 2024'!$I$37*HYPOTHESES!D$45/HYPOTHESES!$C$45)</f>
        <v>393133.616230056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2024'!H38</f>
        <v>0</v>
      </c>
      <c r="E38" s="15" t="n">
        <f aca="false">'BALANCE 2024'!I38</f>
        <v>5000000</v>
      </c>
      <c r="F38" s="15" t="n">
        <f aca="false">IF(HYPOTHESES!$C$45=0,0,'BALANCE 2024'!$G$38*HYPOTHESES!D$45/HYPOTHESES!$C$45)+(H38-I38)-(D38-E38)</f>
        <v>9336685.8915259</v>
      </c>
      <c r="G38" s="15" t="n">
        <f aca="false">IF(HYPOTHESES!$C$45=0,0,'BALANCE 2024'!$G$38*HYPOTHESES!D$45/HYPOTHESES!$C$45)</f>
        <v>9683842.06559702</v>
      </c>
      <c r="H38" s="20" t="n">
        <v>0</v>
      </c>
      <c r="I38" s="15" t="n">
        <f aca="false">IF(HYPOTHESES!$C$45=0,0,'BALANCE 2024'!$I$38*HYPOTHESES!D$45/HYPOTHESES!$C$45)</f>
        <v>5347156.17407111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2024'!H39</f>
        <v>0</v>
      </c>
      <c r="E39" s="15" t="n">
        <f aca="false">'BALANCE 2024'!I39</f>
        <v>52145698</v>
      </c>
      <c r="F39" s="15" t="n">
        <f aca="false">HYPOTHESES!D$41*HYPOTHESES!D$10+(H39-I39)-(D39-E39)</f>
        <v>133302886.857963</v>
      </c>
      <c r="G39" s="15" t="n">
        <f aca="false">HYPOTHESES!D$41*HYPOTHESES!D$10</f>
        <v>135017741.457</v>
      </c>
      <c r="H39" s="20" t="n">
        <v>0</v>
      </c>
      <c r="I39" s="15" t="n">
        <f aca="false">IF('BALANCE 2024'!$H$26=0,0,'BALANCE 2024'!$I$39*H26/'BALANCE 2024'!$H$26)</f>
        <v>53860552.599037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2024'!H40</f>
        <v>0</v>
      </c>
      <c r="E40" s="15" t="n">
        <f aca="false">'BALANCE 2024'!I40</f>
        <v>200000</v>
      </c>
      <c r="F40" s="15" t="n">
        <f aca="false">IF(HYPOTHESES!$C$45=0,0,'BALANCE 2024'!$G$40*HYPOTHESES!D$45/HYPOTHESES!$C$45)+(H40-I40)-(D40-E40)</f>
        <v>212496.303978804</v>
      </c>
      <c r="G40" s="15" t="n">
        <f aca="false">IF(HYPOTHESES!$C$45=0,0,'BALANCE 2024'!$G$40*HYPOTHESES!D$45/HYPOTHESES!$C$45)</f>
        <v>226382.550941649</v>
      </c>
      <c r="H40" s="20" t="n">
        <v>0</v>
      </c>
      <c r="I40" s="15" t="n">
        <f aca="false">IF(HYPOTHESES!$C$45=0,0,'BALANCE 2024'!$I$40*HYPOTHESES!D$45/HYPOTHESES!$C$45)</f>
        <v>213886.246962845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2024'!H41</f>
        <v>0</v>
      </c>
      <c r="E41" s="15" t="n">
        <f aca="false">'BALANCE 2024'!I41</f>
        <v>1631638</v>
      </c>
      <c r="F41" s="15" t="n">
        <f aca="false">IF(HYPOTHESES!$C$47=0,0,'BALANCE 2024'!$G$41*HYPOTHESES!D$47/HYPOTHESES!$C$47)+(H41-I41)-(D41-E41)</f>
        <v>6198651.30194747</v>
      </c>
      <c r="G41" s="15" t="n">
        <f aca="false">IF(HYPOTHESES!$C$47=0,0,'BALANCE 2024'!$G$41*HYPOTHESES!D$47/HYPOTHESES!$C$47)</f>
        <v>6312367.3821776</v>
      </c>
      <c r="H41" s="20" t="n">
        <v>0</v>
      </c>
      <c r="I41" s="15" t="n">
        <f aca="false">IF(HYPOTHESES!$C$47=0,0,'BALANCE 2024'!$I$41*HYPOTHESES!D$47/HYPOTHESES!$C$47)</f>
        <v>1745354.08023012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2024'!H42</f>
        <v>0</v>
      </c>
      <c r="E42" s="15" t="n">
        <f aca="false">'BALANCE 2024'!I42</f>
        <v>3700000</v>
      </c>
      <c r="F42" s="15" t="n">
        <f aca="false">'INVEST ET FINANCEMENT'!D$53+(H42-I42)-(D42-E42)</f>
        <v>3700000</v>
      </c>
      <c r="G42" s="15" t="n">
        <f aca="false">'INVEST ET FINANCEMENT'!D$53</f>
        <v>0</v>
      </c>
      <c r="H42" s="20" t="n">
        <v>0</v>
      </c>
      <c r="I42" s="15" t="n">
        <f aca="false">'INVEST ET FINANCEMENT'!D$54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2024'!H43</f>
        <v>0</v>
      </c>
      <c r="E43" s="15" t="n">
        <f aca="false">'BALANCE 2024'!I43</f>
        <v>0</v>
      </c>
      <c r="F43" s="20" t="n">
        <f aca="false">MAX(0,(H43-I43)-(D43-E43))</f>
        <v>-0</v>
      </c>
      <c r="G43" s="20" t="n">
        <f aca="false">MAX(0,(D43-E43)-(H43-I43))</f>
        <v>0</v>
      </c>
      <c r="H43" s="15" t="n">
        <f aca="false">MAX(0,-(E43-D43+HYPOTHESES!D$30))</f>
        <v>-0</v>
      </c>
      <c r="I43" s="15" t="n">
        <f aca="false">MAX(0,(E43-D43+HYPOTHESES!D$30))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2024'!H44</f>
        <v>0</v>
      </c>
      <c r="E44" s="15" t="n">
        <f aca="false">'BALANCE 2024'!I44</f>
        <v>132896547</v>
      </c>
      <c r="F44" s="15" t="n">
        <f aca="false">'INVEST ET FINANCEMENT'!D$41+(H44-I44)-(D44-E44)</f>
        <v>90248532.0333333</v>
      </c>
      <c r="G44" s="15" t="n">
        <f aca="false">'INVEST ET FINANCEMENT'!D$41</f>
        <v>16523220</v>
      </c>
      <c r="H44" s="20" t="n">
        <v>0</v>
      </c>
      <c r="I44" s="15" t="n">
        <f aca="false">HYPOTHESES!D$28</f>
        <v>59171234.9666667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2024'!H45</f>
        <v>122588265</v>
      </c>
      <c r="E45" s="37" t="n">
        <f aca="false">'BALANCE 2024'!I45</f>
        <v>0</v>
      </c>
      <c r="F45" s="37" t="n">
        <f aca="false">G26+HYPOTHESES!D$50+'INVEST ET FINANCEMENT'!D$47+'INVEST ET FINANCEMENT'!D$51</f>
        <v>925487260.52275</v>
      </c>
      <c r="G45" s="37" t="n">
        <f aca="false">G26+HYPOTHESES!D$50+'INVEST ET FINANCEMENT'!D$47+'INVEST ET FINANCEMENT'!D$51+(D45-E45)-(H45-I45)</f>
        <v>899295224.27123</v>
      </c>
      <c r="H45" s="32" t="n">
        <f aca="false">MAX(0,(SUM(I5:I44)+SUM(I46:I94)-SUM(H5:H44)-SUM(H46:H94)))</f>
        <v>148780301.25152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2024'!H46</f>
        <v>5545693</v>
      </c>
      <c r="E46" s="15" t="n">
        <f aca="false">'BALANCE 2024'!I46</f>
        <v>0</v>
      </c>
      <c r="F46" s="15" t="n">
        <f aca="false">HYPOTHESES!D$29*G45</f>
        <v>179859044.854246</v>
      </c>
      <c r="G46" s="15" t="n">
        <f aca="false">HYPOTHESES!D$29*G45+(D46-E46)-(H46-I46)</f>
        <v>179859044.854246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2024'!H47</f>
        <v>0</v>
      </c>
      <c r="E47" s="15" t="n">
        <f aca="false">'BALANCE 2024'!I47</f>
        <v>0</v>
      </c>
      <c r="F47" s="15" t="n">
        <f aca="false">HYPOTHESES!D$29*G45</f>
        <v>179859044.854246</v>
      </c>
      <c r="G47" s="15" t="n">
        <f aca="false">HYPOTHESES!D$29*G45+(D47-E47)-(H47-I47)</f>
        <v>179859044.854246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1338050.58254889</v>
      </c>
      <c r="G48" s="32" t="n">
        <f aca="false">MAX(0,(D48-E48)-(H48-I48))</f>
        <v>0</v>
      </c>
      <c r="H48" s="37" t="n">
        <f aca="false">IF(HYPOTHESES!$C$42=0,0,'BALANCE 2024'!$H$48*HYPOTHESES!D$42/HYPOTHESES!$C$42)</f>
        <v>1338050.58254889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133308.745992565</v>
      </c>
      <c r="G49" s="20" t="n">
        <f aca="false">MAX(0,(D49-E49)-(H49-I49))</f>
        <v>0</v>
      </c>
      <c r="H49" s="15" t="n">
        <f aca="false">IF(HYPOTHESES!$C$42=0,0,'BALANCE 2024'!$H$49*HYPOTHESES!D$42/HYPOTHESES!$C$42)</f>
        <v>133308.745992565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42762672.2298924</v>
      </c>
      <c r="G50" s="20" t="n">
        <f aca="false">MAX(0,(D50-E50)-(H50-I50))</f>
        <v>0</v>
      </c>
      <c r="H50" s="15" t="n">
        <f aca="false">IF(HYPOTHESES!$C$42=0,0,'BALANCE 2024'!$H$50*HYPOTHESES!D$42/HYPOTHESES!$C$42)</f>
        <v>42762672.2298924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21229766.6518332</v>
      </c>
      <c r="G51" s="20" t="n">
        <f aca="false">MAX(0,(D51-E51)-(H51-I51))</f>
        <v>0</v>
      </c>
      <c r="H51" s="15" t="n">
        <f aca="false">IF(HYPOTHESES!$C$42=0,0,'BALANCE 2024'!$H$51*HYPOTHESES!D$42/HYPOTHESES!$C$42)</f>
        <v>21229766.6518332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13776048.9349059</v>
      </c>
      <c r="G52" s="20" t="n">
        <f aca="false">MAX(0,(D52-E52)-(H52-I52))</f>
        <v>0</v>
      </c>
      <c r="H52" s="15" t="n">
        <f aca="false">IF(HYPOTHESES!$C$42=0,0,'BALANCE 2024'!$H$52*HYPOTHESES!D$42/HYPOTHESES!$C$42)</f>
        <v>13776048.9349059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3950406.97586054</v>
      </c>
      <c r="G53" s="20" t="n">
        <f aca="false">MAX(0,(D53-E53)-(H53-I53))</f>
        <v>0</v>
      </c>
      <c r="H53" s="15" t="n">
        <f aca="false">IF(HYPOTHESES!$C$42=0,0,'BALANCE 2024'!$H$53*HYPOTHESES!D$42/HYPOTHESES!$C$42)</f>
        <v>3950406.97586054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85779542.3741146</v>
      </c>
      <c r="G54" s="20" t="n">
        <f aca="false">MAX(0,(D54-E54)-(H54-I54))</f>
        <v>0</v>
      </c>
      <c r="H54" s="15" t="n">
        <f aca="false">IF(HYPOTHESES!$C$42=0,0,'BALANCE 2024'!$H$54*HYPOTHESES!D$42/HYPOTHESES!$C$42)</f>
        <v>85779542.3741146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128669313.561172</v>
      </c>
      <c r="G55" s="20" t="n">
        <f aca="false">MAX(0,(D55-E55)-(H55-I55))</f>
        <v>0</v>
      </c>
      <c r="H55" s="15" t="n">
        <f aca="false">IF(HYPOTHESES!$C$42=0,0,'BALANCE 2024'!$H$55*HYPOTHESES!D$42/HYPOTHESES!$C$42)</f>
        <v>128669313.561172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99569.4954280198</v>
      </c>
      <c r="G56" s="20" t="n">
        <f aca="false">MAX(0,(D56-E56)-(H56-I56))</f>
        <v>0</v>
      </c>
      <c r="H56" s="15" t="n">
        <f aca="false">IF(HYPOTHESES!$C$43=0,0,'BALANCE 2024'!$H$56*HYPOTHESES!D$43/HYPOTHESES!$C$43)</f>
        <v>99569.4954280198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1661464.49543648</v>
      </c>
      <c r="G57" s="20" t="n">
        <f aca="false">MAX(0,(D57-E57)-(H57-I57))</f>
        <v>0</v>
      </c>
      <c r="H57" s="15" t="n">
        <f aca="false">IF(HYPOTHESES!$C$43=0,0,'BALANCE 2024'!$H$57*HYPOTHESES!D$43/HYPOTHESES!$C$43)</f>
        <v>1661464.49543648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2289498.2528455</v>
      </c>
      <c r="G58" s="20" t="n">
        <f aca="false">MAX(0,(D58-E58)-(H58-I58))</f>
        <v>0</v>
      </c>
      <c r="H58" s="15" t="n">
        <f aca="false">IF(HYPOTHESES!$C$43=0,0,'BALANCE 2024'!$H$58*HYPOTHESES!D$43/HYPOTHESES!$C$43)</f>
        <v>2289498.2528455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17799094.3584597</v>
      </c>
      <c r="G59" s="20" t="n">
        <f aca="false">MAX(0,(D59-E59)-(H59-I59))</f>
        <v>0</v>
      </c>
      <c r="H59" s="15" t="n">
        <f aca="false">IF(HYPOTHESES!$C$44=0,0,'BALANCE 2024'!$H$59*HYPOTHESES!D$44/HYPOTHESES!$C$44)</f>
        <v>17799094.3584597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36596792.1610822</v>
      </c>
      <c r="G60" s="20" t="n">
        <f aca="false">MAX(0,(D60-E60)-(H60-I60))</f>
        <v>0</v>
      </c>
      <c r="H60" s="15" t="n">
        <f aca="false">IF(HYPOTHESES!$C$44=0,0,'BALANCE 2024'!$H$60*HYPOTHESES!D$44/HYPOTHESES!$C$44)</f>
        <v>36596792.1610822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4910802.65328836</v>
      </c>
      <c r="G61" s="20" t="n">
        <f aca="false">MAX(0,(D61-E61)-(H61-I61))</f>
        <v>0</v>
      </c>
      <c r="H61" s="15" t="n">
        <f aca="false">IF(HYPOTHESES!$C$44=0,0,'BALANCE 2024'!$H$61*HYPOTHESES!D$44/HYPOTHESES!$C$44)</f>
        <v>4910802.65328836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34239.1285668777</v>
      </c>
      <c r="G62" s="20" t="n">
        <f aca="false">MAX(0,(D62-E62)-(H62-I62))</f>
        <v>0</v>
      </c>
      <c r="H62" s="15" t="n">
        <f aca="false">IF(HYPOTHESES!$C$44=0,0,'BALANCE 2024'!$H$62*HYPOTHESES!D$44/HYPOTHESES!$C$44)</f>
        <v>34239.1285668777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62593.4069113234</v>
      </c>
      <c r="G63" s="20" t="n">
        <f aca="false">MAX(0,(D63-E63)-(H63-I63))</f>
        <v>0</v>
      </c>
      <c r="H63" s="15" t="n">
        <f aca="false">IF(HYPOTHESES!$C$44=0,0,'BALANCE 2024'!$H$63*HYPOTHESES!D$44/HYPOTHESES!$C$44)</f>
        <v>62593.4069113234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849605.456367433</v>
      </c>
      <c r="G64" s="20" t="n">
        <f aca="false">MAX(0,(D64-E64)-(H64-I64))</f>
        <v>0</v>
      </c>
      <c r="H64" s="15" t="n">
        <f aca="false">IF(HYPOTHESES!$C$44=0,0,'BALANCE 2024'!$H$64*HYPOTHESES!D$44/HYPOTHESES!$C$44)</f>
        <v>849605.456367433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24170860.2982142</v>
      </c>
      <c r="G65" s="20" t="n">
        <f aca="false">MAX(0,(D65-E65)-(H65-I65))</f>
        <v>0</v>
      </c>
      <c r="H65" s="15" t="n">
        <f aca="false">IF(HYPOTHESES!$C$44=0,0,'BALANCE 2024'!$H$65*HYPOTHESES!D$44/HYPOTHESES!$C$44)</f>
        <v>24170860.2982142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5085623.36385977</v>
      </c>
      <c r="G66" s="20" t="n">
        <f aca="false">MAX(0,(D66-E66)-(H66-I66))</f>
        <v>0</v>
      </c>
      <c r="H66" s="15" t="n">
        <f aca="false">IF(HYPOTHESES!$C$44=0,0,'BALANCE 2024'!$H$66*HYPOTHESES!D$44/HYPOTHESES!$C$44)</f>
        <v>5085623.36385977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24730400.4171451</v>
      </c>
      <c r="G67" s="20" t="n">
        <f aca="false">MAX(0,(D67-E67)-(H67-I67))</f>
        <v>0</v>
      </c>
      <c r="H67" s="15" t="n">
        <f aca="false">IF(HYPOTHESES!$C$44=0,0,'BALANCE 2024'!$H$67*HYPOTHESES!D$44/HYPOTHESES!$C$44)</f>
        <v>24730400.4171451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384995.24453312</v>
      </c>
      <c r="G68" s="20" t="n">
        <f aca="false">MAX(0,(D68-E68)-(H68-I68))</f>
        <v>0</v>
      </c>
      <c r="H68" s="15" t="n">
        <f aca="false">IF(HYPOTHESES!$C$45=0,0,'BALANCE 2024'!$H$68*HYPOTHESES!D$45/HYPOTHESES!$C$45)</f>
        <v>384995.24453312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9683842.06559702</v>
      </c>
      <c r="G69" s="20" t="n">
        <f aca="false">MAX(0,(D69-E69)-(H69-I69))</f>
        <v>0</v>
      </c>
      <c r="H69" s="15" t="n">
        <f aca="false">IF(HYPOTHESES!$C$45=0,0,'BALANCE 2024'!$H$69*HYPOTHESES!D$45/HYPOTHESES!$C$45)</f>
        <v>9683842.06559702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1656222.80620061</v>
      </c>
      <c r="G70" s="20" t="n">
        <f aca="false">MAX(0,(D70-E70)-(H70-I70))</f>
        <v>0</v>
      </c>
      <c r="H70" s="15" t="n">
        <f aca="false">IF(HYPOTHESES!$C$45=0,0,'BALANCE 2024'!$H$70*HYPOTHESES!D$45/HYPOTHESES!$C$45)</f>
        <v>1656222.80620061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883965.122916566</v>
      </c>
      <c r="G71" s="20" t="n">
        <f aca="false">MAX(0,(D71-E71)-(H71-I71))</f>
        <v>0</v>
      </c>
      <c r="H71" s="15" t="n">
        <f aca="false">IF(HYPOTHESES!$C$45=0,0,'BALANCE 2024'!$H$71*HYPOTHESES!D$45/HYPOTHESES!$C$45)</f>
        <v>883965.122916566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111291.430882177</v>
      </c>
      <c r="G72" s="20" t="n">
        <f aca="false">MAX(0,(D72-E72)-(H72-I72))</f>
        <v>0</v>
      </c>
      <c r="H72" s="15" t="n">
        <f aca="false">IF(HYPOTHESES!$C$45=0,0,'BALANCE 2024'!$H$72*HYPOTHESES!D$45/HYPOTHESES!$C$45)</f>
        <v>111291.430882177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333888.195252583</v>
      </c>
      <c r="G73" s="20" t="n">
        <f aca="false">MAX(0,(D73-E73)-(H73-I73))</f>
        <v>0</v>
      </c>
      <c r="H73" s="15" t="n">
        <f aca="false">IF(HYPOTHESES!$C$45=0,0,'BALANCE 2024'!$H$73*HYPOTHESES!D$45/HYPOTHESES!$C$45)</f>
        <v>333888.195252583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226382.550941649</v>
      </c>
      <c r="G74" s="20" t="n">
        <f aca="false">MAX(0,(D74-E74)-(H74-I74))</f>
        <v>0</v>
      </c>
      <c r="H74" s="15" t="n">
        <f aca="false">IF(HYPOTHESES!$C$45=0,0,'BALANCE 2024'!$H$74*HYPOTHESES!D$45/HYPOTHESES!$C$45)</f>
        <v>226382.550941649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1845460.80206346</v>
      </c>
      <c r="G75" s="20" t="n">
        <f aca="false">MAX(0,(D75-E75)-(H75-I75))</f>
        <v>0</v>
      </c>
      <c r="H75" s="15" t="n">
        <f aca="false">IF(HYPOTHESES!$C$45=0,0,'BALANCE 2024'!$H$75*HYPOTHESES!D$45/HYPOTHESES!$C$45)</f>
        <v>1845460.80206346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776041.330992819</v>
      </c>
      <c r="G76" s="20" t="n">
        <f aca="false">MAX(0,(D76-E76)-(H76-I76))</f>
        <v>0</v>
      </c>
      <c r="H76" s="15" t="n">
        <f aca="false">IF(HYPOTHESES!$C$45=0,0,'BALANCE 2024'!$H$76*HYPOTHESES!D$45/HYPOTHESES!$C$45)</f>
        <v>776041.330992819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1425187.270935</v>
      </c>
      <c r="G77" s="20" t="n">
        <f aca="false">MAX(0,(D77-E77)-(H77-I77))</f>
        <v>0</v>
      </c>
      <c r="H77" s="15" t="n">
        <f aca="false">IF(HYPOTHESES!$C$46=0,0,'BALANCE 2024'!$H$77*HYPOTHESES!D$46/HYPOTHESES!$C$46)</f>
        <v>1425187.270935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63089886.4535128</v>
      </c>
      <c r="G78" s="20" t="n">
        <f aca="false">MAX(0,(D78-E78)-(H78-I78))</f>
        <v>0</v>
      </c>
      <c r="H78" s="15" t="n">
        <f aca="false">IF(HYPOTHESES!$C$47=0,0,'BALANCE 2024'!$H$78*HYPOTHESES!D$47/HYPOTHESES!$C$47)</f>
        <v>63089886.4535128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21327566.4738588</v>
      </c>
      <c r="G79" s="20" t="n">
        <f aca="false">MAX(0,(D79-E79)-(H79-I79))</f>
        <v>0</v>
      </c>
      <c r="H79" s="15" t="n">
        <f aca="false">IF(HYPOTHESES!$C$47=0,0,'BALANCE 2024'!$H$79*HYPOTHESES!D$47/HYPOTHESES!$C$47)</f>
        <v>21327566.4738588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7037068.243331</v>
      </c>
      <c r="G80" s="20" t="n">
        <f aca="false">MAX(0,(D80-E80)-(H80-I80))</f>
        <v>0</v>
      </c>
      <c r="H80" s="15" t="n">
        <f aca="false">IF(HYPOTHESES!$C$47=0,0,'BALANCE 2024'!$H$80*HYPOTHESES!D$47/HYPOTHESES!$C$47)</f>
        <v>7037068.243331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7106529.92083166</v>
      </c>
      <c r="G81" s="20" t="n">
        <f aca="false">MAX(0,(D81-E81)-(H81-I81))</f>
        <v>0</v>
      </c>
      <c r="H81" s="15" t="n">
        <f aca="false">IF(HYPOTHESES!$C$47=0,0,'BALANCE 2024'!$H$81*HYPOTHESES!D$47/HYPOTHESES!$C$47)</f>
        <v>7106529.92083166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7360350.22424409</v>
      </c>
      <c r="G82" s="20" t="n">
        <f aca="false">MAX(0,(D82-E82)-(H82-I82))</f>
        <v>0</v>
      </c>
      <c r="H82" s="15" t="n">
        <f aca="false">IF(HYPOTHESES!$C$47=0,0,'BALANCE 2024'!$H$82*HYPOTHESES!D$47/HYPOTHESES!$C$47)</f>
        <v>7360350.22424409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7493501.50810162</v>
      </c>
      <c r="G83" s="20" t="n">
        <f aca="false">MAX(0,(D83-E83)-(H83-I83))</f>
        <v>0</v>
      </c>
      <c r="H83" s="15" t="n">
        <f aca="false">IF(HYPOTHESES!$C$47=0,0,'BALANCE 2024'!$H$83*HYPOTHESES!D$47/HYPOTHESES!$C$47)</f>
        <v>7493501.50810162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2379529.92</v>
      </c>
      <c r="G84" s="20" t="n">
        <f aca="false">MAX(0,(D84-E84)-(H84-I84))</f>
        <v>0</v>
      </c>
      <c r="H84" s="15" t="n">
        <f aca="false">'INVEST ET FINANCEMENT'!D$64</f>
        <v>2379529.92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637181.64</v>
      </c>
      <c r="G85" s="20" t="n">
        <f aca="false">MAX(0,(D85-E85)-(H85-I85))</f>
        <v>0</v>
      </c>
      <c r="H85" s="15" t="n">
        <f aca="false">'INVEST ET FINANCEMENT'!D$65</f>
        <v>637181.64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FINANCEMENT'!D$31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28205053</v>
      </c>
      <c r="G87" s="20" t="n">
        <f aca="false">MAX(0,(D87-E87)-(H87-I87))</f>
        <v>0</v>
      </c>
      <c r="H87" s="15" t="n">
        <f aca="false">'INVEST ET FINANCEMENT'!D$34</f>
        <v>28205053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5399884</v>
      </c>
      <c r="G88" s="20" t="n">
        <f aca="false">MAX(0,(D88-E88)-(H88-I88))</f>
        <v>0</v>
      </c>
      <c r="H88" s="15" t="n">
        <f aca="false">'INVEST ET FINANCEMENT'!D$37</f>
        <v>5399884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18958378</v>
      </c>
      <c r="G89" s="20" t="n">
        <f aca="false">MAX(0,(D89-E89)-(H89-I89))</f>
        <v>0</v>
      </c>
      <c r="H89" s="15" t="n">
        <f aca="false">'INVEST ET FINANCEMENT'!D$40</f>
        <v>18958378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HYPOTHESES!D$49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750098563.65</v>
      </c>
      <c r="H91" s="32" t="n">
        <v>0</v>
      </c>
      <c r="I91" s="37" t="n">
        <f aca="false">HYPOTHESES!D$41</f>
        <v>750098563.65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HYPOTHESES!D$50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30838289.22547</v>
      </c>
      <c r="G93" s="32" t="n">
        <f aca="false">MAX(0,(D93-E93)-(H93-I93))</f>
        <v>0</v>
      </c>
      <c r="H93" s="37" t="n">
        <f aca="false">IF(HYPOTHESES!D$53&gt;=HYPOTHESES!D$54,HYPOTHESES!D$55,0)</f>
        <v>30838289.22547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IF(HYPOTHESES!D$53&lt;HYPOTHESES!D$54,HYPOTHESES!D$55,0)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1713224346</v>
      </c>
      <c r="E96" s="36" t="n">
        <f aca="false">SUM(E5:E94)</f>
        <v>1713224346</v>
      </c>
      <c r="F96" s="36" t="n">
        <f aca="false">SUM(F5:F94)</f>
        <v>3883810026.53724</v>
      </c>
      <c r="G96" s="36" t="n">
        <f aca="false">SUM(G5:G94)</f>
        <v>3883810026.53724</v>
      </c>
      <c r="H96" s="36" t="n">
        <f aca="false">SUM(H5:H94)</f>
        <v>2429245212.80936</v>
      </c>
      <c r="I96" s="36" t="n">
        <f aca="false">SUM(I5:I94)</f>
        <v>2429245212.80936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2025'!H5</f>
        <v>0</v>
      </c>
      <c r="E5" s="37" t="n">
        <f aca="false">'BALANCE 2025'!I5</f>
        <v>10000000</v>
      </c>
      <c r="F5" s="37" t="n">
        <f aca="false">'INVEST ET FINANCEMENT'!E$51+(H5-I5)-(D5-E5)</f>
        <v>0</v>
      </c>
      <c r="G5" s="37" t="n">
        <f aca="false">'INVEST ET FINANCEMENT'!E$51</f>
        <v>0</v>
      </c>
      <c r="H5" s="32" t="n">
        <v>0</v>
      </c>
      <c r="I5" s="37" t="n">
        <f aca="false">E5+'INVEST ET FINANCEMENT'!E$51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2025'!H6</f>
        <v>0</v>
      </c>
      <c r="E6" s="15" t="n">
        <f aca="false">'BALANCE 2025'!I6</f>
        <v>2000000</v>
      </c>
      <c r="F6" s="15" t="n">
        <f aca="false">HYPOTHESES!E$57+(H6-I6)-(D6-E6)</f>
        <v>0</v>
      </c>
      <c r="G6" s="15" t="n">
        <f aca="false">HYPOTHESES!E$57</f>
        <v>0</v>
      </c>
      <c r="H6" s="20" t="n">
        <v>0</v>
      </c>
      <c r="I6" s="15" t="n">
        <f aca="false">E6+HYPOTHESES!E$57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2025'!H7</f>
        <v>0</v>
      </c>
      <c r="E7" s="15" t="n">
        <f aca="false">'BALANCE 2025'!I7</f>
        <v>844498728</v>
      </c>
      <c r="F7" s="20" t="n">
        <f aca="false">MAX(0,(H7-I7)-(D7-E7))</f>
        <v>0</v>
      </c>
      <c r="G7" s="20" t="n">
        <f aca="false">MAX(0,(D7-E7)-(H7-I7))</f>
        <v>92514867.6764101</v>
      </c>
      <c r="H7" s="15" t="n">
        <f aca="false">MAX(0,-(E7-D7+HYPOTHESES!E$59))</f>
        <v>0</v>
      </c>
      <c r="I7" s="15" t="n">
        <f aca="false">MAX(0,(E7-D7+HYPOTHESES!E$59))</f>
        <v>937013595.67641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2025'!I48:I94)-SUM('BALANCE 2025'!H48:H94)))</f>
        <v>0</v>
      </c>
      <c r="E8" s="15" t="n">
        <f aca="false">MAX(0,(SUM('BALANCE 2025'!I48:I94)-SUM('BALANCE 2025'!H48:H94)))</f>
        <v>92514867.67641</v>
      </c>
      <c r="F8" s="20" t="n">
        <f aca="false">MAX(0,(H8-I8)-(D8-E8))</f>
        <v>92514867.67641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2025'!H9</f>
        <v>0</v>
      </c>
      <c r="E9" s="15" t="n">
        <f aca="false">'BALANCE 2025'!I9</f>
        <v>0</v>
      </c>
      <c r="F9" s="15" t="n">
        <f aca="false">'INVEST ET FINANCEMENT'!E$47+(H9-I9)-(D9-E9)</f>
        <v>0</v>
      </c>
      <c r="G9" s="15" t="n">
        <f aca="false">'INVEST ET FINANCEMENT'!E$47</f>
        <v>0</v>
      </c>
      <c r="H9" s="20" t="n">
        <v>0</v>
      </c>
      <c r="I9" s="15" t="n">
        <f aca="false">E9+'INVEST ET FINANCEMENT'!E$47-'INVEST ET FINANCEMENT'!E$48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2025'!H10</f>
        <v>0</v>
      </c>
      <c r="E10" s="15" t="n">
        <f aca="false">'BALANCE 2025'!I10</f>
        <v>0</v>
      </c>
      <c r="F10" s="15" t="n">
        <f aca="false">'INVEST ET FINANCEMENT'!E$49</f>
        <v>0</v>
      </c>
      <c r="G10" s="15" t="n">
        <f aca="false">'INVEST ET FINANCEMENT'!E$49+(D10-E10)-(H10-I10)</f>
        <v>0</v>
      </c>
      <c r="H10" s="20" t="n">
        <v>0</v>
      </c>
      <c r="I10" s="15" t="n">
        <f aca="false">E10-'INVEST ET FINANCEMENT'!E$49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2025'!H11</f>
        <v>0</v>
      </c>
      <c r="E11" s="15" t="n">
        <f aca="false">'BALANCE 2025'!I11</f>
        <v>27333192</v>
      </c>
      <c r="F11" s="15" t="n">
        <f aca="false">HYPOTHESES!E$20+(H11-I11)-(D11-E11)</f>
        <v>0</v>
      </c>
      <c r="G11" s="15" t="n">
        <f aca="false">HYPOTHESES!E$20</f>
        <v>6059296</v>
      </c>
      <c r="H11" s="20" t="n">
        <v>0</v>
      </c>
      <c r="I11" s="15" t="n">
        <f aca="false">E11+HYPOTHESES!E$20</f>
        <v>33392488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2025'!H12</f>
        <v>103601492</v>
      </c>
      <c r="E12" s="37" t="n">
        <f aca="false">'BALANCE 2025'!I12</f>
        <v>0</v>
      </c>
      <c r="F12" s="37" t="n">
        <f aca="false">'INVEST ET FINANCEMENT'!E$9</f>
        <v>0</v>
      </c>
      <c r="G12" s="37" t="n">
        <f aca="false">'INVEST ET FINANCEMENT'!E$9+(D12-E12)-(H12-I12)</f>
        <v>0</v>
      </c>
      <c r="H12" s="37" t="n">
        <f aca="false">D12+'INVEST ET FINANCEMENT'!E$9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2025'!H13</f>
        <v>313845268</v>
      </c>
      <c r="E13" s="15" t="n">
        <f aca="false">'BALANCE 2025'!I13</f>
        <v>0</v>
      </c>
      <c r="F13" s="15" t="n">
        <f aca="false">'INVEST ET FINANCEMENT'!E$10</f>
        <v>30000000</v>
      </c>
      <c r="G13" s="15" t="n">
        <f aca="false">'INVEST ET FINANCEMENT'!E$10+(D13-E13)-(H13-I13)</f>
        <v>0</v>
      </c>
      <c r="H13" s="15" t="n">
        <f aca="false">D13+'INVEST ET FINANCEMENT'!E$10</f>
        <v>343845268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2025'!H14</f>
        <v>9306956</v>
      </c>
      <c r="E14" s="15" t="n">
        <f aca="false">'BALANCE 2025'!I14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2025'!H15</f>
        <v>13910459</v>
      </c>
      <c r="E15" s="15" t="n">
        <f aca="false">'BALANCE 2025'!I15</f>
        <v>0</v>
      </c>
      <c r="F15" s="15" t="n">
        <f aca="false">'INVEST ET FINANCEMENT'!E$11</f>
        <v>5000000</v>
      </c>
      <c r="G15" s="15" t="n">
        <f aca="false">'INVEST ET FINANCEMENT'!E$11+(D15-E15)-(H15-I15)</f>
        <v>0</v>
      </c>
      <c r="H15" s="15" t="n">
        <f aca="false">D15+'INVEST ET FINANCEMENT'!E$11</f>
        <v>18910459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2025'!H16</f>
        <v>423638205</v>
      </c>
      <c r="E16" s="15" t="n">
        <f aca="false">'BALANCE 2025'!I16</f>
        <v>0</v>
      </c>
      <c r="F16" s="15" t="n">
        <f aca="false">'INVEST ET FINANCEMENT'!E$12</f>
        <v>0</v>
      </c>
      <c r="G16" s="15" t="n">
        <f aca="false">'INVEST ET FINANCEMENT'!E$12+(D16-E16)-(H16-I16)</f>
        <v>0</v>
      </c>
      <c r="H16" s="15" t="n">
        <f aca="false">D16+'INVEST ET FINANCEMENT'!E$12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2025'!H17</f>
        <v>28619694</v>
      </c>
      <c r="E17" s="15" t="n">
        <f aca="false">'BALANCE 2025'!I17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2025'!H18</f>
        <v>25000000</v>
      </c>
      <c r="E18" s="15" t="n">
        <f aca="false">'BALANCE 2025'!I18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2025'!H19</f>
        <v>231420138</v>
      </c>
      <c r="E19" s="15" t="n">
        <f aca="false">'BALANCE 2025'!I19</f>
        <v>0</v>
      </c>
      <c r="F19" s="15" t="n">
        <f aca="false">'INVEST ET FINANCEMENT'!E$13</f>
        <v>0</v>
      </c>
      <c r="G19" s="15" t="n">
        <f aca="false">'INVEST ET FINANCEMENT'!E$13+(D19-E19)-(H19-I19)</f>
        <v>0</v>
      </c>
      <c r="H19" s="15" t="n">
        <f aca="false">D19+'INVEST ET FINANCEMENT'!E$13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2025'!H20</f>
        <v>0</v>
      </c>
      <c r="E20" s="15" t="n">
        <f aca="false">'BALANCE 2025'!I20</f>
        <v>61219321</v>
      </c>
      <c r="F20" s="15" t="n">
        <f aca="false">'INVEST ET FINANCEMENT'!E$31+(H20-I20)-(D20-E20)</f>
        <v>0</v>
      </c>
      <c r="G20" s="15" t="n">
        <f aca="false">'INVEST ET FINANCEMENT'!E$31</f>
        <v>19282845</v>
      </c>
      <c r="H20" s="20" t="n">
        <v>0</v>
      </c>
      <c r="I20" s="15" t="n">
        <f aca="false">E20+'INVEST ET FINANCEMENT'!E$31</f>
        <v>80502166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2025'!H21</f>
        <v>0</v>
      </c>
      <c r="E21" s="15" t="n">
        <f aca="false">'BALANCE 2025'!I21</f>
        <v>84188817</v>
      </c>
      <c r="F21" s="15" t="n">
        <f aca="false">'INVEST ET FINANCEMENT'!E$34+(H21-I21)-(D21-E21)</f>
        <v>0</v>
      </c>
      <c r="G21" s="15" t="n">
        <f aca="false">'INVEST ET FINANCEMENT'!E$34</f>
        <v>50854932</v>
      </c>
      <c r="H21" s="20" t="n">
        <v>0</v>
      </c>
      <c r="I21" s="15" t="n">
        <f aca="false">E21+'INVEST ET FINANCEMENT'!E$34</f>
        <v>135043749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2025'!H22</f>
        <v>0</v>
      </c>
      <c r="E22" s="15" t="n">
        <f aca="false">'BALANCE 2025'!I22</f>
        <v>18108242</v>
      </c>
      <c r="F22" s="15" t="n">
        <f aca="false">'INVEST ET FINANCEMENT'!E$37+(H22-I22)-(D22-E22)</f>
        <v>0</v>
      </c>
      <c r="G22" s="15" t="n">
        <f aca="false">'INVEST ET FINANCEMENT'!E$37</f>
        <v>7609173</v>
      </c>
      <c r="H22" s="20" t="n">
        <v>0</v>
      </c>
      <c r="I22" s="15" t="n">
        <f aca="false">E22+'INVEST ET FINANCEMENT'!E$37</f>
        <v>25717415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2025'!H23</f>
        <v>0</v>
      </c>
      <c r="E23" s="15" t="n">
        <f aca="false">'BALANCE 2025'!I23</f>
        <v>381867454</v>
      </c>
      <c r="F23" s="15" t="n">
        <f aca="false">'INVEST ET FINANCEMENT'!E$40+(H23-I23)-(D23-E23)</f>
        <v>0</v>
      </c>
      <c r="G23" s="15" t="n">
        <f aca="false">'INVEST ET FINANCEMENT'!E$40</f>
        <v>15958378</v>
      </c>
      <c r="H23" s="20" t="n">
        <v>0</v>
      </c>
      <c r="I23" s="15" t="n">
        <f aca="false">E23+'INVEST ET FINANCEMENT'!E$40</f>
        <v>397825832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2025'!H24</f>
        <v>0</v>
      </c>
      <c r="E24" s="37" t="n">
        <f aca="false">'BALANCE 2025'!I24</f>
        <v>77709523.60379</v>
      </c>
      <c r="F24" s="37" t="n">
        <f aca="false">HYPOTHESES!E$48*(1+HYPOTHESES!E$10)+(H24-I24)-(D24-E24)</f>
        <v>511451364.560734</v>
      </c>
      <c r="G24" s="37" t="n">
        <f aca="false">HYPOTHESES!E$48*(1+HYPOTHESES!E$10)</f>
        <v>515336840.740923</v>
      </c>
      <c r="H24" s="32" t="n">
        <v>0</v>
      </c>
      <c r="I24" s="37" t="n">
        <f aca="false">HYPOTHESES!E$48*(1+HYPOTHESES!E$10)*HYPOTHESES!E$23/360</f>
        <v>81594999.7839795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2025'!H25</f>
        <v>0</v>
      </c>
      <c r="E25" s="15" t="n">
        <f aca="false">'BALANCE 2025'!I25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2025'!H26</f>
        <v>467144716.58425</v>
      </c>
      <c r="E26" s="15" t="n">
        <f aca="false">'BALANCE 2025'!I26</f>
        <v>0</v>
      </c>
      <c r="F26" s="15" t="n">
        <f aca="false">HYPOTHESES!E$41*(1+HYPOTHESES!E$10)</f>
        <v>929372120.36235</v>
      </c>
      <c r="G26" s="15" t="n">
        <f aca="false">HYPOTHESES!E$41*(1+HYPOTHESES!E$10)+(D26-E26)-(H26-I26)</f>
        <v>887943759.970537</v>
      </c>
      <c r="H26" s="15" t="n">
        <f aca="false">HYPOTHESES!E$41*(1+HYPOTHESES!E$10)*HYPOTHESES!E$22/360</f>
        <v>508573076.976064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2025'!H27</f>
        <v>0</v>
      </c>
      <c r="E27" s="15" t="n">
        <f aca="false">'BALANCE 2025'!I27</f>
        <v>11924471.0724531</v>
      </c>
      <c r="F27" s="15" t="n">
        <f aca="false">IF(HYPOTHESES!$C$47=0,0,'BALANCE 2024'!$G$27*HYPOTHESES!E$47/HYPOTHESES!$C$47)+(H27-I27)-(D27-E27)</f>
        <v>90686947.4381609</v>
      </c>
      <c r="G27" s="15" t="n">
        <f aca="false">IF(HYPOTHESES!$C$47=0,0,'BALANCE 2024'!$G$27*HYPOTHESES!E$47/HYPOTHESES!$C$47)</f>
        <v>91283170.9917836</v>
      </c>
      <c r="H27" s="20" t="n">
        <v>0</v>
      </c>
      <c r="I27" s="15" t="n">
        <f aca="false">IF(HYPOTHESES!$C$47=0,0,'BALANCE 2024'!$I$27*HYPOTHESES!E$47/HYPOTHESES!$C$47)</f>
        <v>12520694.6260757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2025'!H28</f>
        <v>0</v>
      </c>
      <c r="E28" s="15" t="n">
        <f aca="false">'BALANCE 2025'!I28</f>
        <v>5198048.50973464</v>
      </c>
      <c r="F28" s="15" t="n">
        <f aca="false">IF(HYPOTHESES!$C$47=0,0,'BALANCE 2024'!$G$28*HYPOTHESES!E$47/HYPOTHESES!$C$47)+(H28-I28)-(D28-E28)</f>
        <v>7608274.15801997</v>
      </c>
      <c r="G28" s="15" t="n">
        <f aca="false">IF(HYPOTHESES!$C$47=0,0,'BALANCE 2024'!$G$28*HYPOTHESES!E$47/HYPOTHESES!$C$47)</f>
        <v>7868176.5835067</v>
      </c>
      <c r="H28" s="20" t="n">
        <v>0</v>
      </c>
      <c r="I28" s="15" t="n">
        <f aca="false">IF(HYPOTHESES!$C$47=0,0,'BALANCE 2024'!$I$28*HYPOTHESES!E$47/HYPOTHESES!$C$47)</f>
        <v>5457950.93522137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2025'!H29</f>
        <v>0</v>
      </c>
      <c r="E29" s="15" t="n">
        <f aca="false">'BALANCE 2025'!I29</f>
        <v>1286205.9309964</v>
      </c>
      <c r="F29" s="15" t="n">
        <f aca="false">IF(HYPOTHESES!$C$47=0,0,'BALANCE 2024'!$G$29*HYPOTHESES!E$47/HYPOTHESES!$C$47)+(H29-I29)-(D29-E29)</f>
        <v>12806637.6392795</v>
      </c>
      <c r="G29" s="15" t="n">
        <f aca="false">IF(HYPOTHESES!$C$47=0,0,'BALANCE 2024'!$G$29*HYPOTHESES!E$47/HYPOTHESES!$C$47)</f>
        <v>12870947.9358293</v>
      </c>
      <c r="H29" s="20" t="n">
        <v>0</v>
      </c>
      <c r="I29" s="15" t="n">
        <f aca="false">IF(HYPOTHESES!$C$47=0,0,'BALANCE 2024'!$I$29*HYPOTHESES!E$47/HYPOTHESES!$C$47)</f>
        <v>1350516.22754622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2025'!H30</f>
        <v>0</v>
      </c>
      <c r="E30" s="15" t="n">
        <f aca="false">'BALANCE 2025'!I30</f>
        <v>173224.176590828</v>
      </c>
      <c r="F30" s="15" t="n">
        <f aca="false">IF(HYPOTHESES!$C$47=0,0,'BALANCE 2024'!$G$30*HYPOTHESES!E$47/HYPOTHESES!$C$47)+(H30-I30)-(D30-E30)</f>
        <v>426705.493838415</v>
      </c>
      <c r="G30" s="15" t="n">
        <f aca="false">IF(HYPOTHESES!$C$47=0,0,'BALANCE 2024'!$G$30*HYPOTHESES!E$47/HYPOTHESES!$C$47)</f>
        <v>435366.702667957</v>
      </c>
      <c r="H30" s="20" t="n">
        <v>0</v>
      </c>
      <c r="I30" s="15" t="n">
        <f aca="false">IF(HYPOTHESES!$C$47=0,0,'BALANCE 2024'!$I$30*HYPOTHESES!E$47/HYPOTHESES!$C$47)</f>
        <v>181885.385420369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2025'!H31</f>
        <v>0</v>
      </c>
      <c r="E31" s="15" t="n">
        <f aca="false">'BALANCE 2025'!I31</f>
        <v>0</v>
      </c>
      <c r="F31" s="15" t="n">
        <f aca="false">IF(HYPOTHESES!$C$47=0,0,'BALANCE 2024'!$G$31*HYPOTHESES!E$47/HYPOTHESES!$C$47)+(H31-I31)-(D31-E31)</f>
        <v>0</v>
      </c>
      <c r="G31" s="15" t="n">
        <f aca="false">IF(HYPOTHESES!$C$47=0,0,'BALANCE 2024'!$G$31*HYPOTHESES!E$47/HYPOTHESES!$C$47)</f>
        <v>0</v>
      </c>
      <c r="H31" s="20" t="n">
        <v>0</v>
      </c>
      <c r="I31" s="15" t="n">
        <f aca="false">IF(HYPOTHESES!$C$47=0,0,'BALANCE 2024'!$I$31*HYPOTHESES!E$47/HYPOTHESES!$C$47)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2025'!H32</f>
        <v>0</v>
      </c>
      <c r="E32" s="15" t="n">
        <f aca="false">'BALANCE 2025'!I32</f>
        <v>30838289.22547</v>
      </c>
      <c r="F32" s="15" t="n">
        <f aca="false">HYPOTHESES!E$55+(H32-I32)-(D32-E32)</f>
        <v>30838289.22547</v>
      </c>
      <c r="G32" s="15" t="n">
        <f aca="false">HYPOTHESES!E$55</f>
        <v>28670509.2462435</v>
      </c>
      <c r="H32" s="20" t="n">
        <v>0</v>
      </c>
      <c r="I32" s="15" t="n">
        <f aca="false">HYPOTHESES!E$55</f>
        <v>28670509.2462435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2025'!H33</f>
        <v>0</v>
      </c>
      <c r="E33" s="15" t="n">
        <f aca="false">'BALANCE 2025'!I33</f>
        <v>776041.330992819</v>
      </c>
      <c r="F33" s="15" t="n">
        <f aca="false">IF(HYPOTHESES!$C$45=0,0,'BALANCE 2024'!$G$33*HYPOTHESES!E$45/HYPOTHESES!$C$45)+(H33-I33)-(D33-E33)</f>
        <v>776041.330992819</v>
      </c>
      <c r="G33" s="15" t="n">
        <f aca="false">IF(HYPOTHESES!$C$45=0,0,'BALANCE 2024'!$G$33*HYPOTHESES!E$45/HYPOTHESES!$C$45)</f>
        <v>814843.39754246</v>
      </c>
      <c r="H33" s="20" t="n">
        <v>0</v>
      </c>
      <c r="I33" s="15" t="n">
        <f aca="false">IF(HYPOTHESES!$C$45=0,0,'BALANCE 2024'!$I$33*HYPOTHESES!E$45/HYPOTHESES!$C$45)</f>
        <v>814843.39754246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2025'!H34</f>
        <v>0</v>
      </c>
      <c r="E34" s="15" t="n">
        <f aca="false">'BALANCE 2025'!I34</f>
        <v>111291.430882177</v>
      </c>
      <c r="F34" s="15" t="n">
        <f aca="false">IF(HYPOTHESES!$C$45=0,0,'BALANCE 2024'!$G$34*HYPOTHESES!E$45/HYPOTHESES!$C$45)+(H34-I34)-(D34-E34)</f>
        <v>111291.430882177</v>
      </c>
      <c r="G34" s="15" t="n">
        <f aca="false">IF(HYPOTHESES!$C$45=0,0,'BALANCE 2024'!$G$34*HYPOTHESES!E$45/HYPOTHESES!$C$45)</f>
        <v>116856.002426286</v>
      </c>
      <c r="H34" s="20" t="n">
        <v>0</v>
      </c>
      <c r="I34" s="15" t="n">
        <f aca="false">IF(HYPOTHESES!$C$45=0,0,'BALANCE 2024'!$I$34*HYPOTHESES!E$45/HYPOTHESES!$C$45)</f>
        <v>116856.002426286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2025'!H35</f>
        <v>0</v>
      </c>
      <c r="E35" s="15" t="n">
        <f aca="false">'BALANCE 2025'!I35</f>
        <v>166944.632341909</v>
      </c>
      <c r="F35" s="15" t="n">
        <f aca="false">IF(HYPOTHESES!$C$45=0,0,'BALANCE 2024'!$G$35*HYPOTHESES!E$45/HYPOTHESES!$C$45)+(H35-I35)-(D35-E35)</f>
        <v>166944.632341909</v>
      </c>
      <c r="G35" s="15" t="n">
        <f aca="false">IF(HYPOTHESES!$C$45=0,0,'BALANCE 2024'!$G$35*HYPOTHESES!E$45/HYPOTHESES!$C$45)</f>
        <v>175291.863959004</v>
      </c>
      <c r="H35" s="20" t="n">
        <v>0</v>
      </c>
      <c r="I35" s="15" t="n">
        <f aca="false">IF(HYPOTHESES!$C$45=0,0,'BALANCE 2024'!$I$35*HYPOTHESES!E$45/HYPOTHESES!$C$45)</f>
        <v>175291.863959004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2025'!H36</f>
        <v>0</v>
      </c>
      <c r="E36" s="15" t="n">
        <f aca="false">'BALANCE 2025'!I36</f>
        <v>166943.562910674</v>
      </c>
      <c r="F36" s="15" t="n">
        <f aca="false">IF(HYPOTHESES!$C$45=0,0,'BALANCE 2024'!$G$36*HYPOTHESES!E$45/HYPOTHESES!$C$45)+(H36-I36)-(D36-E36)</f>
        <v>166943.562910674</v>
      </c>
      <c r="G36" s="15" t="n">
        <f aca="false">IF(HYPOTHESES!$C$45=0,0,'BALANCE 2024'!$G$36*HYPOTHESES!E$45/HYPOTHESES!$C$45)</f>
        <v>175290.741056208</v>
      </c>
      <c r="H36" s="20" t="n">
        <v>0</v>
      </c>
      <c r="I36" s="15" t="n">
        <f aca="false">IF(HYPOTHESES!$C$45=0,0,'BALANCE 2024'!$I$36*HYPOTHESES!E$45/HYPOTHESES!$C$45)</f>
        <v>175290.741056208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2025'!H37</f>
        <v>0</v>
      </c>
      <c r="E37" s="15" t="n">
        <f aca="false">'BALANCE 2025'!I37</f>
        <v>393133.616230056</v>
      </c>
      <c r="F37" s="15" t="n">
        <f aca="false">IF(HYPOTHESES!$C$45=0,0,'BALANCE 2024'!$G$37*HYPOTHESES!E$45/HYPOTHESES!$C$45)+(H37-I37)-(D37-E37)</f>
        <v>908506.698250891</v>
      </c>
      <c r="G37" s="15" t="n">
        <f aca="false">IF(HYPOTHESES!$C$45=0,0,'BALANCE 2024'!$G$37*HYPOTHESES!E$45/HYPOTHESES!$C$45)</f>
        <v>928163.379062394</v>
      </c>
      <c r="H37" s="20" t="n">
        <v>0</v>
      </c>
      <c r="I37" s="15" t="n">
        <f aca="false">IF(HYPOTHESES!$C$45=0,0,'BALANCE 2024'!$I$37*HYPOTHESES!E$45/HYPOTHESES!$C$45)</f>
        <v>412790.297041559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2025'!H38</f>
        <v>0</v>
      </c>
      <c r="E38" s="15" t="n">
        <f aca="false">'BALANCE 2025'!I38</f>
        <v>5347156.17407111</v>
      </c>
      <c r="F38" s="15" t="n">
        <f aca="false">IF(HYPOTHESES!$C$45=0,0,'BALANCE 2024'!$G$38*HYPOTHESES!E$45/HYPOTHESES!$C$45)+(H38-I38)-(D38-E38)</f>
        <v>9900676.36017331</v>
      </c>
      <c r="G38" s="15" t="n">
        <f aca="false">IF(HYPOTHESES!$C$45=0,0,'BALANCE 2024'!$G$38*HYPOTHESES!E$45/HYPOTHESES!$C$45)</f>
        <v>10168034.1688769</v>
      </c>
      <c r="H38" s="20" t="n">
        <v>0</v>
      </c>
      <c r="I38" s="15" t="n">
        <f aca="false">IF(HYPOTHESES!$C$45=0,0,'BALANCE 2024'!$I$38*HYPOTHESES!E$45/HYPOTHESES!$C$45)</f>
        <v>5614513.98277467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2025'!H39</f>
        <v>0</v>
      </c>
      <c r="E39" s="15" t="n">
        <f aca="false">'BALANCE 2025'!I39</f>
        <v>53860552.599037</v>
      </c>
      <c r="F39" s="15" t="n">
        <f aca="false">HYPOTHESES!E$41*HYPOTHESES!E$10+(H39-I39)-(D39-E39)</f>
        <v>136992047.944093</v>
      </c>
      <c r="G39" s="15" t="n">
        <f aca="false">HYPOTHESES!E$41*HYPOTHESES!E$10</f>
        <v>141768628.52985</v>
      </c>
      <c r="H39" s="20" t="n">
        <v>0</v>
      </c>
      <c r="I39" s="15" t="n">
        <f aca="false">IF('BALANCE 2024'!$H$26=0,0,'BALANCE 2024'!$I$39*H26/'BALANCE 2024'!$H$26)</f>
        <v>58637133.1847937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2025'!H40</f>
        <v>0</v>
      </c>
      <c r="E40" s="15" t="n">
        <f aca="false">'BALANCE 2025'!I40</f>
        <v>213886.246962845</v>
      </c>
      <c r="F40" s="15" t="n">
        <f aca="false">IF(HYPOTHESES!$C$45=0,0,'BALANCE 2024'!$G$40*HYPOTHESES!E$45/HYPOTHESES!$C$45)+(H40-I40)-(D40-E40)</f>
        <v>227007.366140589</v>
      </c>
      <c r="G40" s="15" t="n">
        <f aca="false">IF(HYPOTHESES!$C$45=0,0,'BALANCE 2024'!$G$40*HYPOTHESES!E$45/HYPOTHESES!$C$45)</f>
        <v>237701.678488731</v>
      </c>
      <c r="H40" s="20" t="n">
        <v>0</v>
      </c>
      <c r="I40" s="15" t="n">
        <f aca="false">IF(HYPOTHESES!$C$45=0,0,'BALANCE 2024'!$I$40*HYPOTHESES!E$45/HYPOTHESES!$C$45)</f>
        <v>224580.559310987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2025'!H41</f>
        <v>0</v>
      </c>
      <c r="E41" s="15" t="n">
        <f aca="false">'BALANCE 2025'!I41</f>
        <v>1745354.08023012</v>
      </c>
      <c r="F41" s="15" t="n">
        <f aca="false">IF(HYPOTHESES!$C$47=0,0,'BALANCE 2024'!$G$41*HYPOTHESES!E$47/HYPOTHESES!$C$47)+(H41-I41)-(D41-E41)</f>
        <v>6540718.04727497</v>
      </c>
      <c r="G41" s="15" t="n">
        <f aca="false">IF(HYPOTHESES!$C$47=0,0,'BALANCE 2024'!$G$41*HYPOTHESES!E$47/HYPOTHESES!$C$47)</f>
        <v>6627985.75128648</v>
      </c>
      <c r="H41" s="20" t="n">
        <v>0</v>
      </c>
      <c r="I41" s="15" t="n">
        <f aca="false">IF(HYPOTHESES!$C$47=0,0,'BALANCE 2024'!$I$41*HYPOTHESES!E$47/HYPOTHESES!$C$47)</f>
        <v>1832621.78424163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2025'!H42</f>
        <v>0</v>
      </c>
      <c r="E42" s="15" t="n">
        <f aca="false">'BALANCE 2025'!I42</f>
        <v>0</v>
      </c>
      <c r="F42" s="15" t="n">
        <f aca="false">'INVEST ET FINANCEMENT'!E$53+(H42-I42)-(D42-E42)</f>
        <v>0</v>
      </c>
      <c r="G42" s="15" t="n">
        <f aca="false">'INVEST ET FINANCEMENT'!E$53</f>
        <v>0</v>
      </c>
      <c r="H42" s="20" t="n">
        <v>0</v>
      </c>
      <c r="I42" s="15" t="n">
        <f aca="false">'INVEST ET FINANCEMENT'!E$54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2025'!H43</f>
        <v>-0</v>
      </c>
      <c r="E43" s="15" t="n">
        <f aca="false">'BALANCE 2025'!I43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MAX(0,-(E43-D43+HYPOTHESES!E$30))</f>
        <v>-0</v>
      </c>
      <c r="I43" s="15" t="n">
        <f aca="false">MAX(0,(E43-D43+HYPOTHESES!E$30))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2025'!H44</f>
        <v>0</v>
      </c>
      <c r="E44" s="15" t="n">
        <f aca="false">'BALANCE 2025'!I44</f>
        <v>59171234.9666667</v>
      </c>
      <c r="F44" s="15" t="n">
        <f aca="false">'INVEST ET FINANCEMENT'!E$41+(H44-I44)-(D44-E44)</f>
        <v>81435123.8555556</v>
      </c>
      <c r="G44" s="15" t="n">
        <f aca="false">'INVEST ET FINANCEMENT'!E$41</f>
        <v>35000000</v>
      </c>
      <c r="H44" s="20" t="n">
        <v>0</v>
      </c>
      <c r="I44" s="15" t="n">
        <f aca="false">HYPOTHESES!E$28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2025'!H45</f>
        <v>148780301.25152</v>
      </c>
      <c r="E45" s="37" t="n">
        <f aca="false">'BALANCE 2025'!I45</f>
        <v>0</v>
      </c>
      <c r="F45" s="37" t="n">
        <f aca="false">G26+HYPOTHESES!E$50+'INVEST ET FINANCEMENT'!E$47+'INVEST ET FINANCEMENT'!E$51</f>
        <v>888792353.970537</v>
      </c>
      <c r="G45" s="37" t="n">
        <f aca="false">G26+HYPOTHESES!E$50+'INVEST ET FINANCEMENT'!E$47+'INVEST ET FINANCEMENT'!E$51+(D45-E45)-(H45-I45)</f>
        <v>818010274.654235</v>
      </c>
      <c r="H45" s="32" t="n">
        <f aca="false">MAX(0,(SUM(I5:I44)+SUM(I46:I94)-SUM(H5:H44)-SUM(H46:H94)))</f>
        <v>219562380.567822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2025'!H46</f>
        <v>5545693</v>
      </c>
      <c r="E46" s="15" t="n">
        <f aca="false">'BALANCE 2025'!I46</f>
        <v>0</v>
      </c>
      <c r="F46" s="15" t="n">
        <f aca="false">HYPOTHESES!E$29*G45</f>
        <v>163602054.930847</v>
      </c>
      <c r="G46" s="15" t="n">
        <f aca="false">HYPOTHESES!E$29*G45+(D46-E46)-(H46-I46)</f>
        <v>163602054.930847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2025'!H47</f>
        <v>0</v>
      </c>
      <c r="E47" s="15" t="n">
        <f aca="false">'BALANCE 2025'!I47</f>
        <v>0</v>
      </c>
      <c r="F47" s="15" t="n">
        <f aca="false">HYPOTHESES!E$29*G45</f>
        <v>163602054.930847</v>
      </c>
      <c r="G47" s="15" t="n">
        <f aca="false">HYPOTHESES!E$29*G45+(D47-E47)-(H47-I47)</f>
        <v>163602054.930847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1404953.11167634</v>
      </c>
      <c r="G48" s="32" t="n">
        <f aca="false">MAX(0,(D48-E48)-(H48-I48))</f>
        <v>0</v>
      </c>
      <c r="H48" s="37" t="n">
        <f aca="false">IF(HYPOTHESES!$C$42=0,0,'BALANCE 2024'!$H$48*HYPOTHESES!E$42/HYPOTHESES!$C$42)</f>
        <v>1404953.11167634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139974.183292193</v>
      </c>
      <c r="G49" s="20" t="n">
        <f aca="false">MAX(0,(D49-E49)-(H49-I49))</f>
        <v>0</v>
      </c>
      <c r="H49" s="15" t="n">
        <f aca="false">IF(HYPOTHESES!$C$42=0,0,'BALANCE 2024'!$H$49*HYPOTHESES!E$42/HYPOTHESES!$C$42)</f>
        <v>139974.183292193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44900805.841387</v>
      </c>
      <c r="G50" s="20" t="n">
        <f aca="false">MAX(0,(D50-E50)-(H50-I50))</f>
        <v>0</v>
      </c>
      <c r="H50" s="15" t="n">
        <f aca="false">IF(HYPOTHESES!$C$42=0,0,'BALANCE 2024'!$H$50*HYPOTHESES!E$42/HYPOTHESES!$C$42)</f>
        <v>44900805.841387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22291254.9844249</v>
      </c>
      <c r="G51" s="20" t="n">
        <f aca="false">MAX(0,(D51-E51)-(H51-I51))</f>
        <v>0</v>
      </c>
      <c r="H51" s="15" t="n">
        <f aca="false">IF(HYPOTHESES!$C$42=0,0,'BALANCE 2024'!$H$51*HYPOTHESES!E$42/HYPOTHESES!$C$42)</f>
        <v>22291254.9844249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14464851.3816512</v>
      </c>
      <c r="G52" s="20" t="n">
        <f aca="false">MAX(0,(D52-E52)-(H52-I52))</f>
        <v>0</v>
      </c>
      <c r="H52" s="15" t="n">
        <f aca="false">IF(HYPOTHESES!$C$42=0,0,'BALANCE 2024'!$H$52*HYPOTHESES!E$42/HYPOTHESES!$C$42)</f>
        <v>14464851.3816512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4147927.32465356</v>
      </c>
      <c r="G53" s="20" t="n">
        <f aca="false">MAX(0,(D53-E53)-(H53-I53))</f>
        <v>0</v>
      </c>
      <c r="H53" s="15" t="n">
        <f aca="false">IF(HYPOTHESES!$C$42=0,0,'BALANCE 2024'!$H$53*HYPOTHESES!E$42/HYPOTHESES!$C$42)</f>
        <v>4147927.32465356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90068519.4928203</v>
      </c>
      <c r="G54" s="20" t="n">
        <f aca="false">MAX(0,(D54-E54)-(H54-I54))</f>
        <v>0</v>
      </c>
      <c r="H54" s="15" t="n">
        <f aca="false">IF(HYPOTHESES!$C$42=0,0,'BALANCE 2024'!$H$54*HYPOTHESES!E$42/HYPOTHESES!$C$42)</f>
        <v>90068519.4928203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135102779.23923</v>
      </c>
      <c r="G55" s="20" t="n">
        <f aca="false">MAX(0,(D55-E55)-(H55-I55))</f>
        <v>0</v>
      </c>
      <c r="H55" s="15" t="n">
        <f aca="false">IF(HYPOTHESES!$C$42=0,0,'BALANCE 2024'!$H$55*HYPOTHESES!E$42/HYPOTHESES!$C$42)</f>
        <v>135102779.23923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104547.970199421</v>
      </c>
      <c r="G56" s="20" t="n">
        <f aca="false">MAX(0,(D56-E56)-(H56-I56))</f>
        <v>0</v>
      </c>
      <c r="H56" s="15" t="n">
        <f aca="false">IF(HYPOTHESES!$C$43=0,0,'BALANCE 2024'!$H$56*HYPOTHESES!E$43/HYPOTHESES!$C$43)</f>
        <v>104547.970199421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1744537.72020831</v>
      </c>
      <c r="G57" s="20" t="n">
        <f aca="false">MAX(0,(D57-E57)-(H57-I57))</f>
        <v>0</v>
      </c>
      <c r="H57" s="15" t="n">
        <f aca="false">IF(HYPOTHESES!$C$43=0,0,'BALANCE 2024'!$H$57*HYPOTHESES!E$43/HYPOTHESES!$C$43)</f>
        <v>1744537.72020831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2403973.16548777</v>
      </c>
      <c r="G58" s="20" t="n">
        <f aca="false">MAX(0,(D58-E58)-(H58-I58))</f>
        <v>0</v>
      </c>
      <c r="H58" s="15" t="n">
        <f aca="false">IF(HYPOTHESES!$C$43=0,0,'BALANCE 2024'!$H$58*HYPOTHESES!E$43/HYPOTHESES!$C$43)</f>
        <v>2403973.16548777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18689049.0763827</v>
      </c>
      <c r="G59" s="20" t="n">
        <f aca="false">MAX(0,(D59-E59)-(H59-I59))</f>
        <v>0</v>
      </c>
      <c r="H59" s="15" t="n">
        <f aca="false">IF(HYPOTHESES!$C$44=0,0,'BALANCE 2024'!$H$59*HYPOTHESES!E$44/HYPOTHESES!$C$44)</f>
        <v>18689049.0763827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38426631.7691363</v>
      </c>
      <c r="G60" s="20" t="n">
        <f aca="false">MAX(0,(D60-E60)-(H60-I60))</f>
        <v>0</v>
      </c>
      <c r="H60" s="15" t="n">
        <f aca="false">IF(HYPOTHESES!$C$44=0,0,'BALANCE 2024'!$H$60*HYPOTHESES!E$44/HYPOTHESES!$C$44)</f>
        <v>38426631.7691363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5156342.78595278</v>
      </c>
      <c r="G61" s="20" t="n">
        <f aca="false">MAX(0,(D61-E61)-(H61-I61))</f>
        <v>0</v>
      </c>
      <c r="H61" s="15" t="n">
        <f aca="false">IF(HYPOTHESES!$C$44=0,0,'BALANCE 2024'!$H$61*HYPOTHESES!E$44/HYPOTHESES!$C$44)</f>
        <v>5156342.78595278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35951.0849952216</v>
      </c>
      <c r="G62" s="20" t="n">
        <f aca="false">MAX(0,(D62-E62)-(H62-I62))</f>
        <v>0</v>
      </c>
      <c r="H62" s="15" t="n">
        <f aca="false">IF(HYPOTHESES!$C$44=0,0,'BALANCE 2024'!$H$62*HYPOTHESES!E$44/HYPOTHESES!$C$44)</f>
        <v>35951.0849952216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65723.0772568895</v>
      </c>
      <c r="G63" s="20" t="n">
        <f aca="false">MAX(0,(D63-E63)-(H63-I63))</f>
        <v>0</v>
      </c>
      <c r="H63" s="15" t="n">
        <f aca="false">IF(HYPOTHESES!$C$44=0,0,'BALANCE 2024'!$H$63*HYPOTHESES!E$44/HYPOTHESES!$C$44)</f>
        <v>65723.0772568895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892085.729185805</v>
      </c>
      <c r="G64" s="20" t="n">
        <f aca="false">MAX(0,(D64-E64)-(H64-I64))</f>
        <v>0</v>
      </c>
      <c r="H64" s="15" t="n">
        <f aca="false">IF(HYPOTHESES!$C$44=0,0,'BALANCE 2024'!$H$64*HYPOTHESES!E$44/HYPOTHESES!$C$44)</f>
        <v>892085.729185805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25379403.3131249</v>
      </c>
      <c r="G65" s="20" t="n">
        <f aca="false">MAX(0,(D65-E65)-(H65-I65))</f>
        <v>0</v>
      </c>
      <c r="H65" s="15" t="n">
        <f aca="false">IF(HYPOTHESES!$C$44=0,0,'BALANCE 2024'!$H$65*HYPOTHESES!E$44/HYPOTHESES!$C$44)</f>
        <v>25379403.3131249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5339904.53205276</v>
      </c>
      <c r="G66" s="20" t="n">
        <f aca="false">MAX(0,(D66-E66)-(H66-I66))</f>
        <v>0</v>
      </c>
      <c r="H66" s="15" t="n">
        <f aca="false">IF(HYPOTHESES!$C$44=0,0,'BALANCE 2024'!$H$66*HYPOTHESES!E$44/HYPOTHESES!$C$44)</f>
        <v>5339904.53205276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25966920.4380024</v>
      </c>
      <c r="G67" s="20" t="n">
        <f aca="false">MAX(0,(D67-E67)-(H67-I67))</f>
        <v>0</v>
      </c>
      <c r="H67" s="15" t="n">
        <f aca="false">IF(HYPOTHESES!$C$44=0,0,'BALANCE 2024'!$H$67*HYPOTHESES!E$44/HYPOTHESES!$C$44)</f>
        <v>25966920.4380024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404245.006759776</v>
      </c>
      <c r="G68" s="20" t="n">
        <f aca="false">MAX(0,(D68-E68)-(H68-I68))</f>
        <v>0</v>
      </c>
      <c r="H68" s="15" t="n">
        <f aca="false">IF(HYPOTHESES!$C$45=0,0,'BALANCE 2024'!$H$68*HYPOTHESES!E$45/HYPOTHESES!$C$45)</f>
        <v>404245.006759776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10168034.1688769</v>
      </c>
      <c r="G69" s="20" t="n">
        <f aca="false">MAX(0,(D69-E69)-(H69-I69))</f>
        <v>0</v>
      </c>
      <c r="H69" s="15" t="n">
        <f aca="false">IF(HYPOTHESES!$C$45=0,0,'BALANCE 2024'!$H$69*HYPOTHESES!E$45/HYPOTHESES!$C$45)</f>
        <v>10168034.1688769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1739033.94651064</v>
      </c>
      <c r="G70" s="20" t="n">
        <f aca="false">MAX(0,(D70-E70)-(H70-I70))</f>
        <v>0</v>
      </c>
      <c r="H70" s="15" t="n">
        <f aca="false">IF(HYPOTHESES!$C$45=0,0,'BALANCE 2024'!$H$70*HYPOTHESES!E$45/HYPOTHESES!$C$45)</f>
        <v>1739033.94651064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928163.379062394</v>
      </c>
      <c r="G71" s="20" t="n">
        <f aca="false">MAX(0,(D71-E71)-(H71-I71))</f>
        <v>0</v>
      </c>
      <c r="H71" s="15" t="n">
        <f aca="false">IF(HYPOTHESES!$C$45=0,0,'BALANCE 2024'!$H$71*HYPOTHESES!E$45/HYPOTHESES!$C$45)</f>
        <v>928163.379062394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116856.002426286</v>
      </c>
      <c r="G72" s="20" t="n">
        <f aca="false">MAX(0,(D72-E72)-(H72-I72))</f>
        <v>0</v>
      </c>
      <c r="H72" s="15" t="n">
        <f aca="false">IF(HYPOTHESES!$C$45=0,0,'BALANCE 2024'!$H$72*HYPOTHESES!E$45/HYPOTHESES!$C$45)</f>
        <v>116856.002426286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350582.605015212</v>
      </c>
      <c r="G73" s="20" t="n">
        <f aca="false">MAX(0,(D73-E73)-(H73-I73))</f>
        <v>0</v>
      </c>
      <c r="H73" s="15" t="n">
        <f aca="false">IF(HYPOTHESES!$C$45=0,0,'BALANCE 2024'!$H$73*HYPOTHESES!E$45/HYPOTHESES!$C$45)</f>
        <v>350582.605015212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237701.678488731</v>
      </c>
      <c r="G74" s="20" t="n">
        <f aca="false">MAX(0,(D74-E74)-(H74-I74))</f>
        <v>0</v>
      </c>
      <c r="H74" s="15" t="n">
        <f aca="false">IF(HYPOTHESES!$C$45=0,0,'BALANCE 2024'!$H$74*HYPOTHESES!E$45/HYPOTHESES!$C$45)</f>
        <v>237701.678488731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1937733.84216663</v>
      </c>
      <c r="G75" s="20" t="n">
        <f aca="false">MAX(0,(D75-E75)-(H75-I75))</f>
        <v>0</v>
      </c>
      <c r="H75" s="15" t="n">
        <f aca="false">IF(HYPOTHESES!$C$45=0,0,'BALANCE 2024'!$H$75*HYPOTHESES!E$45/HYPOTHESES!$C$45)</f>
        <v>1937733.84216663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814843.39754246</v>
      </c>
      <c r="G76" s="20" t="n">
        <f aca="false">MAX(0,(D76-E76)-(H76-I76))</f>
        <v>0</v>
      </c>
      <c r="H76" s="15" t="n">
        <f aca="false">IF(HYPOTHESES!$C$45=0,0,'BALANCE 2024'!$H$76*HYPOTHESES!E$45/HYPOTHESES!$C$45)</f>
        <v>814843.39754246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1496446.63448175</v>
      </c>
      <c r="G77" s="20" t="n">
        <f aca="false">MAX(0,(D77-E77)-(H77-I77))</f>
        <v>0</v>
      </c>
      <c r="H77" s="15" t="n">
        <f aca="false">IF(HYPOTHESES!$C$46=0,0,'BALANCE 2024'!$H$77*HYPOTHESES!E$46/HYPOTHESES!$C$46)</f>
        <v>1496446.63448175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66244380.7761885</v>
      </c>
      <c r="G78" s="20" t="n">
        <f aca="false">MAX(0,(D78-E78)-(H78-I78))</f>
        <v>0</v>
      </c>
      <c r="H78" s="15" t="n">
        <f aca="false">IF(HYPOTHESES!$C$47=0,0,'BALANCE 2024'!$H$78*HYPOTHESES!E$47/HYPOTHESES!$C$47)</f>
        <v>66244380.7761885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22393944.7975518</v>
      </c>
      <c r="G79" s="20" t="n">
        <f aca="false">MAX(0,(D79-E79)-(H79-I79))</f>
        <v>0</v>
      </c>
      <c r="H79" s="15" t="n">
        <f aca="false">IF(HYPOTHESES!$C$47=0,0,'BALANCE 2024'!$H$79*HYPOTHESES!E$47/HYPOTHESES!$C$47)</f>
        <v>22393944.7975518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7388921.65549755</v>
      </c>
      <c r="G80" s="20" t="n">
        <f aca="false">MAX(0,(D80-E80)-(H80-I80))</f>
        <v>0</v>
      </c>
      <c r="H80" s="15" t="n">
        <f aca="false">IF(HYPOTHESES!$C$47=0,0,'BALANCE 2024'!$H$80*HYPOTHESES!E$47/HYPOTHESES!$C$47)</f>
        <v>7388921.65549755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7461856.41687325</v>
      </c>
      <c r="G81" s="20" t="n">
        <f aca="false">MAX(0,(D81-E81)-(H81-I81))</f>
        <v>0</v>
      </c>
      <c r="H81" s="15" t="n">
        <f aca="false">IF(HYPOTHESES!$C$47=0,0,'BALANCE 2024'!$H$81*HYPOTHESES!E$47/HYPOTHESES!$C$47)</f>
        <v>7461856.41687325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7728367.73545629</v>
      </c>
      <c r="G82" s="20" t="n">
        <f aca="false">MAX(0,(D82-E82)-(H82-I82))</f>
        <v>0</v>
      </c>
      <c r="H82" s="15" t="n">
        <f aca="false">IF(HYPOTHESES!$C$47=0,0,'BALANCE 2024'!$H$82*HYPOTHESES!E$47/HYPOTHESES!$C$47)</f>
        <v>7728367.73545629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7868176.5835067</v>
      </c>
      <c r="G83" s="20" t="n">
        <f aca="false">MAX(0,(D83-E83)-(H83-I83))</f>
        <v>0</v>
      </c>
      <c r="H83" s="15" t="n">
        <f aca="false">IF(HYPOTHESES!$C$47=0,0,'BALANCE 2024'!$H$83*HYPOTHESES!E$47/HYPOTHESES!$C$47)</f>
        <v>7868176.5835067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FINANCEMENT'!E$64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FINANCEMENT'!E$65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FINANCEMENT'!E$31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50854932</v>
      </c>
      <c r="G87" s="20" t="n">
        <f aca="false">MAX(0,(D87-E87)-(H87-I87))</f>
        <v>0</v>
      </c>
      <c r="H87" s="15" t="n">
        <f aca="false">'INVEST ET FINANCEMENT'!E$34</f>
        <v>50854932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7609173</v>
      </c>
      <c r="G88" s="20" t="n">
        <f aca="false">MAX(0,(D88-E88)-(H88-I88))</f>
        <v>0</v>
      </c>
      <c r="H88" s="15" t="n">
        <f aca="false">'INVEST ET FINANCEMENT'!E$37</f>
        <v>7609173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15958378</v>
      </c>
      <c r="G89" s="20" t="n">
        <f aca="false">MAX(0,(D89-E89)-(H89-I89))</f>
        <v>0</v>
      </c>
      <c r="H89" s="15" t="n">
        <f aca="false">'INVEST ET FINANCEMENT'!E$40</f>
        <v>15958378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HYPOTHESES!E$49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787603491.8325</v>
      </c>
      <c r="H91" s="32" t="n">
        <v>0</v>
      </c>
      <c r="I91" s="37" t="n">
        <f aca="false">HYPOTHESES!E$41</f>
        <v>787603491.8325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HYPOTHESES!E$50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28670509.2462435</v>
      </c>
      <c r="G93" s="32" t="n">
        <f aca="false">MAX(0,(D93-E93)-(H93-I93))</f>
        <v>0</v>
      </c>
      <c r="H93" s="37" t="n">
        <f aca="false">IF(HYPOTHESES!E$53&gt;=HYPOTHESES!E$54,HYPOTHESES!E$55,0)</f>
        <v>28670509.2462435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IF(HYPOTHESES!E$53&lt;HYPOTHESES!E$54,HYPOTHESES!E$55,0)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1770812922.83577</v>
      </c>
      <c r="E96" s="36" t="n">
        <f aca="false">SUM(E5:E94)</f>
        <v>1770812922.83577</v>
      </c>
      <c r="F96" s="36" t="n">
        <f aca="false">SUM(F5:F94)</f>
        <v>3866367529.70888</v>
      </c>
      <c r="G96" s="36" t="n">
        <f aca="false">SUM(G5:G94)</f>
        <v>3866367529.70888</v>
      </c>
      <c r="H96" s="36" t="n">
        <f aca="false">SUM(H5:H94)</f>
        <v>2620463920.63766</v>
      </c>
      <c r="I96" s="36" t="n">
        <f aca="false">SUM(I5:I94)</f>
        <v>2620463920.63765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2026'!H5</f>
        <v>0</v>
      </c>
      <c r="E5" s="37" t="n">
        <f aca="false">'BALANCE 2026'!I5</f>
        <v>10000000</v>
      </c>
      <c r="F5" s="37" t="n">
        <f aca="false">'INVEST ET FINANCEMENT'!F$51+(H5-I5)-(D5-E5)</f>
        <v>0</v>
      </c>
      <c r="G5" s="37" t="n">
        <f aca="false">'INVEST ET FINANCEMENT'!F$51</f>
        <v>0</v>
      </c>
      <c r="H5" s="32" t="n">
        <v>0</v>
      </c>
      <c r="I5" s="37" t="n">
        <f aca="false">E5+'INVEST ET FINANCEMENT'!F$51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2026'!H6</f>
        <v>0</v>
      </c>
      <c r="E6" s="15" t="n">
        <f aca="false">'BALANCE 2026'!I6</f>
        <v>2000000</v>
      </c>
      <c r="F6" s="15" t="n">
        <f aca="false">HYPOTHESES!F$57+(H6-I6)-(D6-E6)</f>
        <v>0</v>
      </c>
      <c r="G6" s="15" t="n">
        <f aca="false">HYPOTHESES!F$57</f>
        <v>0</v>
      </c>
      <c r="H6" s="20" t="n">
        <v>0</v>
      </c>
      <c r="I6" s="15" t="n">
        <f aca="false">E6+HYPOTHESES!F$57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2026'!H7</f>
        <v>0</v>
      </c>
      <c r="E7" s="15" t="n">
        <f aca="false">'BALANCE 2026'!I7</f>
        <v>937013595.67641</v>
      </c>
      <c r="F7" s="20" t="n">
        <f aca="false">MAX(0,(H7-I7)-(D7-E7))</f>
        <v>0</v>
      </c>
      <c r="G7" s="20" t="n">
        <f aca="false">MAX(0,(D7-E7)-(H7-I7))</f>
        <v>86011527.7387306</v>
      </c>
      <c r="H7" s="15" t="n">
        <f aca="false">MAX(0,-(E7-D7+HYPOTHESES!F$59))</f>
        <v>0</v>
      </c>
      <c r="I7" s="15" t="n">
        <f aca="false">MAX(0,(E7-D7+HYPOTHESES!F$59))</f>
        <v>1023025123.41514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2026'!I48:I94)-SUM('BALANCE 2026'!H48:H94)))</f>
        <v>0</v>
      </c>
      <c r="E8" s="15" t="n">
        <f aca="false">MAX(0,(SUM('BALANCE 2026'!I48:I94)-SUM('BALANCE 2026'!H48:H94)))</f>
        <v>86011527.7387306</v>
      </c>
      <c r="F8" s="20" t="n">
        <f aca="false">MAX(0,(H8-I8)-(D8-E8))</f>
        <v>86011527.7387306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2026'!H9</f>
        <v>0</v>
      </c>
      <c r="E9" s="15" t="n">
        <f aca="false">'BALANCE 2026'!I9</f>
        <v>0</v>
      </c>
      <c r="F9" s="15" t="n">
        <f aca="false">'INVEST ET FINANCEMENT'!F$47+(H9-I9)-(D9-E9)</f>
        <v>0</v>
      </c>
      <c r="G9" s="15" t="n">
        <f aca="false">'INVEST ET FINANCEMENT'!F$47</f>
        <v>0</v>
      </c>
      <c r="H9" s="20" t="n">
        <v>0</v>
      </c>
      <c r="I9" s="15" t="n">
        <f aca="false">E9+'INVEST ET FINANCEMENT'!F$47-'INVEST ET FINANCEMENT'!F$48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2026'!H10</f>
        <v>0</v>
      </c>
      <c r="E10" s="15" t="n">
        <f aca="false">'BALANCE 2026'!I10</f>
        <v>0</v>
      </c>
      <c r="F10" s="15" t="n">
        <f aca="false">'INVEST ET FINANCEMENT'!F$49</f>
        <v>0</v>
      </c>
      <c r="G10" s="15" t="n">
        <f aca="false">'INVEST ET FINANCEMENT'!F$49+(D10-E10)-(H10-I10)</f>
        <v>0</v>
      </c>
      <c r="H10" s="20" t="n">
        <v>0</v>
      </c>
      <c r="I10" s="15" t="n">
        <f aca="false">E10-'INVEST ET FINANCEMENT'!F$49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2026'!H11</f>
        <v>0</v>
      </c>
      <c r="E11" s="15" t="n">
        <f aca="false">'BALANCE 2026'!I11</f>
        <v>33392488</v>
      </c>
      <c r="F11" s="15" t="n">
        <f aca="false">HYPOTHESES!F$20+(H11-I11)-(D11-E11)</f>
        <v>0</v>
      </c>
      <c r="G11" s="15" t="n">
        <f aca="false">HYPOTHESES!F$20</f>
        <v>6059296</v>
      </c>
      <c r="H11" s="20" t="n">
        <v>0</v>
      </c>
      <c r="I11" s="15" t="n">
        <f aca="false">E11+HYPOTHESES!F$20</f>
        <v>39451784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2026'!H12</f>
        <v>103601492</v>
      </c>
      <c r="E12" s="37" t="n">
        <f aca="false">'BALANCE 2026'!I12</f>
        <v>0</v>
      </c>
      <c r="F12" s="37" t="n">
        <f aca="false">'INVEST ET FINANCEMENT'!F$9</f>
        <v>0</v>
      </c>
      <c r="G12" s="37" t="n">
        <f aca="false">'INVEST ET FINANCEMENT'!F$9+(D12-E12)-(H12-I12)</f>
        <v>0</v>
      </c>
      <c r="H12" s="37" t="n">
        <f aca="false">D12+'INVEST ET FINANCEMENT'!F$9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2026'!H13</f>
        <v>343845268</v>
      </c>
      <c r="E13" s="15" t="n">
        <f aca="false">'BALANCE 2026'!I13</f>
        <v>0</v>
      </c>
      <c r="F13" s="15" t="n">
        <f aca="false">'INVEST ET FINANCEMENT'!F$10</f>
        <v>30000000</v>
      </c>
      <c r="G13" s="15" t="n">
        <f aca="false">'INVEST ET FINANCEMENT'!F$10+(D13-E13)-(H13-I13)</f>
        <v>0</v>
      </c>
      <c r="H13" s="15" t="n">
        <f aca="false">D13+'INVEST ET FINANCEMENT'!F$10</f>
        <v>373845268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2026'!H14</f>
        <v>9306956</v>
      </c>
      <c r="E14" s="15" t="n">
        <f aca="false">'BALANCE 2026'!I14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2026'!H15</f>
        <v>18910459</v>
      </c>
      <c r="E15" s="15" t="n">
        <f aca="false">'BALANCE 2026'!I15</f>
        <v>0</v>
      </c>
      <c r="F15" s="15" t="n">
        <f aca="false">'INVEST ET FINANCEMENT'!F$11</f>
        <v>5000000</v>
      </c>
      <c r="G15" s="15" t="n">
        <f aca="false">'INVEST ET FINANCEMENT'!F$11+(D15-E15)-(H15-I15)</f>
        <v>0</v>
      </c>
      <c r="H15" s="15" t="n">
        <f aca="false">D15+'INVEST ET FINANCEMENT'!F$11</f>
        <v>23910459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2026'!H16</f>
        <v>423638205</v>
      </c>
      <c r="E16" s="15" t="n">
        <f aca="false">'BALANCE 2026'!I16</f>
        <v>0</v>
      </c>
      <c r="F16" s="15" t="n">
        <f aca="false">'INVEST ET FINANCEMENT'!F$12</f>
        <v>0</v>
      </c>
      <c r="G16" s="15" t="n">
        <f aca="false">'INVEST ET FINANCEMENT'!F$12+(D16-E16)-(H16-I16)</f>
        <v>0</v>
      </c>
      <c r="H16" s="15" t="n">
        <f aca="false">D16+'INVEST ET FINANCEMENT'!F$12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2026'!H17</f>
        <v>28619694</v>
      </c>
      <c r="E17" s="15" t="n">
        <f aca="false">'BALANCE 2026'!I17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2026'!H18</f>
        <v>25000000</v>
      </c>
      <c r="E18" s="15" t="n">
        <f aca="false">'BALANCE 2026'!I18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2026'!H19</f>
        <v>231420138</v>
      </c>
      <c r="E19" s="15" t="n">
        <f aca="false">'BALANCE 2026'!I19</f>
        <v>0</v>
      </c>
      <c r="F19" s="15" t="n">
        <f aca="false">'INVEST ET FINANCEMENT'!F$13</f>
        <v>0</v>
      </c>
      <c r="G19" s="15" t="n">
        <f aca="false">'INVEST ET FINANCEMENT'!F$13+(D19-E19)-(H19-I19)</f>
        <v>0</v>
      </c>
      <c r="H19" s="15" t="n">
        <f aca="false">D19+'INVEST ET FINANCEMENT'!F$13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2026'!H20</f>
        <v>0</v>
      </c>
      <c r="E20" s="15" t="n">
        <f aca="false">'BALANCE 2026'!I20</f>
        <v>80502166</v>
      </c>
      <c r="F20" s="15" t="n">
        <f aca="false">'INVEST ET FINANCEMENT'!F$31+(H20-I20)-(D20-E20)</f>
        <v>0</v>
      </c>
      <c r="G20" s="15" t="n">
        <f aca="false">'INVEST ET FINANCEMENT'!F$31</f>
        <v>19282845</v>
      </c>
      <c r="H20" s="20" t="n">
        <v>0</v>
      </c>
      <c r="I20" s="15" t="n">
        <f aca="false">E20+'INVEST ET FINANCEMENT'!F$31</f>
        <v>99785011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2026'!H21</f>
        <v>0</v>
      </c>
      <c r="E21" s="15" t="n">
        <f aca="false">'BALANCE 2026'!I21</f>
        <v>135043749</v>
      </c>
      <c r="F21" s="15" t="n">
        <f aca="false">'INVEST ET FINANCEMENT'!F$34+(H21-I21)-(D21-E21)</f>
        <v>0</v>
      </c>
      <c r="G21" s="15" t="n">
        <f aca="false">'INVEST ET FINANCEMENT'!F$34</f>
        <v>56854932</v>
      </c>
      <c r="H21" s="20" t="n">
        <v>0</v>
      </c>
      <c r="I21" s="15" t="n">
        <f aca="false">E21+'INVEST ET FINANCEMENT'!F$34</f>
        <v>191898681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2026'!H22</f>
        <v>0</v>
      </c>
      <c r="E22" s="15" t="n">
        <f aca="false">'BALANCE 2026'!I22</f>
        <v>25717415</v>
      </c>
      <c r="F22" s="15" t="n">
        <f aca="false">'INVEST ET FINANCEMENT'!F$37+(H22-I22)-(D22-E22)</f>
        <v>0</v>
      </c>
      <c r="G22" s="15" t="n">
        <f aca="false">'INVEST ET FINANCEMENT'!F$37</f>
        <v>5000000</v>
      </c>
      <c r="H22" s="20" t="n">
        <v>0</v>
      </c>
      <c r="I22" s="15" t="n">
        <f aca="false">E22+'INVEST ET FINANCEMENT'!F$37</f>
        <v>30717415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2026'!H23</f>
        <v>0</v>
      </c>
      <c r="E23" s="15" t="n">
        <f aca="false">'BALANCE 2026'!I23</f>
        <v>397825832</v>
      </c>
      <c r="F23" s="15" t="n">
        <f aca="false">'INVEST ET FINANCEMENT'!F$40+(H23-I23)-(D23-E23)</f>
        <v>0</v>
      </c>
      <c r="G23" s="15" t="n">
        <f aca="false">'INVEST ET FINANCEMENT'!F$40</f>
        <v>15958378</v>
      </c>
      <c r="H23" s="20" t="n">
        <v>0</v>
      </c>
      <c r="I23" s="15" t="n">
        <f aca="false">E23+'INVEST ET FINANCEMENT'!F$40</f>
        <v>413784210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2026'!H24</f>
        <v>0</v>
      </c>
      <c r="E24" s="37" t="n">
        <f aca="false">'BALANCE 2026'!I24</f>
        <v>81594999.7839795</v>
      </c>
      <c r="F24" s="37" t="n">
        <f aca="false">HYPOTHESES!F$48*(1+HYPOTHESES!F$10)+(H24-I24)-(D24-E24)</f>
        <v>537023932.78877</v>
      </c>
      <c r="G24" s="37" t="n">
        <f aca="false">HYPOTHESES!F$48*(1+HYPOTHESES!F$10)</f>
        <v>541103682.777969</v>
      </c>
      <c r="H24" s="32" t="n">
        <v>0</v>
      </c>
      <c r="I24" s="37" t="n">
        <f aca="false">HYPOTHESES!F$48*(1+HYPOTHESES!F$10)*HYPOTHESES!F$23/360</f>
        <v>85674749.7731785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2026'!H25</f>
        <v>0</v>
      </c>
      <c r="E25" s="15" t="n">
        <f aca="false">'BALANCE 2026'!I25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2026'!H26</f>
        <v>508573076.976064</v>
      </c>
      <c r="E26" s="15" t="n">
        <f aca="false">'BALANCE 2026'!I26</f>
        <v>0</v>
      </c>
      <c r="F26" s="15" t="n">
        <f aca="false">HYPOTHESES!F$41*(1+HYPOTHESES!F$10)</f>
        <v>975840726.380468</v>
      </c>
      <c r="G26" s="15" t="n">
        <f aca="false">HYPOTHESES!F$41*(1+HYPOTHESES!F$10)+(D26-E26)-(H26-I26)</f>
        <v>950412072.531664</v>
      </c>
      <c r="H26" s="15" t="n">
        <f aca="false">HYPOTHESES!F$41*(1+HYPOTHESES!F$10)*HYPOTHESES!F$22/360</f>
        <v>534001730.824867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2026'!H27</f>
        <v>0</v>
      </c>
      <c r="E27" s="15" t="n">
        <f aca="false">'BALANCE 2026'!I27</f>
        <v>12520694.6260757</v>
      </c>
      <c r="F27" s="15" t="n">
        <f aca="false">IF(HYPOTHESES!$C$47=0,0,'BALANCE 2024'!$G$27*HYPOTHESES!F$47/HYPOTHESES!$C$47)+(H27-I27)-(D27-E27)</f>
        <v>95221294.810069</v>
      </c>
      <c r="G27" s="15" t="n">
        <f aca="false">IF(HYPOTHESES!$C$47=0,0,'BALANCE 2024'!$G$27*HYPOTHESES!F$47/HYPOTHESES!$C$47)</f>
        <v>95847329.5413728</v>
      </c>
      <c r="H27" s="20" t="n">
        <v>0</v>
      </c>
      <c r="I27" s="15" t="n">
        <f aca="false">IF(HYPOTHESES!$C$47=0,0,'BALANCE 2024'!$I$27*HYPOTHESES!F$47/HYPOTHESES!$C$47)</f>
        <v>13146729.3573795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2026'!H28</f>
        <v>0</v>
      </c>
      <c r="E28" s="15" t="n">
        <f aca="false">'BALANCE 2026'!I28</f>
        <v>5457950.93522137</v>
      </c>
      <c r="F28" s="15" t="n">
        <f aca="false">IF(HYPOTHESES!$C$47=0,0,'BALANCE 2024'!$G$28*HYPOTHESES!F$47/HYPOTHESES!$C$47)+(H28-I28)-(D28-E28)</f>
        <v>7988687.86592096</v>
      </c>
      <c r="G28" s="15" t="n">
        <f aca="false">IF(HYPOTHESES!$C$47=0,0,'BALANCE 2024'!$G$28*HYPOTHESES!F$47/HYPOTHESES!$C$47)</f>
        <v>8261585.41268203</v>
      </c>
      <c r="H28" s="20" t="n">
        <v>0</v>
      </c>
      <c r="I28" s="15" t="n">
        <f aca="false">IF(HYPOTHESES!$C$47=0,0,'BALANCE 2024'!$I$28*HYPOTHESES!F$47/HYPOTHESES!$C$47)</f>
        <v>5730848.48198244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2026'!H29</f>
        <v>0</v>
      </c>
      <c r="E29" s="15" t="n">
        <f aca="false">'BALANCE 2026'!I29</f>
        <v>1350516.22754622</v>
      </c>
      <c r="F29" s="15" t="n">
        <f aca="false">IF(HYPOTHESES!$C$47=0,0,'BALANCE 2024'!$G$29*HYPOTHESES!F$47/HYPOTHESES!$C$47)+(H29-I29)-(D29-E29)</f>
        <v>13446969.5212435</v>
      </c>
      <c r="G29" s="15" t="n">
        <f aca="false">IF(HYPOTHESES!$C$47=0,0,'BALANCE 2024'!$G$29*HYPOTHESES!F$47/HYPOTHESES!$C$47)</f>
        <v>13514495.3326208</v>
      </c>
      <c r="H29" s="20" t="n">
        <v>0</v>
      </c>
      <c r="I29" s="15" t="n">
        <f aca="false">IF(HYPOTHESES!$C$47=0,0,'BALANCE 2024'!$I$29*HYPOTHESES!F$47/HYPOTHESES!$C$47)</f>
        <v>1418042.03892353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2026'!H30</f>
        <v>0</v>
      </c>
      <c r="E30" s="15" t="n">
        <f aca="false">'BALANCE 2026'!I30</f>
        <v>181885.385420369</v>
      </c>
      <c r="F30" s="15" t="n">
        <f aca="false">IF(HYPOTHESES!$C$47=0,0,'BALANCE 2024'!$G$30*HYPOTHESES!F$47/HYPOTHESES!$C$47)+(H30-I30)-(D30-E30)</f>
        <v>448040.768530336</v>
      </c>
      <c r="G30" s="15" t="n">
        <f aca="false">IF(HYPOTHESES!$C$47=0,0,'BALANCE 2024'!$G$30*HYPOTHESES!F$47/HYPOTHESES!$C$47)</f>
        <v>457135.037801355</v>
      </c>
      <c r="H30" s="20" t="n">
        <v>0</v>
      </c>
      <c r="I30" s="15" t="n">
        <f aca="false">IF(HYPOTHESES!$C$47=0,0,'BALANCE 2024'!$I$30*HYPOTHESES!F$47/HYPOTHESES!$C$47)</f>
        <v>190979.654691388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2026'!H31</f>
        <v>0</v>
      </c>
      <c r="E31" s="15" t="n">
        <f aca="false">'BALANCE 2026'!I31</f>
        <v>0</v>
      </c>
      <c r="F31" s="15" t="n">
        <f aca="false">IF(HYPOTHESES!$C$47=0,0,'BALANCE 2024'!$G$31*HYPOTHESES!F$47/HYPOTHESES!$C$47)+(H31-I31)-(D31-E31)</f>
        <v>0</v>
      </c>
      <c r="G31" s="15" t="n">
        <f aca="false">IF(HYPOTHESES!$C$47=0,0,'BALANCE 2024'!$G$31*HYPOTHESES!F$47/HYPOTHESES!$C$47)</f>
        <v>0</v>
      </c>
      <c r="H31" s="20" t="n">
        <v>0</v>
      </c>
      <c r="I31" s="15" t="n">
        <f aca="false">IF(HYPOTHESES!$C$47=0,0,'BALANCE 2024'!$I$31*HYPOTHESES!F$47/HYPOTHESES!$C$47)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2026'!H32</f>
        <v>0</v>
      </c>
      <c r="E32" s="15" t="n">
        <f aca="false">'BALANCE 2026'!I32</f>
        <v>28670509.2462435</v>
      </c>
      <c r="F32" s="15" t="n">
        <f aca="false">HYPOTHESES!F$55+(H32-I32)-(D32-E32)</f>
        <v>28670509.2462435</v>
      </c>
      <c r="G32" s="15" t="n">
        <f aca="false">HYPOTHESES!F$55</f>
        <v>30492778.3335557</v>
      </c>
      <c r="H32" s="20" t="n">
        <v>0</v>
      </c>
      <c r="I32" s="15" t="n">
        <f aca="false">HYPOTHESES!F$55</f>
        <v>30492778.3335557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2026'!H33</f>
        <v>0</v>
      </c>
      <c r="E33" s="15" t="n">
        <f aca="false">'BALANCE 2026'!I33</f>
        <v>814843.39754246</v>
      </c>
      <c r="F33" s="15" t="n">
        <f aca="false">IF(HYPOTHESES!$C$45=0,0,'BALANCE 2024'!$G$33*HYPOTHESES!F$45/HYPOTHESES!$C$45)+(H33-I33)-(D33-E33)</f>
        <v>814843.39754246</v>
      </c>
      <c r="G33" s="15" t="n">
        <f aca="false">IF(HYPOTHESES!$C$45=0,0,'BALANCE 2024'!$G$33*HYPOTHESES!F$45/HYPOTHESES!$C$45)</f>
        <v>855585.567419583</v>
      </c>
      <c r="H33" s="20" t="n">
        <v>0</v>
      </c>
      <c r="I33" s="15" t="n">
        <f aca="false">IF(HYPOTHESES!$C$45=0,0,'BALANCE 2024'!$I$33*HYPOTHESES!F$45/HYPOTHESES!$C$45)</f>
        <v>855585.567419583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2026'!H34</f>
        <v>0</v>
      </c>
      <c r="E34" s="15" t="n">
        <f aca="false">'BALANCE 2026'!I34</f>
        <v>116856.002426286</v>
      </c>
      <c r="F34" s="15" t="n">
        <f aca="false">IF(HYPOTHESES!$C$45=0,0,'BALANCE 2024'!$G$34*HYPOTHESES!F$45/HYPOTHESES!$C$45)+(H34-I34)-(D34-E34)</f>
        <v>116856.002426286</v>
      </c>
      <c r="G34" s="15" t="n">
        <f aca="false">IF(HYPOTHESES!$C$45=0,0,'BALANCE 2024'!$G$34*HYPOTHESES!F$45/HYPOTHESES!$C$45)</f>
        <v>122698.8025476</v>
      </c>
      <c r="H34" s="20" t="n">
        <v>0</v>
      </c>
      <c r="I34" s="15" t="n">
        <f aca="false">IF(HYPOTHESES!$C$45=0,0,'BALANCE 2024'!$I$34*HYPOTHESES!F$45/HYPOTHESES!$C$45)</f>
        <v>122698.8025476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2026'!H35</f>
        <v>0</v>
      </c>
      <c r="E35" s="15" t="n">
        <f aca="false">'BALANCE 2026'!I35</f>
        <v>175291.863959004</v>
      </c>
      <c r="F35" s="15" t="n">
        <f aca="false">IF(HYPOTHESES!$C$45=0,0,'BALANCE 2024'!$G$35*HYPOTHESES!F$45/HYPOTHESES!$C$45)+(H35-I35)-(D35-E35)</f>
        <v>175291.863959004</v>
      </c>
      <c r="G35" s="15" t="n">
        <f aca="false">IF(HYPOTHESES!$C$45=0,0,'BALANCE 2024'!$G$35*HYPOTHESES!F$45/HYPOTHESES!$C$45)</f>
        <v>184056.457156955</v>
      </c>
      <c r="H35" s="20" t="n">
        <v>0</v>
      </c>
      <c r="I35" s="15" t="n">
        <f aca="false">IF(HYPOTHESES!$C$45=0,0,'BALANCE 2024'!$I$35*HYPOTHESES!F$45/HYPOTHESES!$C$45)</f>
        <v>184056.457156955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2026'!H36</f>
        <v>0</v>
      </c>
      <c r="E36" s="15" t="n">
        <f aca="false">'BALANCE 2026'!I36</f>
        <v>175290.741056208</v>
      </c>
      <c r="F36" s="15" t="n">
        <f aca="false">IF(HYPOTHESES!$C$45=0,0,'BALANCE 2024'!$G$36*HYPOTHESES!F$45/HYPOTHESES!$C$45)+(H36-I36)-(D36-E36)</f>
        <v>175290.741056208</v>
      </c>
      <c r="G36" s="15" t="n">
        <f aca="false">IF(HYPOTHESES!$C$45=0,0,'BALANCE 2024'!$G$36*HYPOTHESES!F$45/HYPOTHESES!$C$45)</f>
        <v>184055.278109018</v>
      </c>
      <c r="H36" s="20" t="n">
        <v>0</v>
      </c>
      <c r="I36" s="15" t="n">
        <f aca="false">IF(HYPOTHESES!$C$45=0,0,'BALANCE 2024'!$I$36*HYPOTHESES!F$45/HYPOTHESES!$C$45)</f>
        <v>184055.278109018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2026'!H37</f>
        <v>0</v>
      </c>
      <c r="E37" s="15" t="n">
        <f aca="false">'BALANCE 2026'!I37</f>
        <v>412790.297041559</v>
      </c>
      <c r="F37" s="15" t="n">
        <f aca="false">IF(HYPOTHESES!$C$45=0,0,'BALANCE 2024'!$G$37*HYPOTHESES!F$45/HYPOTHESES!$C$45)+(H37-I37)-(D37-E37)</f>
        <v>953932.033163436</v>
      </c>
      <c r="G37" s="15" t="n">
        <f aca="false">IF(HYPOTHESES!$C$45=0,0,'BALANCE 2024'!$G$37*HYPOTHESES!F$45/HYPOTHESES!$C$45)</f>
        <v>974571.548015514</v>
      </c>
      <c r="H37" s="20" t="n">
        <v>0</v>
      </c>
      <c r="I37" s="15" t="n">
        <f aca="false">IF(HYPOTHESES!$C$45=0,0,'BALANCE 2024'!$I$37*HYPOTHESES!F$45/HYPOTHESES!$C$45)</f>
        <v>433429.811893637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2026'!H38</f>
        <v>0</v>
      </c>
      <c r="E38" s="15" t="n">
        <f aca="false">'BALANCE 2026'!I38</f>
        <v>5614513.98277467</v>
      </c>
      <c r="F38" s="15" t="n">
        <f aca="false">IF(HYPOTHESES!$C$45=0,0,'BALANCE 2024'!$G$38*HYPOTHESES!F$45/HYPOTHESES!$C$45)+(H38-I38)-(D38-E38)</f>
        <v>10395710.178182</v>
      </c>
      <c r="G38" s="15" t="n">
        <f aca="false">IF(HYPOTHESES!$C$45=0,0,'BALANCE 2024'!$G$38*HYPOTHESES!F$45/HYPOTHESES!$C$45)</f>
        <v>10676435.8773207</v>
      </c>
      <c r="H38" s="20" t="n">
        <v>0</v>
      </c>
      <c r="I38" s="15" t="n">
        <f aca="false">IF(HYPOTHESES!$C$45=0,0,'BALANCE 2024'!$I$38*HYPOTHESES!F$45/HYPOTHESES!$C$45)</f>
        <v>5895239.6819134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2026'!H39</f>
        <v>0</v>
      </c>
      <c r="E39" s="15" t="n">
        <f aca="false">'BALANCE 2026'!I39</f>
        <v>58637133.1847937</v>
      </c>
      <c r="F39" s="15" t="n">
        <f aca="false">HYPOTHESES!F$41*HYPOTHESES!F$10+(H39-I39)-(D39-E39)</f>
        <v>145925203.297103</v>
      </c>
      <c r="G39" s="15" t="n">
        <f aca="false">HYPOTHESES!F$41*HYPOTHESES!F$10</f>
        <v>148857059.956343</v>
      </c>
      <c r="H39" s="20" t="n">
        <v>0</v>
      </c>
      <c r="I39" s="15" t="n">
        <f aca="false">IF('BALANCE 2024'!$H$26=0,0,'BALANCE 2024'!$I$39*H26/'BALANCE 2024'!$H$26)</f>
        <v>61568989.8440334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2026'!H40</f>
        <v>0</v>
      </c>
      <c r="E40" s="15" t="n">
        <f aca="false">'BALANCE 2026'!I40</f>
        <v>224580.559310987</v>
      </c>
      <c r="F40" s="15" t="n">
        <f aca="false">IF(HYPOTHESES!$C$45=0,0,'BALANCE 2024'!$G$40*HYPOTHESES!F$45/HYPOTHESES!$C$45)+(H40-I40)-(D40-E40)</f>
        <v>238357.734447618</v>
      </c>
      <c r="G40" s="15" t="n">
        <f aca="false">IF(HYPOTHESES!$C$45=0,0,'BALANCE 2024'!$G$40*HYPOTHESES!F$45/HYPOTHESES!$C$45)</f>
        <v>249586.762413168</v>
      </c>
      <c r="H40" s="20" t="n">
        <v>0</v>
      </c>
      <c r="I40" s="15" t="n">
        <f aca="false">IF(HYPOTHESES!$C$45=0,0,'BALANCE 2024'!$I$40*HYPOTHESES!F$45/HYPOTHESES!$C$45)</f>
        <v>235809.587276536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2026'!H41</f>
        <v>0</v>
      </c>
      <c r="E41" s="15" t="n">
        <f aca="false">'BALANCE 2026'!I41</f>
        <v>1832621.78424163</v>
      </c>
      <c r="F41" s="15" t="n">
        <f aca="false">IF(HYPOTHESES!$C$47=0,0,'BALANCE 2024'!$G$41*HYPOTHESES!F$47/HYPOTHESES!$C$47)+(H41-I41)-(D41-E41)</f>
        <v>6867753.94963872</v>
      </c>
      <c r="G41" s="15" t="n">
        <f aca="false">IF(HYPOTHESES!$C$47=0,0,'BALANCE 2024'!$G$41*HYPOTHESES!F$47/HYPOTHESES!$C$47)</f>
        <v>6959385.0388508</v>
      </c>
      <c r="H41" s="20" t="n">
        <v>0</v>
      </c>
      <c r="I41" s="15" t="n">
        <f aca="false">IF(HYPOTHESES!$C$47=0,0,'BALANCE 2024'!$I$41*HYPOTHESES!F$47/HYPOTHESES!$C$47)</f>
        <v>1924252.87345371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2026'!H42</f>
        <v>0</v>
      </c>
      <c r="E42" s="15" t="n">
        <f aca="false">'BALANCE 2026'!I42</f>
        <v>0</v>
      </c>
      <c r="F42" s="15" t="n">
        <f aca="false">'INVEST ET FINANCEMENT'!F$53+(H42-I42)-(D42-E42)</f>
        <v>0</v>
      </c>
      <c r="G42" s="15" t="n">
        <f aca="false">'INVEST ET FINANCEMENT'!F$53</f>
        <v>0</v>
      </c>
      <c r="H42" s="20" t="n">
        <v>0</v>
      </c>
      <c r="I42" s="15" t="n">
        <f aca="false">'INVEST ET FINANCEMENT'!F$54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2026'!H43</f>
        <v>-0</v>
      </c>
      <c r="E43" s="15" t="n">
        <f aca="false">'BALANCE 2026'!I43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MAX(0,-(E43-D43+HYPOTHESES!F$30))</f>
        <v>-0</v>
      </c>
      <c r="I43" s="15" t="n">
        <f aca="false">MAX(0,(E43-D43+HYPOTHESES!F$30))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2026'!H44</f>
        <v>0</v>
      </c>
      <c r="E44" s="15" t="n">
        <f aca="false">'BALANCE 2026'!I44</f>
        <v>12736111.1111111</v>
      </c>
      <c r="F44" s="15" t="n">
        <f aca="false">'INVEST ET FINANCEMENT'!F$41+(H44-I44)-(D44-E44)</f>
        <v>35000000</v>
      </c>
      <c r="G44" s="15" t="n">
        <f aca="false">'INVEST ET FINANCEMENT'!F$41</f>
        <v>35000000</v>
      </c>
      <c r="H44" s="20" t="n">
        <v>0</v>
      </c>
      <c r="I44" s="15" t="n">
        <f aca="false">HYPOTHESES!F$28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2026'!H45</f>
        <v>219562380.567822</v>
      </c>
      <c r="E45" s="37" t="n">
        <f aca="false">'BALANCE 2026'!I45</f>
        <v>0</v>
      </c>
      <c r="F45" s="37" t="n">
        <f aca="false">G26+HYPOTHESES!F$50+'INVEST ET FINANCEMENT'!F$47+'INVEST ET FINANCEMENT'!F$51</f>
        <v>951260666.531664</v>
      </c>
      <c r="G45" s="37" t="n">
        <f aca="false">G26+HYPOTHESES!F$50+'INVEST ET FINANCEMENT'!F$47+'INVEST ET FINANCEMENT'!F$51+(D45-E45)-(H45-I45)</f>
        <v>806777766.853919</v>
      </c>
      <c r="H45" s="32" t="n">
        <f aca="false">MAX(0,(SUM(I5:I44)+SUM(I46:I94)-SUM(H5:H44)-SUM(H46:H94)))</f>
        <v>364045280.245567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2026'!H46</f>
        <v>5545693</v>
      </c>
      <c r="E46" s="15" t="n">
        <f aca="false">'BALANCE 2026'!I46</f>
        <v>0</v>
      </c>
      <c r="F46" s="15" t="n">
        <f aca="false">HYPOTHESES!F$29*G45</f>
        <v>161355553.370784</v>
      </c>
      <c r="G46" s="15" t="n">
        <f aca="false">HYPOTHESES!F$29*G45+(D46-E46)-(H46-I46)</f>
        <v>161355553.370784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2026'!H47</f>
        <v>0</v>
      </c>
      <c r="E47" s="15" t="n">
        <f aca="false">'BALANCE 2026'!I47</f>
        <v>0</v>
      </c>
      <c r="F47" s="15" t="n">
        <f aca="false">HYPOTHESES!F$29*G45</f>
        <v>161355553.370784</v>
      </c>
      <c r="G47" s="15" t="n">
        <f aca="false">HYPOTHESES!F$29*G45+(D47-E47)-(H47-I47)</f>
        <v>161355553.370784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1475200.76726016</v>
      </c>
      <c r="G48" s="32" t="n">
        <f aca="false">MAX(0,(D48-E48)-(H48-I48))</f>
        <v>0</v>
      </c>
      <c r="H48" s="37" t="n">
        <f aca="false">IF(HYPOTHESES!$C$42=0,0,'BALANCE 2024'!$H$48*HYPOTHESES!F$42/HYPOTHESES!$C$42)</f>
        <v>1475200.76726016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146972.892456803</v>
      </c>
      <c r="G49" s="20" t="n">
        <f aca="false">MAX(0,(D49-E49)-(H49-I49))</f>
        <v>0</v>
      </c>
      <c r="H49" s="15" t="n">
        <f aca="false">IF(HYPOTHESES!$C$42=0,0,'BALANCE 2024'!$H$49*HYPOTHESES!F$42/HYPOTHESES!$C$42)</f>
        <v>146972.892456803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47145846.1334564</v>
      </c>
      <c r="G50" s="20" t="n">
        <f aca="false">MAX(0,(D50-E50)-(H50-I50))</f>
        <v>0</v>
      </c>
      <c r="H50" s="15" t="n">
        <f aca="false">IF(HYPOTHESES!$C$42=0,0,'BALANCE 2024'!$H$50*HYPOTHESES!F$42/HYPOTHESES!$C$42)</f>
        <v>47145846.1334564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23405817.7336462</v>
      </c>
      <c r="G51" s="20" t="n">
        <f aca="false">MAX(0,(D51-E51)-(H51-I51))</f>
        <v>0</v>
      </c>
      <c r="H51" s="15" t="n">
        <f aca="false">IF(HYPOTHESES!$C$42=0,0,'BALANCE 2024'!$H$51*HYPOTHESES!F$42/HYPOTHESES!$C$42)</f>
        <v>23405817.7336462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15188093.9507337</v>
      </c>
      <c r="G52" s="20" t="n">
        <f aca="false">MAX(0,(D52-E52)-(H52-I52))</f>
        <v>0</v>
      </c>
      <c r="H52" s="15" t="n">
        <f aca="false">IF(HYPOTHESES!$C$42=0,0,'BALANCE 2024'!$H$52*HYPOTHESES!F$42/HYPOTHESES!$C$42)</f>
        <v>15188093.9507337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4355323.69088624</v>
      </c>
      <c r="G53" s="20" t="n">
        <f aca="false">MAX(0,(D53-E53)-(H53-I53))</f>
        <v>0</v>
      </c>
      <c r="H53" s="15" t="n">
        <f aca="false">IF(HYPOTHESES!$C$42=0,0,'BALANCE 2024'!$H$53*HYPOTHESES!F$42/HYPOTHESES!$C$42)</f>
        <v>4355323.69088624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94571945.4674614</v>
      </c>
      <c r="G54" s="20" t="n">
        <f aca="false">MAX(0,(D54-E54)-(H54-I54))</f>
        <v>0</v>
      </c>
      <c r="H54" s="15" t="n">
        <f aca="false">IF(HYPOTHESES!$C$42=0,0,'BALANCE 2024'!$H$54*HYPOTHESES!F$42/HYPOTHESES!$C$42)</f>
        <v>94571945.4674614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141857918.201192</v>
      </c>
      <c r="G55" s="20" t="n">
        <f aca="false">MAX(0,(D55-E55)-(H55-I55))</f>
        <v>0</v>
      </c>
      <c r="H55" s="15" t="n">
        <f aca="false">IF(HYPOTHESES!$C$42=0,0,'BALANCE 2024'!$H$55*HYPOTHESES!F$42/HYPOTHESES!$C$42)</f>
        <v>141857918.201192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109775.368709392</v>
      </c>
      <c r="G56" s="20" t="n">
        <f aca="false">MAX(0,(D56-E56)-(H56-I56))</f>
        <v>0</v>
      </c>
      <c r="H56" s="15" t="n">
        <f aca="false">IF(HYPOTHESES!$C$43=0,0,'BALANCE 2024'!$H$56*HYPOTHESES!F$43/HYPOTHESES!$C$43)</f>
        <v>109775.368709392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1831764.60621872</v>
      </c>
      <c r="G57" s="20" t="n">
        <f aca="false">MAX(0,(D57-E57)-(H57-I57))</f>
        <v>0</v>
      </c>
      <c r="H57" s="15" t="n">
        <f aca="false">IF(HYPOTHESES!$C$43=0,0,'BALANCE 2024'!$H$57*HYPOTHESES!F$43/HYPOTHESES!$C$43)</f>
        <v>1831764.60621872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2524171.82376216</v>
      </c>
      <c r="G58" s="20" t="n">
        <f aca="false">MAX(0,(D58-E58)-(H58-I58))</f>
        <v>0</v>
      </c>
      <c r="H58" s="15" t="n">
        <f aca="false">IF(HYPOTHESES!$C$43=0,0,'BALANCE 2024'!$H$58*HYPOTHESES!F$43/HYPOTHESES!$C$43)</f>
        <v>2524171.82376216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19623501.5302018</v>
      </c>
      <c r="G59" s="20" t="n">
        <f aca="false">MAX(0,(D59-E59)-(H59-I59))</f>
        <v>0</v>
      </c>
      <c r="H59" s="15" t="n">
        <f aca="false">IF(HYPOTHESES!$C$44=0,0,'BALANCE 2024'!$H$59*HYPOTHESES!F$44/HYPOTHESES!$C$44)</f>
        <v>19623501.5302018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40347963.3575932</v>
      </c>
      <c r="G60" s="20" t="n">
        <f aca="false">MAX(0,(D60-E60)-(H60-I60))</f>
        <v>0</v>
      </c>
      <c r="H60" s="15" t="n">
        <f aca="false">IF(HYPOTHESES!$C$44=0,0,'BALANCE 2024'!$H$60*HYPOTHESES!F$44/HYPOTHESES!$C$44)</f>
        <v>40347963.3575932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5414159.92525042</v>
      </c>
      <c r="G61" s="20" t="n">
        <f aca="false">MAX(0,(D61-E61)-(H61-I61))</f>
        <v>0</v>
      </c>
      <c r="H61" s="15" t="n">
        <f aca="false">IF(HYPOTHESES!$C$44=0,0,'BALANCE 2024'!$H$61*HYPOTHESES!F$44/HYPOTHESES!$C$44)</f>
        <v>5414159.92525042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37748.6392449827</v>
      </c>
      <c r="G62" s="20" t="n">
        <f aca="false">MAX(0,(D62-E62)-(H62-I62))</f>
        <v>0</v>
      </c>
      <c r="H62" s="15" t="n">
        <f aca="false">IF(HYPOTHESES!$C$44=0,0,'BALANCE 2024'!$H$62*HYPOTHESES!F$44/HYPOTHESES!$C$44)</f>
        <v>37748.6392449827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69009.231119734</v>
      </c>
      <c r="G63" s="20" t="n">
        <f aca="false">MAX(0,(D63-E63)-(H63-I63))</f>
        <v>0</v>
      </c>
      <c r="H63" s="15" t="n">
        <f aca="false">IF(HYPOTHESES!$C$44=0,0,'BALANCE 2024'!$H$63*HYPOTHESES!F$44/HYPOTHESES!$C$44)</f>
        <v>69009.231119734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936690.015645095</v>
      </c>
      <c r="G64" s="20" t="n">
        <f aca="false">MAX(0,(D64-E64)-(H64-I64))</f>
        <v>0</v>
      </c>
      <c r="H64" s="15" t="n">
        <f aca="false">IF(HYPOTHESES!$C$44=0,0,'BALANCE 2024'!$H$64*HYPOTHESES!F$44/HYPOTHESES!$C$44)</f>
        <v>936690.015645095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26648373.4787811</v>
      </c>
      <c r="G65" s="20" t="n">
        <f aca="false">MAX(0,(D65-E65)-(H65-I65))</f>
        <v>0</v>
      </c>
      <c r="H65" s="15" t="n">
        <f aca="false">IF(HYPOTHESES!$C$44=0,0,'BALANCE 2024'!$H$65*HYPOTHESES!F$44/HYPOTHESES!$C$44)</f>
        <v>26648373.4787811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5606899.75865539</v>
      </c>
      <c r="G66" s="20" t="n">
        <f aca="false">MAX(0,(D66-E66)-(H66-I66))</f>
        <v>0</v>
      </c>
      <c r="H66" s="15" t="n">
        <f aca="false">IF(HYPOTHESES!$C$44=0,0,'BALANCE 2024'!$H$66*HYPOTHESES!F$44/HYPOTHESES!$C$44)</f>
        <v>5606899.75865539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27265266.4599025</v>
      </c>
      <c r="G67" s="20" t="n">
        <f aca="false">MAX(0,(D67-E67)-(H67-I67))</f>
        <v>0</v>
      </c>
      <c r="H67" s="15" t="n">
        <f aca="false">IF(HYPOTHESES!$C$44=0,0,'BALANCE 2024'!$H$67*HYPOTHESES!F$44/HYPOTHESES!$C$44)</f>
        <v>27265266.4599025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424457.257097765</v>
      </c>
      <c r="G68" s="20" t="n">
        <f aca="false">MAX(0,(D68-E68)-(H68-I68))</f>
        <v>0</v>
      </c>
      <c r="H68" s="15" t="n">
        <f aca="false">IF(HYPOTHESES!$C$45=0,0,'BALANCE 2024'!$H$68*HYPOTHESES!F$45/HYPOTHESES!$C$45)</f>
        <v>424457.257097765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10676435.8773207</v>
      </c>
      <c r="G69" s="20" t="n">
        <f aca="false">MAX(0,(D69-E69)-(H69-I69))</f>
        <v>0</v>
      </c>
      <c r="H69" s="15" t="n">
        <f aca="false">IF(HYPOTHESES!$C$45=0,0,'BALANCE 2024'!$H$69*HYPOTHESES!F$45/HYPOTHESES!$C$45)</f>
        <v>10676435.8773207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1825985.64383618</v>
      </c>
      <c r="G70" s="20" t="n">
        <f aca="false">MAX(0,(D70-E70)-(H70-I70))</f>
        <v>0</v>
      </c>
      <c r="H70" s="15" t="n">
        <f aca="false">IF(HYPOTHESES!$C$45=0,0,'BALANCE 2024'!$H$70*HYPOTHESES!F$45/HYPOTHESES!$C$45)</f>
        <v>1825985.64383618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974571.548015514</v>
      </c>
      <c r="G71" s="20" t="n">
        <f aca="false">MAX(0,(D71-E71)-(H71-I71))</f>
        <v>0</v>
      </c>
      <c r="H71" s="15" t="n">
        <f aca="false">IF(HYPOTHESES!$C$45=0,0,'BALANCE 2024'!$H$71*HYPOTHESES!F$45/HYPOTHESES!$C$45)</f>
        <v>974571.548015514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122698.8025476</v>
      </c>
      <c r="G72" s="20" t="n">
        <f aca="false">MAX(0,(D72-E72)-(H72-I72))</f>
        <v>0</v>
      </c>
      <c r="H72" s="15" t="n">
        <f aca="false">IF(HYPOTHESES!$C$45=0,0,'BALANCE 2024'!$H$72*HYPOTHESES!F$45/HYPOTHESES!$C$45)</f>
        <v>122698.8025476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368111.735265973</v>
      </c>
      <c r="G73" s="20" t="n">
        <f aca="false">MAX(0,(D73-E73)-(H73-I73))</f>
        <v>0</v>
      </c>
      <c r="H73" s="15" t="n">
        <f aca="false">IF(HYPOTHESES!$C$45=0,0,'BALANCE 2024'!$H$73*HYPOTHESES!F$45/HYPOTHESES!$C$45)</f>
        <v>368111.735265973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249586.762413168</v>
      </c>
      <c r="G74" s="20" t="n">
        <f aca="false">MAX(0,(D74-E74)-(H74-I74))</f>
        <v>0</v>
      </c>
      <c r="H74" s="15" t="n">
        <f aca="false">IF(HYPOTHESES!$C$45=0,0,'BALANCE 2024'!$H$74*HYPOTHESES!F$45/HYPOTHESES!$C$45)</f>
        <v>249586.762413168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2034620.53427496</v>
      </c>
      <c r="G75" s="20" t="n">
        <f aca="false">MAX(0,(D75-E75)-(H75-I75))</f>
        <v>0</v>
      </c>
      <c r="H75" s="15" t="n">
        <f aca="false">IF(HYPOTHESES!$C$45=0,0,'BALANCE 2024'!$H$75*HYPOTHESES!F$45/HYPOTHESES!$C$45)</f>
        <v>2034620.53427496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855585.567419583</v>
      </c>
      <c r="G76" s="20" t="n">
        <f aca="false">MAX(0,(D76-E76)-(H76-I76))</f>
        <v>0</v>
      </c>
      <c r="H76" s="15" t="n">
        <f aca="false">IF(HYPOTHESES!$C$45=0,0,'BALANCE 2024'!$H$76*HYPOTHESES!F$45/HYPOTHESES!$C$45)</f>
        <v>855585.567419583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1571268.96620584</v>
      </c>
      <c r="G77" s="20" t="n">
        <f aca="false">MAX(0,(D77-E77)-(H77-I77))</f>
        <v>0</v>
      </c>
      <c r="H77" s="15" t="n">
        <f aca="false">IF(HYPOTHESES!$C$46=0,0,'BALANCE 2024'!$H$77*HYPOTHESES!F$46/HYPOTHESES!$C$46)</f>
        <v>1571268.96620584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69556599.8149979</v>
      </c>
      <c r="G78" s="20" t="n">
        <f aca="false">MAX(0,(D78-E78)-(H78-I78))</f>
        <v>0</v>
      </c>
      <c r="H78" s="15" t="n">
        <f aca="false">IF(HYPOTHESES!$C$47=0,0,'BALANCE 2024'!$H$78*HYPOTHESES!F$47/HYPOTHESES!$C$47)</f>
        <v>69556599.8149979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23513642.0374294</v>
      </c>
      <c r="G79" s="20" t="n">
        <f aca="false">MAX(0,(D79-E79)-(H79-I79))</f>
        <v>0</v>
      </c>
      <c r="H79" s="15" t="n">
        <f aca="false">IF(HYPOTHESES!$C$47=0,0,'BALANCE 2024'!$H$79*HYPOTHESES!F$47/HYPOTHESES!$C$47)</f>
        <v>23513642.0374294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7758367.73827243</v>
      </c>
      <c r="G80" s="20" t="n">
        <f aca="false">MAX(0,(D80-E80)-(H80-I80))</f>
        <v>0</v>
      </c>
      <c r="H80" s="15" t="n">
        <f aca="false">IF(HYPOTHESES!$C$47=0,0,'BALANCE 2024'!$H$80*HYPOTHESES!F$47/HYPOTHESES!$C$47)</f>
        <v>7758367.73827243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7834949.23771691</v>
      </c>
      <c r="G81" s="20" t="n">
        <f aca="false">MAX(0,(D81-E81)-(H81-I81))</f>
        <v>0</v>
      </c>
      <c r="H81" s="15" t="n">
        <f aca="false">IF(HYPOTHESES!$C$47=0,0,'BALANCE 2024'!$H$81*HYPOTHESES!F$47/HYPOTHESES!$C$47)</f>
        <v>7834949.23771691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8114786.12222911</v>
      </c>
      <c r="G82" s="20" t="n">
        <f aca="false">MAX(0,(D82-E82)-(H82-I82))</f>
        <v>0</v>
      </c>
      <c r="H82" s="15" t="n">
        <f aca="false">IF(HYPOTHESES!$C$47=0,0,'BALANCE 2024'!$H$82*HYPOTHESES!F$47/HYPOTHESES!$C$47)</f>
        <v>8114786.12222911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8261585.41268203</v>
      </c>
      <c r="G83" s="20" t="n">
        <f aca="false">MAX(0,(D83-E83)-(H83-I83))</f>
        <v>0</v>
      </c>
      <c r="H83" s="15" t="n">
        <f aca="false">IF(HYPOTHESES!$C$47=0,0,'BALANCE 2024'!$H$83*HYPOTHESES!F$47/HYPOTHESES!$C$47)</f>
        <v>8261585.41268203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FINANCEMENT'!F$64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FINANCEMENT'!F$65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FINANCEMENT'!F$31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56854932</v>
      </c>
      <c r="G87" s="20" t="n">
        <f aca="false">MAX(0,(D87-E87)-(H87-I87))</f>
        <v>0</v>
      </c>
      <c r="H87" s="15" t="n">
        <f aca="false">'INVEST ET FINANCEMENT'!F$34</f>
        <v>56854932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FINANCEMENT'!F$37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15958378</v>
      </c>
      <c r="G89" s="20" t="n">
        <f aca="false">MAX(0,(D89-E89)-(H89-I89))</f>
        <v>0</v>
      </c>
      <c r="H89" s="15" t="n">
        <f aca="false">'INVEST ET FINANCEMENT'!F$40</f>
        <v>15958378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HYPOTHESES!F$49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826983666.424125</v>
      </c>
      <c r="H91" s="32" t="n">
        <v>0</v>
      </c>
      <c r="I91" s="37" t="n">
        <f aca="false">HYPOTHESES!F$41</f>
        <v>826983666.424125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HYPOTHESES!F$50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30492778.3335557</v>
      </c>
      <c r="G93" s="32" t="n">
        <f aca="false">MAX(0,(D93-E93)-(H93-I93))</f>
        <v>0</v>
      </c>
      <c r="H93" s="37" t="n">
        <f aca="false">IF(HYPOTHESES!F$53&gt;=HYPOTHESES!F$54,HYPOTHESES!F$55,0)</f>
        <v>30492778.3335557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IF(HYPOTHESES!F$53&lt;HYPOTHESES!F$54,HYPOTHESES!F$55,0)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1918023362.54389</v>
      </c>
      <c r="E96" s="36" t="n">
        <f aca="false">SUM(E5:E94)</f>
        <v>1918023362.54389</v>
      </c>
      <c r="F96" s="36" t="n">
        <f aca="false">SUM(F5:F94)</f>
        <v>3990640627.01418</v>
      </c>
      <c r="G96" s="36" t="n">
        <f aca="false">SUM(G5:G94)</f>
        <v>3990640627.01419</v>
      </c>
      <c r="H96" s="36" t="n">
        <f aca="false">SUM(H5:H94)</f>
        <v>2859288841.49389</v>
      </c>
      <c r="I96" s="36" t="n">
        <f aca="false">SUM(I5:I94)</f>
        <v>2859288841.49389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2027'!H5</f>
        <v>0</v>
      </c>
      <c r="E5" s="37" t="n">
        <f aca="false">'BALANCE 2027'!I5</f>
        <v>10000000</v>
      </c>
      <c r="F5" s="37" t="n">
        <f aca="false">'INVEST ET FINANCEMENT'!G$51+(H5-I5)-(D5-E5)</f>
        <v>0</v>
      </c>
      <c r="G5" s="37" t="n">
        <f aca="false">'INVEST ET FINANCEMENT'!G$51</f>
        <v>0</v>
      </c>
      <c r="H5" s="32" t="n">
        <v>0</v>
      </c>
      <c r="I5" s="37" t="n">
        <f aca="false">E5+'INVEST ET FINANCEMENT'!G$51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2027'!H6</f>
        <v>0</v>
      </c>
      <c r="E6" s="15" t="n">
        <f aca="false">'BALANCE 2027'!I6</f>
        <v>2000000</v>
      </c>
      <c r="F6" s="15" t="n">
        <f aca="false">HYPOTHESES!G$57+(H6-I6)-(D6-E6)</f>
        <v>0</v>
      </c>
      <c r="G6" s="15" t="n">
        <f aca="false">HYPOTHESES!G$57</f>
        <v>0</v>
      </c>
      <c r="H6" s="20" t="n">
        <v>0</v>
      </c>
      <c r="I6" s="15" t="n">
        <f aca="false">E6+HYPOTHESES!G$57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2027'!H7</f>
        <v>0</v>
      </c>
      <c r="E7" s="15" t="n">
        <f aca="false">'BALANCE 2027'!I7</f>
        <v>1023025123.41514</v>
      </c>
      <c r="F7" s="20" t="n">
        <f aca="false">MAX(0,(H7-I7)-(D7-E7))</f>
        <v>0</v>
      </c>
      <c r="G7" s="20" t="n">
        <f aca="false">MAX(0,(D7-E7)-(H7-I7))</f>
        <v>91478335.0006671</v>
      </c>
      <c r="H7" s="15" t="n">
        <f aca="false">MAX(0,-(E7-D7+HYPOTHESES!G$59))</f>
        <v>0</v>
      </c>
      <c r="I7" s="15" t="n">
        <f aca="false">MAX(0,(E7-D7+HYPOTHESES!G$59))</f>
        <v>1114503458.41581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2027'!I48:I94)-SUM('BALANCE 2027'!H48:H94)))</f>
        <v>0</v>
      </c>
      <c r="E8" s="15" t="n">
        <f aca="false">MAX(0,(SUM('BALANCE 2027'!I48:I94)-SUM('BALANCE 2027'!H48:H94)))</f>
        <v>91478335.0006671</v>
      </c>
      <c r="F8" s="20" t="n">
        <f aca="false">MAX(0,(H8-I8)-(D8-E8))</f>
        <v>91478335.0006671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2027'!H9</f>
        <v>0</v>
      </c>
      <c r="E9" s="15" t="n">
        <f aca="false">'BALANCE 2027'!I9</f>
        <v>0</v>
      </c>
      <c r="F9" s="15" t="n">
        <f aca="false">'INVEST ET FINANCEMENT'!G$47+(H9-I9)-(D9-E9)</f>
        <v>0</v>
      </c>
      <c r="G9" s="15" t="n">
        <f aca="false">'INVEST ET FINANCEMENT'!G$47</f>
        <v>0</v>
      </c>
      <c r="H9" s="20" t="n">
        <v>0</v>
      </c>
      <c r="I9" s="15" t="n">
        <f aca="false">E9+'INVEST ET FINANCEMENT'!G$47-'INVEST ET FINANCEMENT'!G$48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2027'!H10</f>
        <v>0</v>
      </c>
      <c r="E10" s="15" t="n">
        <f aca="false">'BALANCE 2027'!I10</f>
        <v>0</v>
      </c>
      <c r="F10" s="15" t="n">
        <f aca="false">'INVEST ET FINANCEMENT'!G$49</f>
        <v>0</v>
      </c>
      <c r="G10" s="15" t="n">
        <f aca="false">'INVEST ET FINANCEMENT'!G$49+(D10-E10)-(H10-I10)</f>
        <v>0</v>
      </c>
      <c r="H10" s="20" t="n">
        <v>0</v>
      </c>
      <c r="I10" s="15" t="n">
        <f aca="false">E10-'INVEST ET FINANCEMENT'!G$49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2027'!H11</f>
        <v>0</v>
      </c>
      <c r="E11" s="15" t="n">
        <f aca="false">'BALANCE 2027'!I11</f>
        <v>39451784</v>
      </c>
      <c r="F11" s="15" t="n">
        <f aca="false">HYPOTHESES!G$20+(H11-I11)-(D11-E11)</f>
        <v>0</v>
      </c>
      <c r="G11" s="15" t="n">
        <f aca="false">HYPOTHESES!G$20</f>
        <v>6059296</v>
      </c>
      <c r="H11" s="20" t="n">
        <v>0</v>
      </c>
      <c r="I11" s="15" t="n">
        <f aca="false">E11+HYPOTHESES!G$20</f>
        <v>45511080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2027'!H12</f>
        <v>103601492</v>
      </c>
      <c r="E12" s="37" t="n">
        <f aca="false">'BALANCE 2027'!I12</f>
        <v>0</v>
      </c>
      <c r="F12" s="37" t="n">
        <f aca="false">'INVEST ET FINANCEMENT'!G$9</f>
        <v>0</v>
      </c>
      <c r="G12" s="37" t="n">
        <f aca="false">'INVEST ET FINANCEMENT'!G$9+(D12-E12)-(H12-I12)</f>
        <v>0</v>
      </c>
      <c r="H12" s="37" t="n">
        <f aca="false">D12+'INVEST ET FINANCEMENT'!G$9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2027'!H13</f>
        <v>373845268</v>
      </c>
      <c r="E13" s="15" t="n">
        <f aca="false">'BALANCE 2027'!I13</f>
        <v>0</v>
      </c>
      <c r="F13" s="15" t="n">
        <f aca="false">'INVEST ET FINANCEMENT'!G$10</f>
        <v>30000000</v>
      </c>
      <c r="G13" s="15" t="n">
        <f aca="false">'INVEST ET FINANCEMENT'!G$10+(D13-E13)-(H13-I13)</f>
        <v>0</v>
      </c>
      <c r="H13" s="15" t="n">
        <f aca="false">D13+'INVEST ET FINANCEMENT'!G$10</f>
        <v>403845268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2027'!H14</f>
        <v>9306956</v>
      </c>
      <c r="E14" s="15" t="n">
        <f aca="false">'BALANCE 2027'!I14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2027'!H15</f>
        <v>23910459</v>
      </c>
      <c r="E15" s="15" t="n">
        <f aca="false">'BALANCE 2027'!I15</f>
        <v>0</v>
      </c>
      <c r="F15" s="15" t="n">
        <f aca="false">'INVEST ET FINANCEMENT'!G$11</f>
        <v>5000000</v>
      </c>
      <c r="G15" s="15" t="n">
        <f aca="false">'INVEST ET FINANCEMENT'!G$11+(D15-E15)-(H15-I15)</f>
        <v>0</v>
      </c>
      <c r="H15" s="15" t="n">
        <f aca="false">D15+'INVEST ET FINANCEMENT'!G$11</f>
        <v>28910459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2027'!H16</f>
        <v>423638205</v>
      </c>
      <c r="E16" s="15" t="n">
        <f aca="false">'BALANCE 2027'!I16</f>
        <v>0</v>
      </c>
      <c r="F16" s="15" t="n">
        <f aca="false">'INVEST ET FINANCEMENT'!G$12</f>
        <v>40000000</v>
      </c>
      <c r="G16" s="15" t="n">
        <f aca="false">'INVEST ET FINANCEMENT'!G$12+(D16-E16)-(H16-I16)</f>
        <v>0</v>
      </c>
      <c r="H16" s="15" t="n">
        <f aca="false">D16+'INVEST ET FINANCEMENT'!G$12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2027'!H17</f>
        <v>28619694</v>
      </c>
      <c r="E17" s="15" t="n">
        <f aca="false">'BALANCE 2027'!I17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2027'!H18</f>
        <v>25000000</v>
      </c>
      <c r="E18" s="15" t="n">
        <f aca="false">'BALANCE 2027'!I18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2027'!H19</f>
        <v>231420138</v>
      </c>
      <c r="E19" s="15" t="n">
        <f aca="false">'BALANCE 2027'!I19</f>
        <v>0</v>
      </c>
      <c r="F19" s="15" t="n">
        <f aca="false">'INVEST ET FINANCEMENT'!G$13</f>
        <v>0</v>
      </c>
      <c r="G19" s="15" t="n">
        <f aca="false">'INVEST ET FINANCEMENT'!G$13+(D19-E19)-(H19-I19)</f>
        <v>0</v>
      </c>
      <c r="H19" s="15" t="n">
        <f aca="false">D19+'INVEST ET FINANCEMENT'!G$13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2027'!H20</f>
        <v>0</v>
      </c>
      <c r="E20" s="15" t="n">
        <f aca="false">'BALANCE 2027'!I20</f>
        <v>99785011</v>
      </c>
      <c r="F20" s="15" t="n">
        <f aca="false">'INVEST ET FINANCEMENT'!G$31+(H20-I20)-(D20-E20)</f>
        <v>0</v>
      </c>
      <c r="G20" s="15" t="n">
        <f aca="false">'INVEST ET FINANCEMENT'!G$31</f>
        <v>3816481</v>
      </c>
      <c r="H20" s="20" t="n">
        <v>0</v>
      </c>
      <c r="I20" s="15" t="n">
        <f aca="false">E20+'INVEST ET FINANCEMENT'!G$31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2027'!H21</f>
        <v>0</v>
      </c>
      <c r="E21" s="15" t="n">
        <f aca="false">'BALANCE 2027'!I21</f>
        <v>191898681</v>
      </c>
      <c r="F21" s="15" t="n">
        <f aca="false">'INVEST ET FINANCEMENT'!G$34+(H21-I21)-(D21-E21)</f>
        <v>0</v>
      </c>
      <c r="G21" s="15" t="n">
        <f aca="false">'INVEST ET FINANCEMENT'!G$34</f>
        <v>62854932</v>
      </c>
      <c r="H21" s="20" t="n">
        <v>0</v>
      </c>
      <c r="I21" s="15" t="n">
        <f aca="false">E21+'INVEST ET FINANCEMENT'!G$34</f>
        <v>254753613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2027'!H22</f>
        <v>0</v>
      </c>
      <c r="E22" s="15" t="n">
        <f aca="false">'BALANCE 2027'!I22</f>
        <v>30717415</v>
      </c>
      <c r="F22" s="15" t="n">
        <f aca="false">'INVEST ET FINANCEMENT'!G$37+(H22-I22)-(D22-E22)</f>
        <v>0</v>
      </c>
      <c r="G22" s="15" t="n">
        <f aca="false">'INVEST ET FINANCEMENT'!G$37</f>
        <v>5000000</v>
      </c>
      <c r="H22" s="20" t="n">
        <v>0</v>
      </c>
      <c r="I22" s="15" t="n">
        <f aca="false">E22+'INVEST ET FINANCEMENT'!G$37</f>
        <v>35717415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2027'!H23</f>
        <v>0</v>
      </c>
      <c r="E23" s="15" t="n">
        <f aca="false">'BALANCE 2027'!I23</f>
        <v>413784210</v>
      </c>
      <c r="F23" s="15" t="n">
        <f aca="false">'INVEST ET FINANCEMENT'!G$40+(H23-I23)-(D23-E23)</f>
        <v>0</v>
      </c>
      <c r="G23" s="15" t="n">
        <f aca="false">'INVEST ET FINANCEMENT'!G$40</f>
        <v>24093971.3333333</v>
      </c>
      <c r="H23" s="20" t="n">
        <v>0</v>
      </c>
      <c r="I23" s="15" t="n">
        <f aca="false">E23+'INVEST ET FINANCEMENT'!G$40</f>
        <v>437878181.333333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2027'!H24</f>
        <v>0</v>
      </c>
      <c r="E24" s="37" t="n">
        <f aca="false">'BALANCE 2027'!I24</f>
        <v>85674749.7731785</v>
      </c>
      <c r="F24" s="37" t="n">
        <f aca="false">HYPOTHESES!G$48*(1+HYPOTHESES!G$10)+(H24-I24)-(D24-E24)</f>
        <v>563875129.428209</v>
      </c>
      <c r="G24" s="37" t="n">
        <f aca="false">HYPOTHESES!G$48*(1+HYPOTHESES!G$10)</f>
        <v>568158866.916868</v>
      </c>
      <c r="H24" s="32" t="n">
        <v>0</v>
      </c>
      <c r="I24" s="37" t="n">
        <f aca="false">HYPOTHESES!G$48*(1+HYPOTHESES!G$10)*HYPOTHESES!G$23/360</f>
        <v>89958487.2618374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2027'!H25</f>
        <v>0</v>
      </c>
      <c r="E25" s="15" t="n">
        <f aca="false">'BALANCE 2027'!I25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2027'!H26</f>
        <v>534001730.824867</v>
      </c>
      <c r="E26" s="15" t="n">
        <f aca="false">'BALANCE 2027'!I26</f>
        <v>0</v>
      </c>
      <c r="F26" s="15" t="n">
        <f aca="false">HYPOTHESES!G$41*(1+HYPOTHESES!G$10)</f>
        <v>1024632762.69949</v>
      </c>
      <c r="G26" s="15" t="n">
        <f aca="false">HYPOTHESES!G$41*(1+HYPOTHESES!G$10)+(D26-E26)-(H26-I26)</f>
        <v>997932676.158248</v>
      </c>
      <c r="H26" s="15" t="n">
        <f aca="false">HYPOTHESES!G$41*(1+HYPOTHESES!G$10)*HYPOTHESES!G$22/360</f>
        <v>560701817.36611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2027'!H27</f>
        <v>0</v>
      </c>
      <c r="E27" s="15" t="n">
        <f aca="false">'BALANCE 2027'!I27</f>
        <v>13146729.3573795</v>
      </c>
      <c r="F27" s="15" t="n">
        <f aca="false">IF(HYPOTHESES!$C$47=0,0,'BALANCE 2024'!$G$27*HYPOTHESES!G$47/HYPOTHESES!$C$47)+(H27-I27)-(D27-E27)</f>
        <v>99982359.5505724</v>
      </c>
      <c r="G27" s="15" t="n">
        <f aca="false">IF(HYPOTHESES!$C$47=0,0,'BALANCE 2024'!$G$27*HYPOTHESES!G$47/HYPOTHESES!$C$47)</f>
        <v>100639696.018441</v>
      </c>
      <c r="H27" s="20" t="n">
        <v>0</v>
      </c>
      <c r="I27" s="15" t="n">
        <f aca="false">IF(HYPOTHESES!$C$47=0,0,'BALANCE 2024'!$I$27*HYPOTHESES!G$47/HYPOTHESES!$C$47)</f>
        <v>13804065.8252485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2027'!H28</f>
        <v>0</v>
      </c>
      <c r="E28" s="15" t="n">
        <f aca="false">'BALANCE 2027'!I28</f>
        <v>5730848.48198244</v>
      </c>
      <c r="F28" s="15" t="n">
        <f aca="false">IF(HYPOTHESES!$C$47=0,0,'BALANCE 2024'!$G$28*HYPOTHESES!G$47/HYPOTHESES!$C$47)+(H28-I28)-(D28-E28)</f>
        <v>8388122.25921701</v>
      </c>
      <c r="G28" s="15" t="n">
        <f aca="false">IF(HYPOTHESES!$C$47=0,0,'BALANCE 2024'!$G$28*HYPOTHESES!G$47/HYPOTHESES!$C$47)</f>
        <v>8674664.68331613</v>
      </c>
      <c r="H28" s="20" t="n">
        <v>0</v>
      </c>
      <c r="I28" s="15" t="n">
        <f aca="false">IF(HYPOTHESES!$C$47=0,0,'BALANCE 2024'!$I$28*HYPOTHESES!G$47/HYPOTHESES!$C$47)</f>
        <v>6017390.90608156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2027'!H29</f>
        <v>0</v>
      </c>
      <c r="E29" s="15" t="n">
        <f aca="false">'BALANCE 2027'!I29</f>
        <v>1418042.03892353</v>
      </c>
      <c r="F29" s="15" t="n">
        <f aca="false">IF(HYPOTHESES!$C$47=0,0,'BALANCE 2024'!$G$29*HYPOTHESES!G$47/HYPOTHESES!$C$47)+(H29-I29)-(D29-E29)</f>
        <v>14119317.9973056</v>
      </c>
      <c r="G29" s="15" t="n">
        <f aca="false">IF(HYPOTHESES!$C$47=0,0,'BALANCE 2024'!$G$29*HYPOTHESES!G$47/HYPOTHESES!$C$47)</f>
        <v>14190220.0992518</v>
      </c>
      <c r="H29" s="20" t="n">
        <v>0</v>
      </c>
      <c r="I29" s="15" t="n">
        <f aca="false">IF(HYPOTHESES!$C$47=0,0,'BALANCE 2024'!$I$29*HYPOTHESES!G$47/HYPOTHESES!$C$47)</f>
        <v>1488944.1408697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2027'!H30</f>
        <v>0</v>
      </c>
      <c r="E30" s="15" t="n">
        <f aca="false">'BALANCE 2027'!I30</f>
        <v>190979.654691388</v>
      </c>
      <c r="F30" s="15" t="n">
        <f aca="false">IF(HYPOTHESES!$C$47=0,0,'BALANCE 2024'!$G$30*HYPOTHESES!G$47/HYPOTHESES!$C$47)+(H30-I30)-(D30-E30)</f>
        <v>470442.806956853</v>
      </c>
      <c r="G30" s="15" t="n">
        <f aca="false">IF(HYPOTHESES!$C$47=0,0,'BALANCE 2024'!$G$30*HYPOTHESES!G$47/HYPOTHESES!$C$47)</f>
        <v>479991.789691423</v>
      </c>
      <c r="H30" s="20" t="n">
        <v>0</v>
      </c>
      <c r="I30" s="15" t="n">
        <f aca="false">IF(HYPOTHESES!$C$47=0,0,'BALANCE 2024'!$I$30*HYPOTHESES!G$47/HYPOTHESES!$C$47)</f>
        <v>200528.637425957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2027'!H31</f>
        <v>0</v>
      </c>
      <c r="E31" s="15" t="n">
        <f aca="false">'BALANCE 2027'!I31</f>
        <v>0</v>
      </c>
      <c r="F31" s="15" t="n">
        <f aca="false">IF(HYPOTHESES!$C$47=0,0,'BALANCE 2024'!$G$31*HYPOTHESES!G$47/HYPOTHESES!$C$47)+(H31-I31)-(D31-E31)</f>
        <v>0</v>
      </c>
      <c r="G31" s="15" t="n">
        <f aca="false">IF(HYPOTHESES!$C$47=0,0,'BALANCE 2024'!$G$31*HYPOTHESES!G$47/HYPOTHESES!$C$47)</f>
        <v>0</v>
      </c>
      <c r="H31" s="20" t="n">
        <v>0</v>
      </c>
      <c r="I31" s="15" t="n">
        <f aca="false">IF(HYPOTHESES!$C$47=0,0,'BALANCE 2024'!$I$31*HYPOTHESES!G$47/HYPOTHESES!$C$47)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2027'!H32</f>
        <v>0</v>
      </c>
      <c r="E32" s="15" t="n">
        <f aca="false">'BALANCE 2027'!I32</f>
        <v>30492778.3335557</v>
      </c>
      <c r="F32" s="15" t="n">
        <f aca="false">HYPOTHESES!G$55+(H32-I32)-(D32-E32)</f>
        <v>30492778.3335557</v>
      </c>
      <c r="G32" s="15" t="n">
        <f aca="false">HYPOTHESES!G$55</f>
        <v>33628945.6294002</v>
      </c>
      <c r="H32" s="20" t="n">
        <v>0</v>
      </c>
      <c r="I32" s="15" t="n">
        <f aca="false">HYPOTHESES!G$55</f>
        <v>33628945.6294002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2027'!H33</f>
        <v>0</v>
      </c>
      <c r="E33" s="15" t="n">
        <f aca="false">'BALANCE 2027'!I33</f>
        <v>855585.567419583</v>
      </c>
      <c r="F33" s="15" t="n">
        <f aca="false">IF(HYPOTHESES!$C$45=0,0,'BALANCE 2024'!$G$33*HYPOTHESES!G$45/HYPOTHESES!$C$45)+(H33-I33)-(D33-E33)</f>
        <v>855585.567419583</v>
      </c>
      <c r="G33" s="15" t="n">
        <f aca="false">IF(HYPOTHESES!$C$45=0,0,'BALANCE 2024'!$G$33*HYPOTHESES!G$45/HYPOTHESES!$C$45)</f>
        <v>898364.845790563</v>
      </c>
      <c r="H33" s="20" t="n">
        <v>0</v>
      </c>
      <c r="I33" s="15" t="n">
        <f aca="false">IF(HYPOTHESES!$C$45=0,0,'BALANCE 2024'!$I$33*HYPOTHESES!G$45/HYPOTHESES!$C$45)</f>
        <v>898364.845790563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2027'!H34</f>
        <v>0</v>
      </c>
      <c r="E34" s="15" t="n">
        <f aca="false">'BALANCE 2027'!I34</f>
        <v>122698.8025476</v>
      </c>
      <c r="F34" s="15" t="n">
        <f aca="false">IF(HYPOTHESES!$C$45=0,0,'BALANCE 2024'!$G$34*HYPOTHESES!G$45/HYPOTHESES!$C$45)+(H34-I34)-(D34-E34)</f>
        <v>122698.8025476</v>
      </c>
      <c r="G34" s="15" t="n">
        <f aca="false">IF(HYPOTHESES!$C$45=0,0,'BALANCE 2024'!$G$34*HYPOTHESES!G$45/HYPOTHESES!$C$45)</f>
        <v>128833.74267498</v>
      </c>
      <c r="H34" s="20" t="n">
        <v>0</v>
      </c>
      <c r="I34" s="15" t="n">
        <f aca="false">IF(HYPOTHESES!$C$45=0,0,'BALANCE 2024'!$I$34*HYPOTHESES!G$45/HYPOTHESES!$C$45)</f>
        <v>128833.74267498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2027'!H35</f>
        <v>0</v>
      </c>
      <c r="E35" s="15" t="n">
        <f aca="false">'BALANCE 2027'!I35</f>
        <v>184056.457156955</v>
      </c>
      <c r="F35" s="15" t="n">
        <f aca="false">IF(HYPOTHESES!$C$45=0,0,'BALANCE 2024'!$G$35*HYPOTHESES!G$45/HYPOTHESES!$C$45)+(H35-I35)-(D35-E35)</f>
        <v>184056.457156955</v>
      </c>
      <c r="G35" s="15" t="n">
        <f aca="false">IF(HYPOTHESES!$C$45=0,0,'BALANCE 2024'!$G$35*HYPOTHESES!G$45/HYPOTHESES!$C$45)</f>
        <v>193259.280014802</v>
      </c>
      <c r="H35" s="20" t="n">
        <v>0</v>
      </c>
      <c r="I35" s="15" t="n">
        <f aca="false">IF(HYPOTHESES!$C$45=0,0,'BALANCE 2024'!$I$35*HYPOTHESES!G$45/HYPOTHESES!$C$45)</f>
        <v>193259.280014802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2027'!H36</f>
        <v>0</v>
      </c>
      <c r="E36" s="15" t="n">
        <f aca="false">'BALANCE 2027'!I36</f>
        <v>184055.278109018</v>
      </c>
      <c r="F36" s="15" t="n">
        <f aca="false">IF(HYPOTHESES!$C$45=0,0,'BALANCE 2024'!$G$36*HYPOTHESES!G$45/HYPOTHESES!$C$45)+(H36-I36)-(D36-E36)</f>
        <v>184055.278109018</v>
      </c>
      <c r="G36" s="15" t="n">
        <f aca="false">IF(HYPOTHESES!$C$45=0,0,'BALANCE 2024'!$G$36*HYPOTHESES!G$45/HYPOTHESES!$C$45)</f>
        <v>193258.042014469</v>
      </c>
      <c r="H36" s="20" t="n">
        <v>0</v>
      </c>
      <c r="I36" s="15" t="n">
        <f aca="false">IF(HYPOTHESES!$C$45=0,0,'BALANCE 2024'!$I$36*HYPOTHESES!G$45/HYPOTHESES!$C$45)</f>
        <v>193258.042014469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2027'!H37</f>
        <v>0</v>
      </c>
      <c r="E37" s="15" t="n">
        <f aca="false">'BALANCE 2027'!I37</f>
        <v>433429.811893637</v>
      </c>
      <c r="F37" s="15" t="n">
        <f aca="false">IF(HYPOTHESES!$C$45=0,0,'BALANCE 2024'!$G$37*HYPOTHESES!G$45/HYPOTHESES!$C$45)+(H37-I37)-(D37-E37)</f>
        <v>1001628.63482161</v>
      </c>
      <c r="G37" s="15" t="n">
        <f aca="false">IF(HYPOTHESES!$C$45=0,0,'BALANCE 2024'!$G$37*HYPOTHESES!G$45/HYPOTHESES!$C$45)</f>
        <v>1023300.12541629</v>
      </c>
      <c r="H37" s="20" t="n">
        <v>0</v>
      </c>
      <c r="I37" s="15" t="n">
        <f aca="false">IF(HYPOTHESES!$C$45=0,0,'BALANCE 2024'!$I$37*HYPOTHESES!G$45/HYPOTHESES!$C$45)</f>
        <v>455101.302488319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2027'!H38</f>
        <v>0</v>
      </c>
      <c r="E38" s="15" t="n">
        <f aca="false">'BALANCE 2027'!I38</f>
        <v>5895239.6819134</v>
      </c>
      <c r="F38" s="15" t="n">
        <f aca="false">IF(HYPOTHESES!$C$45=0,0,'BALANCE 2024'!$G$38*HYPOTHESES!G$45/HYPOTHESES!$C$45)+(H38-I38)-(D38-E38)</f>
        <v>10915495.6870911</v>
      </c>
      <c r="G38" s="15" t="n">
        <f aca="false">IF(HYPOTHESES!$C$45=0,0,'BALANCE 2024'!$G$38*HYPOTHESES!G$45/HYPOTHESES!$C$45)</f>
        <v>11210257.6711867</v>
      </c>
      <c r="H38" s="20" t="n">
        <v>0</v>
      </c>
      <c r="I38" s="15" t="n">
        <f aca="false">IF(HYPOTHESES!$C$45=0,0,'BALANCE 2024'!$I$38*HYPOTHESES!G$45/HYPOTHESES!$C$45)</f>
        <v>6190001.66600907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2027'!H39</f>
        <v>0</v>
      </c>
      <c r="E39" s="15" t="n">
        <f aca="false">'BALANCE 2027'!I39</f>
        <v>61568989.8440334</v>
      </c>
      <c r="F39" s="15" t="n">
        <f aca="false">HYPOTHESES!G$41*HYPOTHESES!G$10+(H39-I39)-(D39-E39)</f>
        <v>153221463.461958</v>
      </c>
      <c r="G39" s="15" t="n">
        <f aca="false">HYPOTHESES!G$41*HYPOTHESES!G$10</f>
        <v>156299912.95416</v>
      </c>
      <c r="H39" s="20" t="n">
        <v>0</v>
      </c>
      <c r="I39" s="15" t="n">
        <f aca="false">IF('BALANCE 2024'!$H$26=0,0,'BALANCE 2024'!$I$39*H26/'BALANCE 2024'!$H$26)</f>
        <v>64647439.3362351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2027'!H40</f>
        <v>0</v>
      </c>
      <c r="E40" s="15" t="n">
        <f aca="false">'BALANCE 2027'!I40</f>
        <v>235809.587276536</v>
      </c>
      <c r="F40" s="15" t="n">
        <f aca="false">IF(HYPOTHESES!$C$45=0,0,'BALANCE 2024'!$G$40*HYPOTHESES!G$45/HYPOTHESES!$C$45)+(H40-I40)-(D40-E40)</f>
        <v>250275.621169999</v>
      </c>
      <c r="G40" s="15" t="n">
        <f aca="false">IF(HYPOTHESES!$C$45=0,0,'BALANCE 2024'!$G$40*HYPOTHESES!G$45/HYPOTHESES!$C$45)</f>
        <v>262066.100533826</v>
      </c>
      <c r="H40" s="20" t="n">
        <v>0</v>
      </c>
      <c r="I40" s="15" t="n">
        <f aca="false">IF(HYPOTHESES!$C$45=0,0,'BALANCE 2024'!$I$40*HYPOTHESES!G$45/HYPOTHESES!$C$45)</f>
        <v>247600.066640363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2027'!H41</f>
        <v>0</v>
      </c>
      <c r="E41" s="15" t="n">
        <f aca="false">'BALANCE 2027'!I41</f>
        <v>1924252.87345371</v>
      </c>
      <c r="F41" s="15" t="n">
        <f aca="false">IF(HYPOTHESES!$C$47=0,0,'BALANCE 2024'!$G$41*HYPOTHESES!G$47/HYPOTHESES!$C$47)+(H41-I41)-(D41-E41)</f>
        <v>7211141.64712066</v>
      </c>
      <c r="G41" s="15" t="n">
        <f aca="false">IF(HYPOTHESES!$C$47=0,0,'BALANCE 2024'!$G$41*HYPOTHESES!G$47/HYPOTHESES!$C$47)</f>
        <v>7307354.29079334</v>
      </c>
      <c r="H41" s="20" t="n">
        <v>0</v>
      </c>
      <c r="I41" s="15" t="n">
        <f aca="false">IF(HYPOTHESES!$C$47=0,0,'BALANCE 2024'!$I$41*HYPOTHESES!G$47/HYPOTHESES!$C$47)</f>
        <v>2020465.51712639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2027'!H42</f>
        <v>0</v>
      </c>
      <c r="E42" s="15" t="n">
        <f aca="false">'BALANCE 2027'!I42</f>
        <v>0</v>
      </c>
      <c r="F42" s="15" t="n">
        <f aca="false">'INVEST ET FINANCEMENT'!G$53+(H42-I42)-(D42-E42)</f>
        <v>0</v>
      </c>
      <c r="G42" s="15" t="n">
        <f aca="false">'INVEST ET FINANCEMENT'!G$53</f>
        <v>0</v>
      </c>
      <c r="H42" s="20" t="n">
        <v>0</v>
      </c>
      <c r="I42" s="15" t="n">
        <f aca="false">'INVEST ET FINANCEMENT'!G$54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2027'!H43</f>
        <v>-0</v>
      </c>
      <c r="E43" s="15" t="n">
        <f aca="false">'BALANCE 2027'!I43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MAX(0,-(E43-D43+HYPOTHESES!G$30))</f>
        <v>-0</v>
      </c>
      <c r="I43" s="15" t="n">
        <f aca="false">MAX(0,(E43-D43+HYPOTHESES!G$30))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2027'!H44</f>
        <v>0</v>
      </c>
      <c r="E44" s="15" t="n">
        <f aca="false">'BALANCE 2027'!I44</f>
        <v>12736111.1111111</v>
      </c>
      <c r="F44" s="15" t="n">
        <f aca="false">'INVEST ET FINANCEMENT'!G$41+(H44-I44)-(D44-E44)</f>
        <v>60444444.4444444</v>
      </c>
      <c r="G44" s="15" t="n">
        <f aca="false">'INVEST ET FINANCEMENT'!G$41</f>
        <v>75000000</v>
      </c>
      <c r="H44" s="20" t="n">
        <v>0</v>
      </c>
      <c r="I44" s="15" t="n">
        <f aca="false">HYPOTHESES!G$28</f>
        <v>27291666.6666667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2027'!H45</f>
        <v>364045280.245567</v>
      </c>
      <c r="E45" s="37" t="n">
        <f aca="false">'BALANCE 2027'!I45</f>
        <v>0</v>
      </c>
      <c r="F45" s="37" t="n">
        <f aca="false">G26+HYPOTHESES!G$50+'INVEST ET FINANCEMENT'!G$47+'INVEST ET FINANCEMENT'!G$51</f>
        <v>998781270.158248</v>
      </c>
      <c r="G45" s="37" t="n">
        <f aca="false">G26+HYPOTHESES!G$50+'INVEST ET FINANCEMENT'!G$47+'INVEST ET FINANCEMENT'!G$51+(D45-E45)-(H45-I45)</f>
        <v>871199843.26606</v>
      </c>
      <c r="H45" s="32" t="n">
        <f aca="false">MAX(0,(SUM(I5:I44)+SUM(I46:I94)-SUM(H5:H44)-SUM(H46:H94)))</f>
        <v>491626707.137755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2027'!H46</f>
        <v>5545693</v>
      </c>
      <c r="E46" s="15" t="n">
        <f aca="false">'BALANCE 2027'!I46</f>
        <v>0</v>
      </c>
      <c r="F46" s="15" t="n">
        <f aca="false">HYPOTHESES!G$29*G45</f>
        <v>174239968.653212</v>
      </c>
      <c r="G46" s="15" t="n">
        <f aca="false">HYPOTHESES!G$29*G45+(D46-E46)-(H46-I46)</f>
        <v>174239968.653212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2027'!H47</f>
        <v>0</v>
      </c>
      <c r="E47" s="15" t="n">
        <f aca="false">'BALANCE 2027'!I47</f>
        <v>0</v>
      </c>
      <c r="F47" s="15" t="n">
        <f aca="false">HYPOTHESES!G$29*G45</f>
        <v>174239968.653212</v>
      </c>
      <c r="G47" s="15" t="n">
        <f aca="false">HYPOTHESES!G$29*G45+(D47-E47)-(H47-I47)</f>
        <v>174239968.653212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1548960.80562316</v>
      </c>
      <c r="G48" s="32" t="n">
        <f aca="false">MAX(0,(D48-E48)-(H48-I48))</f>
        <v>0</v>
      </c>
      <c r="H48" s="37" t="n">
        <f aca="false">IF(HYPOTHESES!$C$42=0,0,'BALANCE 2024'!$H$48*HYPOTHESES!G$42/HYPOTHESES!$C$42)</f>
        <v>1548960.80562316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154321.537079643</v>
      </c>
      <c r="G49" s="20" t="n">
        <f aca="false">MAX(0,(D49-E49)-(H49-I49))</f>
        <v>0</v>
      </c>
      <c r="H49" s="15" t="n">
        <f aca="false">IF(HYPOTHESES!$C$42=0,0,'BALANCE 2024'!$H$49*HYPOTHESES!G$42/HYPOTHESES!$C$42)</f>
        <v>154321.537079643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49503138.4401292</v>
      </c>
      <c r="G50" s="20" t="n">
        <f aca="false">MAX(0,(D50-E50)-(H50-I50))</f>
        <v>0</v>
      </c>
      <c r="H50" s="15" t="n">
        <f aca="false">IF(HYPOTHESES!$C$42=0,0,'BALANCE 2024'!$H$50*HYPOTHESES!G$42/HYPOTHESES!$C$42)</f>
        <v>49503138.4401292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24576108.6203285</v>
      </c>
      <c r="G51" s="20" t="n">
        <f aca="false">MAX(0,(D51-E51)-(H51-I51))</f>
        <v>0</v>
      </c>
      <c r="H51" s="15" t="n">
        <f aca="false">IF(HYPOTHESES!$C$42=0,0,'BALANCE 2024'!$H$51*HYPOTHESES!G$42/HYPOTHESES!$C$42)</f>
        <v>24576108.6203285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15947498.6482704</v>
      </c>
      <c r="G52" s="20" t="n">
        <f aca="false">MAX(0,(D52-E52)-(H52-I52))</f>
        <v>0</v>
      </c>
      <c r="H52" s="15" t="n">
        <f aca="false">IF(HYPOTHESES!$C$42=0,0,'BALANCE 2024'!$H$52*HYPOTHESES!G$42/HYPOTHESES!$C$42)</f>
        <v>15947498.6482704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4573089.87543056</v>
      </c>
      <c r="G53" s="20" t="n">
        <f aca="false">MAX(0,(D53-E53)-(H53-I53))</f>
        <v>0</v>
      </c>
      <c r="H53" s="15" t="n">
        <f aca="false">IF(HYPOTHESES!$C$42=0,0,'BALANCE 2024'!$H$53*HYPOTHESES!G$42/HYPOTHESES!$C$42)</f>
        <v>4573089.87543056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99300542.7408344</v>
      </c>
      <c r="G54" s="20" t="n">
        <f aca="false">MAX(0,(D54-E54)-(H54-I54))</f>
        <v>0</v>
      </c>
      <c r="H54" s="15" t="n">
        <f aca="false">IF(HYPOTHESES!$C$42=0,0,'BALANCE 2024'!$H$54*HYPOTHESES!G$42/HYPOTHESES!$C$42)</f>
        <v>99300542.7408344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148950814.111252</v>
      </c>
      <c r="G55" s="20" t="n">
        <f aca="false">MAX(0,(D55-E55)-(H55-I55))</f>
        <v>0</v>
      </c>
      <c r="H55" s="15" t="n">
        <f aca="false">IF(HYPOTHESES!$C$42=0,0,'BALANCE 2024'!$H$55*HYPOTHESES!G$42/HYPOTHESES!$C$42)</f>
        <v>148950814.111252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115264.137144861</v>
      </c>
      <c r="G56" s="20" t="n">
        <f aca="false">MAX(0,(D56-E56)-(H56-I56))</f>
        <v>0</v>
      </c>
      <c r="H56" s="15" t="n">
        <f aca="false">IF(HYPOTHESES!$C$43=0,0,'BALANCE 2024'!$H$56*HYPOTHESES!G$43/HYPOTHESES!$C$43)</f>
        <v>115264.137144861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1923352.83652966</v>
      </c>
      <c r="G57" s="20" t="n">
        <f aca="false">MAX(0,(D57-E57)-(H57-I57))</f>
        <v>0</v>
      </c>
      <c r="H57" s="15" t="n">
        <f aca="false">IF(HYPOTHESES!$C$43=0,0,'BALANCE 2024'!$H$57*HYPOTHESES!G$43/HYPOTHESES!$C$43)</f>
        <v>1923352.83652966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2650380.41495027</v>
      </c>
      <c r="G58" s="20" t="n">
        <f aca="false">MAX(0,(D58-E58)-(H58-I58))</f>
        <v>0</v>
      </c>
      <c r="H58" s="15" t="n">
        <f aca="false">IF(HYPOTHESES!$C$43=0,0,'BALANCE 2024'!$H$58*HYPOTHESES!G$43/HYPOTHESES!$C$43)</f>
        <v>2650380.41495027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20604676.6067119</v>
      </c>
      <c r="G59" s="20" t="n">
        <f aca="false">MAX(0,(D59-E59)-(H59-I59))</f>
        <v>0</v>
      </c>
      <c r="H59" s="15" t="n">
        <f aca="false">IF(HYPOTHESES!$C$44=0,0,'BALANCE 2024'!$H$59*HYPOTHESES!G$44/HYPOTHESES!$C$44)</f>
        <v>20604676.6067119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42365361.5254728</v>
      </c>
      <c r="G60" s="20" t="n">
        <f aca="false">MAX(0,(D60-E60)-(H60-I60))</f>
        <v>0</v>
      </c>
      <c r="H60" s="15" t="n">
        <f aca="false">IF(HYPOTHESES!$C$44=0,0,'BALANCE 2024'!$H$60*HYPOTHESES!G$44/HYPOTHESES!$C$44)</f>
        <v>42365361.5254728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5684867.92151294</v>
      </c>
      <c r="G61" s="20" t="n">
        <f aca="false">MAX(0,(D61-E61)-(H61-I61))</f>
        <v>0</v>
      </c>
      <c r="H61" s="15" t="n">
        <f aca="false">IF(HYPOTHESES!$C$44=0,0,'BALANCE 2024'!$H$61*HYPOTHESES!G$44/HYPOTHESES!$C$44)</f>
        <v>5684867.92151294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39636.0712072319</v>
      </c>
      <c r="G62" s="20" t="n">
        <f aca="false">MAX(0,(D62-E62)-(H62-I62))</f>
        <v>0</v>
      </c>
      <c r="H62" s="15" t="n">
        <f aca="false">IF(HYPOTHESES!$C$44=0,0,'BALANCE 2024'!$H$62*HYPOTHESES!G$44/HYPOTHESES!$C$44)</f>
        <v>39636.0712072319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72459.6926757207</v>
      </c>
      <c r="G63" s="20" t="n">
        <f aca="false">MAX(0,(D63-E63)-(H63-I63))</f>
        <v>0</v>
      </c>
      <c r="H63" s="15" t="n">
        <f aca="false">IF(HYPOTHESES!$C$44=0,0,'BALANCE 2024'!$H$63*HYPOTHESES!G$44/HYPOTHESES!$C$44)</f>
        <v>72459.6926757207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983524.51642735</v>
      </c>
      <c r="G64" s="20" t="n">
        <f aca="false">MAX(0,(D64-E64)-(H64-I64))</f>
        <v>0</v>
      </c>
      <c r="H64" s="15" t="n">
        <f aca="false">IF(HYPOTHESES!$C$44=0,0,'BALANCE 2024'!$H$64*HYPOTHESES!G$44/HYPOTHESES!$C$44)</f>
        <v>983524.51642735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27980792.1527202</v>
      </c>
      <c r="G65" s="20" t="n">
        <f aca="false">MAX(0,(D65-E65)-(H65-I65))</f>
        <v>0</v>
      </c>
      <c r="H65" s="15" t="n">
        <f aca="false">IF(HYPOTHESES!$C$44=0,0,'BALANCE 2024'!$H$65*HYPOTHESES!G$44/HYPOTHESES!$C$44)</f>
        <v>27980792.1527202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5887244.74658817</v>
      </c>
      <c r="G66" s="20" t="n">
        <f aca="false">MAX(0,(D66-E66)-(H66-I66))</f>
        <v>0</v>
      </c>
      <c r="H66" s="15" t="n">
        <f aca="false">IF(HYPOTHESES!$C$44=0,0,'BALANCE 2024'!$H$66*HYPOTHESES!G$44/HYPOTHESES!$C$44)</f>
        <v>5887244.74658817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28628529.7828977</v>
      </c>
      <c r="G67" s="20" t="n">
        <f aca="false">MAX(0,(D67-E67)-(H67-I67))</f>
        <v>0</v>
      </c>
      <c r="H67" s="15" t="n">
        <f aca="false">IF(HYPOTHESES!$C$44=0,0,'BALANCE 2024'!$H$67*HYPOTHESES!G$44/HYPOTHESES!$C$44)</f>
        <v>28628529.7828977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445680.119952653</v>
      </c>
      <c r="G68" s="20" t="n">
        <f aca="false">MAX(0,(D68-E68)-(H68-I68))</f>
        <v>0</v>
      </c>
      <c r="H68" s="15" t="n">
        <f aca="false">IF(HYPOTHESES!$C$45=0,0,'BALANCE 2024'!$H$68*HYPOTHESES!G$45/HYPOTHESES!$C$45)</f>
        <v>445680.119952653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11210257.6711867</v>
      </c>
      <c r="G69" s="20" t="n">
        <f aca="false">MAX(0,(D69-E69)-(H69-I69))</f>
        <v>0</v>
      </c>
      <c r="H69" s="15" t="n">
        <f aca="false">IF(HYPOTHESES!$C$45=0,0,'BALANCE 2024'!$H$69*HYPOTHESES!G$45/HYPOTHESES!$C$45)</f>
        <v>11210257.6711867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1917284.92602798</v>
      </c>
      <c r="G70" s="20" t="n">
        <f aca="false">MAX(0,(D70-E70)-(H70-I70))</f>
        <v>0</v>
      </c>
      <c r="H70" s="15" t="n">
        <f aca="false">IF(HYPOTHESES!$C$45=0,0,'BALANCE 2024'!$H$70*HYPOTHESES!G$45/HYPOTHESES!$C$45)</f>
        <v>1917284.92602798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1023300.12541629</v>
      </c>
      <c r="G71" s="20" t="n">
        <f aca="false">MAX(0,(D71-E71)-(H71-I71))</f>
        <v>0</v>
      </c>
      <c r="H71" s="15" t="n">
        <f aca="false">IF(HYPOTHESES!$C$45=0,0,'BALANCE 2024'!$H$71*HYPOTHESES!G$45/HYPOTHESES!$C$45)</f>
        <v>1023300.12541629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128833.74267498</v>
      </c>
      <c r="G72" s="20" t="n">
        <f aca="false">MAX(0,(D72-E72)-(H72-I72))</f>
        <v>0</v>
      </c>
      <c r="H72" s="15" t="n">
        <f aca="false">IF(HYPOTHESES!$C$45=0,0,'BALANCE 2024'!$H$72*HYPOTHESES!G$45/HYPOTHESES!$C$45)</f>
        <v>128833.74267498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386517.322029272</v>
      </c>
      <c r="G73" s="20" t="n">
        <f aca="false">MAX(0,(D73-E73)-(H73-I73))</f>
        <v>0</v>
      </c>
      <c r="H73" s="15" t="n">
        <f aca="false">IF(HYPOTHESES!$C$45=0,0,'BALANCE 2024'!$H$73*HYPOTHESES!G$45/HYPOTHESES!$C$45)</f>
        <v>386517.322029272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262066.100533826</v>
      </c>
      <c r="G74" s="20" t="n">
        <f aca="false">MAX(0,(D74-E74)-(H74-I74))</f>
        <v>0</v>
      </c>
      <c r="H74" s="15" t="n">
        <f aca="false">IF(HYPOTHESES!$C$45=0,0,'BALANCE 2024'!$H$74*HYPOTHESES!G$45/HYPOTHESES!$C$45)</f>
        <v>262066.100533826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2136351.56098871</v>
      </c>
      <c r="G75" s="20" t="n">
        <f aca="false">MAX(0,(D75-E75)-(H75-I75))</f>
        <v>0</v>
      </c>
      <c r="H75" s="15" t="n">
        <f aca="false">IF(HYPOTHESES!$C$45=0,0,'BALANCE 2024'!$H$75*HYPOTHESES!G$45/HYPOTHESES!$C$45)</f>
        <v>2136351.56098871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898364.845790563</v>
      </c>
      <c r="G76" s="20" t="n">
        <f aca="false">MAX(0,(D76-E76)-(H76-I76))</f>
        <v>0</v>
      </c>
      <c r="H76" s="15" t="n">
        <f aca="false">IF(HYPOTHESES!$C$45=0,0,'BALANCE 2024'!$H$76*HYPOTHESES!G$45/HYPOTHESES!$C$45)</f>
        <v>898364.845790563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1649832.41451613</v>
      </c>
      <c r="G77" s="20" t="n">
        <f aca="false">MAX(0,(D77-E77)-(H77-I77))</f>
        <v>0</v>
      </c>
      <c r="H77" s="15" t="n">
        <f aca="false">IF(HYPOTHESES!$C$46=0,0,'BALANCE 2024'!$H$77*HYPOTHESES!G$46/HYPOTHESES!$C$46)</f>
        <v>1649832.41451613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73034429.8057478</v>
      </c>
      <c r="G78" s="20" t="n">
        <f aca="false">MAX(0,(D78-E78)-(H78-I78))</f>
        <v>0</v>
      </c>
      <c r="H78" s="15" t="n">
        <f aca="false">IF(HYPOTHESES!$C$47=0,0,'BALANCE 2024'!$H$78*HYPOTHESES!G$47/HYPOTHESES!$C$47)</f>
        <v>73034429.8057478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24689324.1393008</v>
      </c>
      <c r="G79" s="20" t="n">
        <f aca="false">MAX(0,(D79-E79)-(H79-I79))</f>
        <v>0</v>
      </c>
      <c r="H79" s="15" t="n">
        <f aca="false">IF(HYPOTHESES!$C$47=0,0,'BALANCE 2024'!$H$79*HYPOTHESES!G$47/HYPOTHESES!$C$47)</f>
        <v>24689324.1393008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8146286.12518605</v>
      </c>
      <c r="G80" s="20" t="n">
        <f aca="false">MAX(0,(D80-E80)-(H80-I80))</f>
        <v>0</v>
      </c>
      <c r="H80" s="15" t="n">
        <f aca="false">IF(HYPOTHESES!$C$47=0,0,'BALANCE 2024'!$H$80*HYPOTHESES!G$47/HYPOTHESES!$C$47)</f>
        <v>8146286.12518605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8226696.69960276</v>
      </c>
      <c r="G81" s="20" t="n">
        <f aca="false">MAX(0,(D81-E81)-(H81-I81))</f>
        <v>0</v>
      </c>
      <c r="H81" s="15" t="n">
        <f aca="false">IF(HYPOTHESES!$C$47=0,0,'BALANCE 2024'!$H$81*HYPOTHESES!G$47/HYPOTHESES!$C$47)</f>
        <v>8226696.69960276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8520525.42834057</v>
      </c>
      <c r="G82" s="20" t="n">
        <f aca="false">MAX(0,(D82-E82)-(H82-I82))</f>
        <v>0</v>
      </c>
      <c r="H82" s="15" t="n">
        <f aca="false">IF(HYPOTHESES!$C$47=0,0,'BALANCE 2024'!$H$82*HYPOTHESES!G$47/HYPOTHESES!$C$47)</f>
        <v>8520525.42834057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8674664.68331613</v>
      </c>
      <c r="G83" s="20" t="n">
        <f aca="false">MAX(0,(D83-E83)-(H83-I83))</f>
        <v>0</v>
      </c>
      <c r="H83" s="15" t="n">
        <f aca="false">IF(HYPOTHESES!$C$47=0,0,'BALANCE 2024'!$H$83*HYPOTHESES!G$47/HYPOTHESES!$C$47)</f>
        <v>8674664.68331613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FINANCEMENT'!G$64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FINANCEMENT'!G$65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3816481</v>
      </c>
      <c r="G86" s="20" t="n">
        <f aca="false">MAX(0,(D86-E86)-(H86-I86))</f>
        <v>0</v>
      </c>
      <c r="H86" s="15" t="n">
        <f aca="false">'INVEST ET FINANCEMENT'!G$31</f>
        <v>3816481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62854932</v>
      </c>
      <c r="G87" s="20" t="n">
        <f aca="false">MAX(0,(D87-E87)-(H87-I87))</f>
        <v>0</v>
      </c>
      <c r="H87" s="15" t="n">
        <f aca="false">'INVEST ET FINANCEMENT'!G$34</f>
        <v>62854932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FINANCEMENT'!G$37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24093971.3333333</v>
      </c>
      <c r="G89" s="20" t="n">
        <f aca="false">MAX(0,(D89-E89)-(H89-I89))</f>
        <v>0</v>
      </c>
      <c r="H89" s="15" t="n">
        <f aca="false">'INVEST ET FINANCEMENT'!G$40</f>
        <v>24093971.3333333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HYPOTHESES!G$49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868332849.745332</v>
      </c>
      <c r="H91" s="32" t="n">
        <v>0</v>
      </c>
      <c r="I91" s="37" t="n">
        <f aca="false">HYPOTHESES!G$41</f>
        <v>868332849.745332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HYPOTHESES!G$50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33628945.6294002</v>
      </c>
      <c r="G93" s="32" t="n">
        <f aca="false">MAX(0,(D93-E93)-(H93-I93))</f>
        <v>0</v>
      </c>
      <c r="H93" s="37" t="n">
        <f aca="false">IF(HYPOTHESES!G$53&gt;=HYPOTHESES!G$54,HYPOTHESES!G$55,0)</f>
        <v>33628945.6294002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IF(HYPOTHESES!G$53&lt;HYPOTHESES!G$54,HYPOTHESES!G$55,0)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2122934916.07043</v>
      </c>
      <c r="E96" s="36" t="n">
        <f aca="false">SUM(E5:E94)</f>
        <v>2122934916.07043</v>
      </c>
      <c r="F96" s="36" t="n">
        <f aca="false">SUM(F5:F94)</f>
        <v>4258385907.99962</v>
      </c>
      <c r="G96" s="36" t="n">
        <f aca="false">SUM(G5:G94)</f>
        <v>4258385907.99962</v>
      </c>
      <c r="H96" s="36" t="n">
        <f aca="false">SUM(H5:H94)</f>
        <v>3120511036.361</v>
      </c>
      <c r="I96" s="36" t="n">
        <f aca="false">SUM(I5:I94)</f>
        <v>3120511036.361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2028'!H5</f>
        <v>0</v>
      </c>
      <c r="E5" s="37" t="n">
        <f aca="false">'BALANCE 2028'!I5</f>
        <v>10000000</v>
      </c>
      <c r="F5" s="37" t="n">
        <f aca="false">'INVEST ET FINANCEMENT'!H$51+(H5-I5)-(D5-E5)</f>
        <v>0</v>
      </c>
      <c r="G5" s="37" t="n">
        <f aca="false">'INVEST ET FINANCEMENT'!H$51</f>
        <v>0</v>
      </c>
      <c r="H5" s="32" t="n">
        <v>0</v>
      </c>
      <c r="I5" s="37" t="n">
        <f aca="false">E5+'INVEST ET FINANCEMENT'!H$51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2028'!H6</f>
        <v>0</v>
      </c>
      <c r="E6" s="15" t="n">
        <f aca="false">'BALANCE 2028'!I6</f>
        <v>2000000</v>
      </c>
      <c r="F6" s="15" t="n">
        <f aca="false">HYPOTHESES!H$57+(H6-I6)-(D6-E6)</f>
        <v>0</v>
      </c>
      <c r="G6" s="15" t="n">
        <f aca="false">HYPOTHESES!H$57</f>
        <v>0</v>
      </c>
      <c r="H6" s="20" t="n">
        <v>0</v>
      </c>
      <c r="I6" s="15" t="n">
        <f aca="false">E6+HYPOTHESES!H$57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2028'!H7</f>
        <v>0</v>
      </c>
      <c r="E7" s="15" t="n">
        <f aca="false">'BALANCE 2028'!I7</f>
        <v>1114503458.41581</v>
      </c>
      <c r="F7" s="20" t="n">
        <f aca="false">MAX(0,(H7-I7)-(D7-E7))</f>
        <v>0</v>
      </c>
      <c r="G7" s="20" t="n">
        <f aca="false">MAX(0,(D7-E7)-(H7-I7))</f>
        <v>100886836.888201</v>
      </c>
      <c r="H7" s="15" t="n">
        <f aca="false">MAX(0,-(E7-D7+HYPOTHESES!H$59))</f>
        <v>0</v>
      </c>
      <c r="I7" s="15" t="n">
        <f aca="false">MAX(0,(E7-D7+HYPOTHESES!H$59))</f>
        <v>1215390295.30401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2028'!I48:I94)-SUM('BALANCE 2028'!H48:H94)))</f>
        <v>0</v>
      </c>
      <c r="E8" s="15" t="n">
        <f aca="false">MAX(0,(SUM('BALANCE 2028'!I48:I94)-SUM('BALANCE 2028'!H48:H94)))</f>
        <v>100886836.8882</v>
      </c>
      <c r="F8" s="20" t="n">
        <f aca="false">MAX(0,(H8-I8)-(D8-E8))</f>
        <v>100886836.8882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2028'!H9</f>
        <v>0</v>
      </c>
      <c r="E9" s="15" t="n">
        <f aca="false">'BALANCE 2028'!I9</f>
        <v>0</v>
      </c>
      <c r="F9" s="15" t="n">
        <f aca="false">'INVEST ET FINANCEMENT'!H$47+(H9-I9)-(D9-E9)</f>
        <v>0</v>
      </c>
      <c r="G9" s="15" t="n">
        <f aca="false">'INVEST ET FINANCEMENT'!H$47</f>
        <v>0</v>
      </c>
      <c r="H9" s="20" t="n">
        <v>0</v>
      </c>
      <c r="I9" s="15" t="n">
        <f aca="false">E9+'INVEST ET FINANCEMENT'!H$47-'INVEST ET FINANCEMENT'!H$48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2028'!H10</f>
        <v>0</v>
      </c>
      <c r="E10" s="15" t="n">
        <f aca="false">'BALANCE 2028'!I10</f>
        <v>0</v>
      </c>
      <c r="F10" s="15" t="n">
        <f aca="false">'INVEST ET FINANCEMENT'!H$49</f>
        <v>0</v>
      </c>
      <c r="G10" s="15" t="n">
        <f aca="false">'INVEST ET FINANCEMENT'!H$49+(D10-E10)-(H10-I10)</f>
        <v>0</v>
      </c>
      <c r="H10" s="20" t="n">
        <v>0</v>
      </c>
      <c r="I10" s="15" t="n">
        <f aca="false">E10-'INVEST ET FINANCEMENT'!H$49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2028'!H11</f>
        <v>0</v>
      </c>
      <c r="E11" s="15" t="n">
        <f aca="false">'BALANCE 2028'!I11</f>
        <v>45511080</v>
      </c>
      <c r="F11" s="15" t="n">
        <f aca="false">HYPOTHESES!H$20+(H11-I11)-(D11-E11)</f>
        <v>0</v>
      </c>
      <c r="G11" s="15" t="n">
        <f aca="false">HYPOTHESES!H$20</f>
        <v>6059296</v>
      </c>
      <c r="H11" s="20" t="n">
        <v>0</v>
      </c>
      <c r="I11" s="15" t="n">
        <f aca="false">E11+HYPOTHESES!H$20</f>
        <v>51570376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2028'!H12</f>
        <v>103601492</v>
      </c>
      <c r="E12" s="37" t="n">
        <f aca="false">'BALANCE 2028'!I12</f>
        <v>0</v>
      </c>
      <c r="F12" s="37" t="n">
        <f aca="false">'INVEST ET FINANCEMENT'!H$9</f>
        <v>0</v>
      </c>
      <c r="G12" s="37" t="n">
        <f aca="false">'INVEST ET FINANCEMENT'!H$9+(D12-E12)-(H12-I12)</f>
        <v>0</v>
      </c>
      <c r="H12" s="37" t="n">
        <f aca="false">D12+'INVEST ET FINANCEMENT'!H$9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2028'!H13</f>
        <v>403845268</v>
      </c>
      <c r="E13" s="15" t="n">
        <f aca="false">'BALANCE 2028'!I13</f>
        <v>0</v>
      </c>
      <c r="F13" s="15" t="n">
        <f aca="false">'INVEST ET FINANCEMENT'!H$10</f>
        <v>30000000</v>
      </c>
      <c r="G13" s="15" t="n">
        <f aca="false">'INVEST ET FINANCEMENT'!H$10+(D13-E13)-(H13-I13)</f>
        <v>0</v>
      </c>
      <c r="H13" s="15" t="n">
        <f aca="false">D13+'INVEST ET FINANCEMENT'!H$10</f>
        <v>433845268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2028'!H14</f>
        <v>9306956</v>
      </c>
      <c r="E14" s="15" t="n">
        <f aca="false">'BALANCE 2028'!I14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2028'!H15</f>
        <v>28910459</v>
      </c>
      <c r="E15" s="15" t="n">
        <f aca="false">'BALANCE 2028'!I15</f>
        <v>0</v>
      </c>
      <c r="F15" s="15" t="n">
        <f aca="false">'INVEST ET FINANCEMENT'!H$11</f>
        <v>5000000</v>
      </c>
      <c r="G15" s="15" t="n">
        <f aca="false">'INVEST ET FINANCEMENT'!H$11+(D15-E15)-(H15-I15)</f>
        <v>0</v>
      </c>
      <c r="H15" s="15" t="n">
        <f aca="false">D15+'INVEST ET FINANCEMENT'!H$11</f>
        <v>33910459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2028'!H16</f>
        <v>463638205</v>
      </c>
      <c r="E16" s="15" t="n">
        <f aca="false">'BALANCE 2028'!I16</f>
        <v>0</v>
      </c>
      <c r="F16" s="15" t="n">
        <f aca="false">'INVEST ET FINANCEMENT'!H$12</f>
        <v>0</v>
      </c>
      <c r="G16" s="15" t="n">
        <f aca="false">'INVEST ET FINANCEMENT'!H$12+(D16-E16)-(H16-I16)</f>
        <v>0</v>
      </c>
      <c r="H16" s="15" t="n">
        <f aca="false">D16+'INVEST ET FINANCEMENT'!H$12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2028'!H17</f>
        <v>28619694</v>
      </c>
      <c r="E17" s="15" t="n">
        <f aca="false">'BALANCE 2028'!I17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2028'!H18</f>
        <v>25000000</v>
      </c>
      <c r="E18" s="15" t="n">
        <f aca="false">'BALANCE 2028'!I18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2028'!H19</f>
        <v>231420138</v>
      </c>
      <c r="E19" s="15" t="n">
        <f aca="false">'BALANCE 2028'!I19</f>
        <v>0</v>
      </c>
      <c r="F19" s="15" t="n">
        <f aca="false">'INVEST ET FINANCEMENT'!H$13</f>
        <v>0</v>
      </c>
      <c r="G19" s="15" t="n">
        <f aca="false">'INVEST ET FINANCEMENT'!H$13+(D19-E19)-(H19-I19)</f>
        <v>0</v>
      </c>
      <c r="H19" s="15" t="n">
        <f aca="false">D19+'INVEST ET FINANCEMENT'!H$13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2028'!H20</f>
        <v>0</v>
      </c>
      <c r="E20" s="15" t="n">
        <f aca="false">'BALANCE 2028'!I20</f>
        <v>103601492</v>
      </c>
      <c r="F20" s="15" t="n">
        <f aca="false">'INVEST ET FINANCEMENT'!H$31+(H20-I20)-(D20-E20)</f>
        <v>0</v>
      </c>
      <c r="G20" s="15" t="n">
        <f aca="false">'INVEST ET FINANCEMENT'!H$31</f>
        <v>0</v>
      </c>
      <c r="H20" s="20" t="n">
        <v>0</v>
      </c>
      <c r="I20" s="15" t="n">
        <f aca="false">E20+'INVEST ET FINANCEMENT'!H$31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2028'!H21</f>
        <v>0</v>
      </c>
      <c r="E21" s="15" t="n">
        <f aca="false">'BALANCE 2028'!I21</f>
        <v>254753613</v>
      </c>
      <c r="F21" s="15" t="n">
        <f aca="false">'INVEST ET FINANCEMENT'!H$34+(H21-I21)-(D21-E21)</f>
        <v>0</v>
      </c>
      <c r="G21" s="15" t="n">
        <f aca="false">'INVEST ET FINANCEMENT'!H$34</f>
        <v>68854932</v>
      </c>
      <c r="H21" s="20" t="n">
        <v>0</v>
      </c>
      <c r="I21" s="15" t="n">
        <f aca="false">E21+'INVEST ET FINANCEMENT'!H$34</f>
        <v>323608545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2028'!H22</f>
        <v>0</v>
      </c>
      <c r="E22" s="15" t="n">
        <f aca="false">'BALANCE 2028'!I22</f>
        <v>35717415</v>
      </c>
      <c r="F22" s="15" t="n">
        <f aca="false">'INVEST ET FINANCEMENT'!H$37+(H22-I22)-(D22-E22)</f>
        <v>0</v>
      </c>
      <c r="G22" s="15" t="n">
        <f aca="false">'INVEST ET FINANCEMENT'!H$37</f>
        <v>5000000</v>
      </c>
      <c r="H22" s="20" t="n">
        <v>0</v>
      </c>
      <c r="I22" s="15" t="n">
        <f aca="false">E22+'INVEST ET FINANCEMENT'!H$37</f>
        <v>40717415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2028'!H23</f>
        <v>0</v>
      </c>
      <c r="E23" s="15" t="n">
        <f aca="false">'BALANCE 2028'!I23</f>
        <v>437878181.333333</v>
      </c>
      <c r="F23" s="15" t="n">
        <f aca="false">'INVEST ET FINANCEMENT'!H$40+(H23-I23)-(D23-E23)</f>
        <v>0</v>
      </c>
      <c r="G23" s="15" t="n">
        <f aca="false">'INVEST ET FINANCEMENT'!H$40</f>
        <v>24093971.3333333</v>
      </c>
      <c r="H23" s="20" t="n">
        <v>0</v>
      </c>
      <c r="I23" s="15" t="n">
        <f aca="false">E23+'INVEST ET FINANCEMENT'!H$40</f>
        <v>461972152.666667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2028'!H24</f>
        <v>0</v>
      </c>
      <c r="E24" s="37" t="n">
        <f aca="false">'BALANCE 2028'!I24</f>
        <v>89958487.2618374</v>
      </c>
      <c r="F24" s="37" t="n">
        <f aca="false">HYPOTHESES!H$48*(1+HYPOTHESES!H$10)+(H24-I24)-(D24-E24)</f>
        <v>592068885.899619</v>
      </c>
      <c r="G24" s="37" t="n">
        <f aca="false">HYPOTHESES!H$48*(1+HYPOTHESES!H$10)</f>
        <v>596566810.262711</v>
      </c>
      <c r="H24" s="32" t="n">
        <v>0</v>
      </c>
      <c r="I24" s="37" t="n">
        <f aca="false">HYPOTHESES!H$48*(1+HYPOTHESES!H$10)*HYPOTHESES!H$23/360</f>
        <v>94456411.6249293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2028'!H25</f>
        <v>0</v>
      </c>
      <c r="E25" s="15" t="n">
        <f aca="false">'BALANCE 2028'!I25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2028'!H26</f>
        <v>560701817.36611</v>
      </c>
      <c r="E26" s="15" t="n">
        <f aca="false">'BALANCE 2028'!I26</f>
        <v>0</v>
      </c>
      <c r="F26" s="15" t="n">
        <f aca="false">HYPOTHESES!H$41*(1+HYPOTHESES!H$10)</f>
        <v>1075864400.83447</v>
      </c>
      <c r="G26" s="15" t="n">
        <f aca="false">HYPOTHESES!H$41*(1+HYPOTHESES!H$10)+(D26-E26)-(H26-I26)</f>
        <v>1047829309.96616</v>
      </c>
      <c r="H26" s="15" t="n">
        <f aca="false">HYPOTHESES!H$41*(1+HYPOTHESES!H$10)*HYPOTHESES!H$22/360</f>
        <v>588736908.234416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2028'!H27</f>
        <v>0</v>
      </c>
      <c r="E27" s="15" t="n">
        <f aca="false">'BALANCE 2028'!I27</f>
        <v>13804065.8252485</v>
      </c>
      <c r="F27" s="15" t="n">
        <f aca="false">IF(HYPOTHESES!$C$47=0,0,'BALANCE 2024'!$G$27*HYPOTHESES!H$47/HYPOTHESES!$C$47)+(H27-I27)-(D27-E27)</f>
        <v>104981477.528101</v>
      </c>
      <c r="G27" s="15" t="n">
        <f aca="false">IF(HYPOTHESES!$C$47=0,0,'BALANCE 2024'!$G$27*HYPOTHESES!H$47/HYPOTHESES!$C$47)</f>
        <v>105671680.819364</v>
      </c>
      <c r="H27" s="20" t="n">
        <v>0</v>
      </c>
      <c r="I27" s="15" t="n">
        <f aca="false">IF(HYPOTHESES!$C$47=0,0,'BALANCE 2024'!$I$27*HYPOTHESES!H$47/HYPOTHESES!$C$47)</f>
        <v>14494269.1165109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2028'!H28</f>
        <v>0</v>
      </c>
      <c r="E28" s="15" t="n">
        <f aca="false">'BALANCE 2028'!I28</f>
        <v>6017390.90608156</v>
      </c>
      <c r="F28" s="15" t="n">
        <f aca="false">IF(HYPOTHESES!$C$47=0,0,'BALANCE 2024'!$G$28*HYPOTHESES!H$47/HYPOTHESES!$C$47)+(H28-I28)-(D28-E28)</f>
        <v>8807528.37217786</v>
      </c>
      <c r="G28" s="15" t="n">
        <f aca="false">IF(HYPOTHESES!$C$47=0,0,'BALANCE 2024'!$G$28*HYPOTHESES!H$47/HYPOTHESES!$C$47)</f>
        <v>9108397.91748194</v>
      </c>
      <c r="H28" s="20" t="n">
        <v>0</v>
      </c>
      <c r="I28" s="15" t="n">
        <f aca="false">IF(HYPOTHESES!$C$47=0,0,'BALANCE 2024'!$I$28*HYPOTHESES!H$47/HYPOTHESES!$C$47)</f>
        <v>6318260.45138564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2028'!H29</f>
        <v>0</v>
      </c>
      <c r="E29" s="15" t="n">
        <f aca="false">'BALANCE 2028'!I29</f>
        <v>1488944.1408697</v>
      </c>
      <c r="F29" s="15" t="n">
        <f aca="false">IF(HYPOTHESES!$C$47=0,0,'BALANCE 2024'!$G$29*HYPOTHESES!H$47/HYPOTHESES!$C$47)+(H29-I29)-(D29-E29)</f>
        <v>14825283.8971709</v>
      </c>
      <c r="G29" s="15" t="n">
        <f aca="false">IF(HYPOTHESES!$C$47=0,0,'BALANCE 2024'!$G$29*HYPOTHESES!H$47/HYPOTHESES!$C$47)</f>
        <v>14899731.1042144</v>
      </c>
      <c r="H29" s="20" t="n">
        <v>0</v>
      </c>
      <c r="I29" s="15" t="n">
        <f aca="false">IF(HYPOTHESES!$C$47=0,0,'BALANCE 2024'!$I$29*HYPOTHESES!H$47/HYPOTHESES!$C$47)</f>
        <v>1563391.34791319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2028'!H30</f>
        <v>0</v>
      </c>
      <c r="E30" s="15" t="n">
        <f aca="false">'BALANCE 2028'!I30</f>
        <v>200528.637425957</v>
      </c>
      <c r="F30" s="15" t="n">
        <f aca="false">IF(HYPOTHESES!$C$47=0,0,'BALANCE 2024'!$G$30*HYPOTHESES!H$47/HYPOTHESES!$C$47)+(H30-I30)-(D30-E30)</f>
        <v>493964.947304696</v>
      </c>
      <c r="G30" s="15" t="n">
        <f aca="false">IF(HYPOTHESES!$C$47=0,0,'BALANCE 2024'!$G$30*HYPOTHESES!H$47/HYPOTHESES!$C$47)</f>
        <v>503991.379175994</v>
      </c>
      <c r="H30" s="20" t="n">
        <v>0</v>
      </c>
      <c r="I30" s="15" t="n">
        <f aca="false">IF(HYPOTHESES!$C$47=0,0,'BALANCE 2024'!$I$30*HYPOTHESES!H$47/HYPOTHESES!$C$47)</f>
        <v>210555.069297255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2028'!H31</f>
        <v>0</v>
      </c>
      <c r="E31" s="15" t="n">
        <f aca="false">'BALANCE 2028'!I31</f>
        <v>0</v>
      </c>
      <c r="F31" s="15" t="n">
        <f aca="false">IF(HYPOTHESES!$C$47=0,0,'BALANCE 2024'!$G$31*HYPOTHESES!H$47/HYPOTHESES!$C$47)+(H31-I31)-(D31-E31)</f>
        <v>0</v>
      </c>
      <c r="G31" s="15" t="n">
        <f aca="false">IF(HYPOTHESES!$C$47=0,0,'BALANCE 2024'!$G$31*HYPOTHESES!H$47/HYPOTHESES!$C$47)</f>
        <v>0</v>
      </c>
      <c r="H31" s="20" t="n">
        <v>0</v>
      </c>
      <c r="I31" s="15" t="n">
        <f aca="false">IF(HYPOTHESES!$C$47=0,0,'BALANCE 2024'!$I$31*HYPOTHESES!H$47/HYPOTHESES!$C$47)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2028'!H32</f>
        <v>0</v>
      </c>
      <c r="E32" s="15" t="n">
        <f aca="false">'BALANCE 2028'!I32</f>
        <v>33628945.6294002</v>
      </c>
      <c r="F32" s="15" t="n">
        <f aca="false">HYPOTHESES!H$55+(H32-I32)-(D32-E32)</f>
        <v>33628945.6294002</v>
      </c>
      <c r="G32" s="15" t="n">
        <f aca="false">HYPOTHESES!H$55</f>
        <v>36026714.2400368</v>
      </c>
      <c r="H32" s="20" t="n">
        <v>0</v>
      </c>
      <c r="I32" s="15" t="n">
        <f aca="false">HYPOTHESES!H$55</f>
        <v>36026714.2400368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2028'!H33</f>
        <v>0</v>
      </c>
      <c r="E33" s="15" t="n">
        <f aca="false">'BALANCE 2028'!I33</f>
        <v>898364.845790563</v>
      </c>
      <c r="F33" s="15" t="n">
        <f aca="false">IF(HYPOTHESES!$C$45=0,0,'BALANCE 2024'!$G$33*HYPOTHESES!H$45/HYPOTHESES!$C$45)+(H33-I33)-(D33-E33)</f>
        <v>898364.845790563</v>
      </c>
      <c r="G33" s="15" t="n">
        <f aca="false">IF(HYPOTHESES!$C$45=0,0,'BALANCE 2024'!$G$33*HYPOTHESES!H$45/HYPOTHESES!$C$45)</f>
        <v>943283.088080091</v>
      </c>
      <c r="H33" s="20" t="n">
        <v>0</v>
      </c>
      <c r="I33" s="15" t="n">
        <f aca="false">IF(HYPOTHESES!$C$45=0,0,'BALANCE 2024'!$I$33*HYPOTHESES!H$45/HYPOTHESES!$C$45)</f>
        <v>943283.088080091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2028'!H34</f>
        <v>0</v>
      </c>
      <c r="E34" s="15" t="n">
        <f aca="false">'BALANCE 2028'!I34</f>
        <v>128833.74267498</v>
      </c>
      <c r="F34" s="15" t="n">
        <f aca="false">IF(HYPOTHESES!$C$45=0,0,'BALANCE 2024'!$G$34*HYPOTHESES!H$45/HYPOTHESES!$C$45)+(H34-I34)-(D34-E34)</f>
        <v>128833.74267498</v>
      </c>
      <c r="G34" s="15" t="n">
        <f aca="false">IF(HYPOTHESES!$C$45=0,0,'BALANCE 2024'!$G$34*HYPOTHESES!H$45/HYPOTHESES!$C$45)</f>
        <v>135275.429808729</v>
      </c>
      <c r="H34" s="20" t="n">
        <v>0</v>
      </c>
      <c r="I34" s="15" t="n">
        <f aca="false">IF(HYPOTHESES!$C$45=0,0,'BALANCE 2024'!$I$34*HYPOTHESES!H$45/HYPOTHESES!$C$45)</f>
        <v>135275.429808729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2028'!H35</f>
        <v>0</v>
      </c>
      <c r="E35" s="15" t="n">
        <f aca="false">'BALANCE 2028'!I35</f>
        <v>193259.280014802</v>
      </c>
      <c r="F35" s="15" t="n">
        <f aca="false">IF(HYPOTHESES!$C$45=0,0,'BALANCE 2024'!$G$35*HYPOTHESES!H$45/HYPOTHESES!$C$45)+(H35-I35)-(D35-E35)</f>
        <v>193259.280014802</v>
      </c>
      <c r="G35" s="15" t="n">
        <f aca="false">IF(HYPOTHESES!$C$45=0,0,'BALANCE 2024'!$G$35*HYPOTHESES!H$45/HYPOTHESES!$C$45)</f>
        <v>202922.244015543</v>
      </c>
      <c r="H35" s="20" t="n">
        <v>0</v>
      </c>
      <c r="I35" s="15" t="n">
        <f aca="false">IF(HYPOTHESES!$C$45=0,0,'BALANCE 2024'!$I$35*HYPOTHESES!H$45/HYPOTHESES!$C$45)</f>
        <v>202922.244015543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2028'!H36</f>
        <v>0</v>
      </c>
      <c r="E36" s="15" t="n">
        <f aca="false">'BALANCE 2028'!I36</f>
        <v>193258.042014469</v>
      </c>
      <c r="F36" s="15" t="n">
        <f aca="false">IF(HYPOTHESES!$C$45=0,0,'BALANCE 2024'!$G$36*HYPOTHESES!H$45/HYPOTHESES!$C$45)+(H36-I36)-(D36-E36)</f>
        <v>193258.042014469</v>
      </c>
      <c r="G36" s="15" t="n">
        <f aca="false">IF(HYPOTHESES!$C$45=0,0,'BALANCE 2024'!$G$36*HYPOTHESES!H$45/HYPOTHESES!$C$45)</f>
        <v>202920.944115193</v>
      </c>
      <c r="H36" s="20" t="n">
        <v>0</v>
      </c>
      <c r="I36" s="15" t="n">
        <f aca="false">IF(HYPOTHESES!$C$45=0,0,'BALANCE 2024'!$I$36*HYPOTHESES!H$45/HYPOTHESES!$C$45)</f>
        <v>202920.944115193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2028'!H37</f>
        <v>0</v>
      </c>
      <c r="E37" s="15" t="n">
        <f aca="false">'BALANCE 2028'!I37</f>
        <v>455101.302488319</v>
      </c>
      <c r="F37" s="15" t="n">
        <f aca="false">IF(HYPOTHESES!$C$45=0,0,'BALANCE 2024'!$G$37*HYPOTHESES!H$45/HYPOTHESES!$C$45)+(H37-I37)-(D37-E37)</f>
        <v>1051710.06656269</v>
      </c>
      <c r="G37" s="15" t="n">
        <f aca="false">IF(HYPOTHESES!$C$45=0,0,'BALANCE 2024'!$G$37*HYPOTHESES!H$45/HYPOTHESES!$C$45)</f>
        <v>1074465.1316871</v>
      </c>
      <c r="H37" s="20" t="n">
        <v>0</v>
      </c>
      <c r="I37" s="15" t="n">
        <f aca="false">IF(HYPOTHESES!$C$45=0,0,'BALANCE 2024'!$I$37*HYPOTHESES!H$45/HYPOTHESES!$C$45)</f>
        <v>477856.367612735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2028'!H38</f>
        <v>0</v>
      </c>
      <c r="E38" s="15" t="n">
        <f aca="false">'BALANCE 2028'!I38</f>
        <v>6190001.66600907</v>
      </c>
      <c r="F38" s="15" t="n">
        <f aca="false">IF(HYPOTHESES!$C$45=0,0,'BALANCE 2024'!$G$38*HYPOTHESES!H$45/HYPOTHESES!$C$45)+(H38-I38)-(D38-E38)</f>
        <v>11461270.4714456</v>
      </c>
      <c r="G38" s="15" t="n">
        <f aca="false">IF(HYPOTHESES!$C$45=0,0,'BALANCE 2024'!$G$38*HYPOTHESES!H$45/HYPOTHESES!$C$45)</f>
        <v>11770770.5547461</v>
      </c>
      <c r="H38" s="20" t="n">
        <v>0</v>
      </c>
      <c r="I38" s="15" t="n">
        <f aca="false">IF(HYPOTHESES!$C$45=0,0,'BALANCE 2024'!$I$38*HYPOTHESES!H$45/HYPOTHESES!$C$45)</f>
        <v>6499501.74930953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2028'!H39</f>
        <v>0</v>
      </c>
      <c r="E39" s="15" t="n">
        <f aca="false">'BALANCE 2028'!I39</f>
        <v>64647439.3362351</v>
      </c>
      <c r="F39" s="15" t="n">
        <f aca="false">HYPOTHESES!H$41*HYPOTHESES!H$10+(H39-I39)-(D39-E39)</f>
        <v>160882536.635056</v>
      </c>
      <c r="G39" s="15" t="n">
        <f aca="false">HYPOTHESES!H$41*HYPOTHESES!H$10</f>
        <v>164114908.601868</v>
      </c>
      <c r="H39" s="20" t="n">
        <v>0</v>
      </c>
      <c r="I39" s="15" t="n">
        <f aca="false">IF('BALANCE 2024'!$H$26=0,0,'BALANCE 2024'!$I$39*H26/'BALANCE 2024'!$H$26)</f>
        <v>67879811.3030468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2028'!H40</f>
        <v>0</v>
      </c>
      <c r="E40" s="15" t="n">
        <f aca="false">'BALANCE 2028'!I40</f>
        <v>247600.066640363</v>
      </c>
      <c r="F40" s="15" t="n">
        <f aca="false">IF(HYPOTHESES!$C$45=0,0,'BALANCE 2024'!$G$40*HYPOTHESES!H$45/HYPOTHESES!$C$45)+(H40-I40)-(D40-E40)</f>
        <v>262789.402228499</v>
      </c>
      <c r="G40" s="15" t="n">
        <f aca="false">IF(HYPOTHESES!$C$45=0,0,'BALANCE 2024'!$G$40*HYPOTHESES!H$45/HYPOTHESES!$C$45)</f>
        <v>275169.405560518</v>
      </c>
      <c r="H40" s="20" t="n">
        <v>0</v>
      </c>
      <c r="I40" s="15" t="n">
        <f aca="false">IF(HYPOTHESES!$C$45=0,0,'BALANCE 2024'!$I$40*HYPOTHESES!H$45/HYPOTHESES!$C$45)</f>
        <v>259980.069972381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2028'!H41</f>
        <v>0</v>
      </c>
      <c r="E41" s="15" t="n">
        <f aca="false">'BALANCE 2028'!I41</f>
        <v>2020465.51712639</v>
      </c>
      <c r="F41" s="15" t="n">
        <f aca="false">IF(HYPOTHESES!$C$47=0,0,'BALANCE 2024'!$G$41*HYPOTHESES!H$47/HYPOTHESES!$C$47)+(H41-I41)-(D41-E41)</f>
        <v>7571698.72947669</v>
      </c>
      <c r="G41" s="15" t="n">
        <f aca="false">IF(HYPOTHESES!$C$47=0,0,'BALANCE 2024'!$G$41*HYPOTHESES!H$47/HYPOTHESES!$C$47)</f>
        <v>7672722.00533301</v>
      </c>
      <c r="H41" s="20" t="n">
        <v>0</v>
      </c>
      <c r="I41" s="15" t="n">
        <f aca="false">IF(HYPOTHESES!$C$47=0,0,'BALANCE 2024'!$I$41*HYPOTHESES!H$47/HYPOTHESES!$C$47)</f>
        <v>2121488.79298271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2028'!H42</f>
        <v>0</v>
      </c>
      <c r="E42" s="15" t="n">
        <f aca="false">'BALANCE 2028'!I42</f>
        <v>0</v>
      </c>
      <c r="F42" s="15" t="n">
        <f aca="false">'INVEST ET FINANCEMENT'!H$53+(H42-I42)-(D42-E42)</f>
        <v>0</v>
      </c>
      <c r="G42" s="15" t="n">
        <f aca="false">'INVEST ET FINANCEMENT'!H$53</f>
        <v>0</v>
      </c>
      <c r="H42" s="20" t="n">
        <v>0</v>
      </c>
      <c r="I42" s="15" t="n">
        <f aca="false">'INVEST ET FINANCEMENT'!H$54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2028'!H43</f>
        <v>-0</v>
      </c>
      <c r="E43" s="15" t="n">
        <f aca="false">'BALANCE 2028'!I43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MAX(0,-(E43-D43+HYPOTHESES!H$30))</f>
        <v>-0</v>
      </c>
      <c r="I43" s="15" t="n">
        <f aca="false">MAX(0,(E43-D43+HYPOTHESES!H$30))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2028'!H44</f>
        <v>0</v>
      </c>
      <c r="E44" s="15" t="n">
        <f aca="false">'BALANCE 2028'!I44</f>
        <v>27291666.6666667</v>
      </c>
      <c r="F44" s="15" t="n">
        <f aca="false">'INVEST ET FINANCEMENT'!H$41+(H44-I44)-(D44-E44)</f>
        <v>49555555.5555556</v>
      </c>
      <c r="G44" s="15" t="n">
        <f aca="false">'INVEST ET FINANCEMENT'!H$41</f>
        <v>35000000</v>
      </c>
      <c r="H44" s="20" t="n">
        <v>0</v>
      </c>
      <c r="I44" s="15" t="n">
        <f aca="false">HYPOTHESES!H$28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2028'!H45</f>
        <v>491626707.137755</v>
      </c>
      <c r="E45" s="37" t="n">
        <f aca="false">'BALANCE 2028'!I45</f>
        <v>0</v>
      </c>
      <c r="F45" s="37" t="n">
        <f aca="false">G26+HYPOTHESES!H$50+'INVEST ET FINANCEMENT'!H$47+'INVEST ET FINANCEMENT'!H$51</f>
        <v>1048677903.96616</v>
      </c>
      <c r="G45" s="37" t="n">
        <f aca="false">G26+HYPOTHESES!H$50+'INVEST ET FINANCEMENT'!H$47+'INVEST ET FINANCEMENT'!H$51+(D45-E45)-(H45-I45)</f>
        <v>902460252.697418</v>
      </c>
      <c r="H45" s="32" t="n">
        <f aca="false">MAX(0,(SUM(I5:I44)+SUM(I46:I94)-SUM(H5:H44)-SUM(H46:H94)))</f>
        <v>637844358.406498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2028'!H46</f>
        <v>5545693</v>
      </c>
      <c r="E46" s="15" t="n">
        <f aca="false">'BALANCE 2028'!I46</f>
        <v>0</v>
      </c>
      <c r="F46" s="15" t="n">
        <f aca="false">HYPOTHESES!H$29*G45</f>
        <v>180492050.539484</v>
      </c>
      <c r="G46" s="15" t="n">
        <f aca="false">HYPOTHESES!H$29*G45+(D46-E46)-(H46-I46)</f>
        <v>180492050.539484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2028'!H47</f>
        <v>0</v>
      </c>
      <c r="E47" s="15" t="n">
        <f aca="false">'BALANCE 2028'!I47</f>
        <v>0</v>
      </c>
      <c r="F47" s="15" t="n">
        <f aca="false">HYPOTHESES!H$29*G45</f>
        <v>180492050.539484</v>
      </c>
      <c r="G47" s="15" t="n">
        <f aca="false">HYPOTHESES!H$29*G45+(D47-E47)-(H47-I47)</f>
        <v>180492050.539484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1626408.84590432</v>
      </c>
      <c r="G48" s="32" t="n">
        <f aca="false">MAX(0,(D48-E48)-(H48-I48))</f>
        <v>0</v>
      </c>
      <c r="H48" s="37" t="n">
        <f aca="false">IF(HYPOTHESES!$C$42=0,0,'BALANCE 2024'!$H$48*HYPOTHESES!H$42/HYPOTHESES!$C$42)</f>
        <v>1626408.84590432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162037.613933625</v>
      </c>
      <c r="G49" s="20" t="n">
        <f aca="false">MAX(0,(D49-E49)-(H49-I49))</f>
        <v>0</v>
      </c>
      <c r="H49" s="15" t="n">
        <f aca="false">IF(HYPOTHESES!$C$42=0,0,'BALANCE 2024'!$H$49*HYPOTHESES!H$42/HYPOTHESES!$C$42)</f>
        <v>162037.613933625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51978295.3621357</v>
      </c>
      <c r="G50" s="20" t="n">
        <f aca="false">MAX(0,(D50-E50)-(H50-I50))</f>
        <v>0</v>
      </c>
      <c r="H50" s="15" t="n">
        <f aca="false">IF(HYPOTHESES!$C$42=0,0,'BALANCE 2024'!$H$50*HYPOTHESES!H$42/HYPOTHESES!$C$42)</f>
        <v>51978295.3621357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25804914.0513449</v>
      </c>
      <c r="G51" s="20" t="n">
        <f aca="false">MAX(0,(D51-E51)-(H51-I51))</f>
        <v>0</v>
      </c>
      <c r="H51" s="15" t="n">
        <f aca="false">IF(HYPOTHESES!$C$42=0,0,'BALANCE 2024'!$H$51*HYPOTHESES!H$42/HYPOTHESES!$C$42)</f>
        <v>25804914.0513449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16744873.5806839</v>
      </c>
      <c r="G52" s="20" t="n">
        <f aca="false">MAX(0,(D52-E52)-(H52-I52))</f>
        <v>0</v>
      </c>
      <c r="H52" s="15" t="n">
        <f aca="false">IF(HYPOTHESES!$C$42=0,0,'BALANCE 2024'!$H$52*HYPOTHESES!H$42/HYPOTHESES!$C$42)</f>
        <v>16744873.5806839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4801744.36920208</v>
      </c>
      <c r="G53" s="20" t="n">
        <f aca="false">MAX(0,(D53-E53)-(H53-I53))</f>
        <v>0</v>
      </c>
      <c r="H53" s="15" t="n">
        <f aca="false">IF(HYPOTHESES!$C$42=0,0,'BALANCE 2024'!$H$53*HYPOTHESES!H$42/HYPOTHESES!$C$42)</f>
        <v>4801744.36920208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104265569.877876</v>
      </c>
      <c r="G54" s="20" t="n">
        <f aca="false">MAX(0,(D54-E54)-(H54-I54))</f>
        <v>0</v>
      </c>
      <c r="H54" s="15" t="n">
        <f aca="false">IF(HYPOTHESES!$C$42=0,0,'BALANCE 2024'!$H$54*HYPOTHESES!H$42/HYPOTHESES!$C$42)</f>
        <v>104265569.877876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156398354.816814</v>
      </c>
      <c r="G55" s="20" t="n">
        <f aca="false">MAX(0,(D55-E55)-(H55-I55))</f>
        <v>0</v>
      </c>
      <c r="H55" s="15" t="n">
        <f aca="false">IF(HYPOTHESES!$C$42=0,0,'BALANCE 2024'!$H$55*HYPOTHESES!H$42/HYPOTHESES!$C$42)</f>
        <v>156398354.816814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121027.344002105</v>
      </c>
      <c r="G56" s="20" t="n">
        <f aca="false">MAX(0,(D56-E56)-(H56-I56))</f>
        <v>0</v>
      </c>
      <c r="H56" s="15" t="n">
        <f aca="false">IF(HYPOTHESES!$C$43=0,0,'BALANCE 2024'!$H$56*HYPOTHESES!H$43/HYPOTHESES!$C$43)</f>
        <v>121027.344002105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2019520.47835614</v>
      </c>
      <c r="G57" s="20" t="n">
        <f aca="false">MAX(0,(D57-E57)-(H57-I57))</f>
        <v>0</v>
      </c>
      <c r="H57" s="15" t="n">
        <f aca="false">IF(HYPOTHESES!$C$43=0,0,'BALANCE 2024'!$H$57*HYPOTHESES!H$43/HYPOTHESES!$C$43)</f>
        <v>2019520.47835614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2782899.43569778</v>
      </c>
      <c r="G58" s="20" t="n">
        <f aca="false">MAX(0,(D58-E58)-(H58-I58))</f>
        <v>0</v>
      </c>
      <c r="H58" s="15" t="n">
        <f aca="false">IF(HYPOTHESES!$C$43=0,0,'BALANCE 2024'!$H$58*HYPOTHESES!H$43/HYPOTHESES!$C$43)</f>
        <v>2782899.43569778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21634910.4370475</v>
      </c>
      <c r="G59" s="20" t="n">
        <f aca="false">MAX(0,(D59-E59)-(H59-I59))</f>
        <v>0</v>
      </c>
      <c r="H59" s="15" t="n">
        <f aca="false">IF(HYPOTHESES!$C$44=0,0,'BALANCE 2024'!$H$59*HYPOTHESES!H$44/HYPOTHESES!$C$44)</f>
        <v>21634910.4370475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44483629.6017465</v>
      </c>
      <c r="G60" s="20" t="n">
        <f aca="false">MAX(0,(D60-E60)-(H60-I60))</f>
        <v>0</v>
      </c>
      <c r="H60" s="15" t="n">
        <f aca="false">IF(HYPOTHESES!$C$44=0,0,'BALANCE 2024'!$H$60*HYPOTHESES!H$44/HYPOTHESES!$C$44)</f>
        <v>44483629.6017465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5969111.31758859</v>
      </c>
      <c r="G61" s="20" t="n">
        <f aca="false">MAX(0,(D61-E61)-(H61-I61))</f>
        <v>0</v>
      </c>
      <c r="H61" s="15" t="n">
        <f aca="false">IF(HYPOTHESES!$C$44=0,0,'BALANCE 2024'!$H$61*HYPOTHESES!H$44/HYPOTHESES!$C$44)</f>
        <v>5969111.31758859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41617.8747675934</v>
      </c>
      <c r="G62" s="20" t="n">
        <f aca="false">MAX(0,(D62-E62)-(H62-I62))</f>
        <v>0</v>
      </c>
      <c r="H62" s="15" t="n">
        <f aca="false">IF(HYPOTHESES!$C$44=0,0,'BALANCE 2024'!$H$62*HYPOTHESES!H$44/HYPOTHESES!$C$44)</f>
        <v>41617.8747675934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76082.6773095068</v>
      </c>
      <c r="G63" s="20" t="n">
        <f aca="false">MAX(0,(D63-E63)-(H63-I63))</f>
        <v>0</v>
      </c>
      <c r="H63" s="15" t="n">
        <f aca="false">IF(HYPOTHESES!$C$44=0,0,'BALANCE 2024'!$H$63*HYPOTHESES!H$44/HYPOTHESES!$C$44)</f>
        <v>76082.6773095068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1032700.74224872</v>
      </c>
      <c r="G64" s="20" t="n">
        <f aca="false">MAX(0,(D64-E64)-(H64-I64))</f>
        <v>0</v>
      </c>
      <c r="H64" s="15" t="n">
        <f aca="false">IF(HYPOTHESES!$C$44=0,0,'BALANCE 2024'!$H$64*HYPOTHESES!H$44/HYPOTHESES!$C$44)</f>
        <v>1032700.74224872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29379831.7603562</v>
      </c>
      <c r="G65" s="20" t="n">
        <f aca="false">MAX(0,(D65-E65)-(H65-I65))</f>
        <v>0</v>
      </c>
      <c r="H65" s="15" t="n">
        <f aca="false">IF(HYPOTHESES!$C$44=0,0,'BALANCE 2024'!$H$65*HYPOTHESES!H$44/HYPOTHESES!$C$44)</f>
        <v>29379831.7603562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6181606.98391757</v>
      </c>
      <c r="G66" s="20" t="n">
        <f aca="false">MAX(0,(D66-E66)-(H66-I66))</f>
        <v>0</v>
      </c>
      <c r="H66" s="15" t="n">
        <f aca="false">IF(HYPOTHESES!$C$44=0,0,'BALANCE 2024'!$H$66*HYPOTHESES!H$44/HYPOTHESES!$C$44)</f>
        <v>6181606.98391757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30059956.2720425</v>
      </c>
      <c r="G67" s="20" t="n">
        <f aca="false">MAX(0,(D67-E67)-(H67-I67))</f>
        <v>0</v>
      </c>
      <c r="H67" s="15" t="n">
        <f aca="false">IF(HYPOTHESES!$C$44=0,0,'BALANCE 2024'!$H$67*HYPOTHESES!H$44/HYPOTHESES!$C$44)</f>
        <v>30059956.2720425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467964.125950286</v>
      </c>
      <c r="G68" s="20" t="n">
        <f aca="false">MAX(0,(D68-E68)-(H68-I68))</f>
        <v>0</v>
      </c>
      <c r="H68" s="15" t="n">
        <f aca="false">IF(HYPOTHESES!$C$45=0,0,'BALANCE 2024'!$H$68*HYPOTHESES!H$45/HYPOTHESES!$C$45)</f>
        <v>467964.125950286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11770770.5547461</v>
      </c>
      <c r="G69" s="20" t="n">
        <f aca="false">MAX(0,(D69-E69)-(H69-I69))</f>
        <v>0</v>
      </c>
      <c r="H69" s="15" t="n">
        <f aca="false">IF(HYPOTHESES!$C$45=0,0,'BALANCE 2024'!$H$69*HYPOTHESES!H$45/HYPOTHESES!$C$45)</f>
        <v>11770770.5547461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2013149.17232938</v>
      </c>
      <c r="G70" s="20" t="n">
        <f aca="false">MAX(0,(D70-E70)-(H70-I70))</f>
        <v>0</v>
      </c>
      <c r="H70" s="15" t="n">
        <f aca="false">IF(HYPOTHESES!$C$45=0,0,'BALANCE 2024'!$H$70*HYPOTHESES!H$45/HYPOTHESES!$C$45)</f>
        <v>2013149.17232938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1074465.1316871</v>
      </c>
      <c r="G71" s="20" t="n">
        <f aca="false">MAX(0,(D71-E71)-(H71-I71))</f>
        <v>0</v>
      </c>
      <c r="H71" s="15" t="n">
        <f aca="false">IF(HYPOTHESES!$C$45=0,0,'BALANCE 2024'!$H$71*HYPOTHESES!H$45/HYPOTHESES!$C$45)</f>
        <v>1074465.1316871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135275.429808729</v>
      </c>
      <c r="G72" s="20" t="n">
        <f aca="false">MAX(0,(D72-E72)-(H72-I72))</f>
        <v>0</v>
      </c>
      <c r="H72" s="15" t="n">
        <f aca="false">IF(HYPOTHESES!$C$45=0,0,'BALANCE 2024'!$H$72*HYPOTHESES!H$45/HYPOTHESES!$C$45)</f>
        <v>135275.429808729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405843.188130735</v>
      </c>
      <c r="G73" s="20" t="n">
        <f aca="false">MAX(0,(D73-E73)-(H73-I73))</f>
        <v>0</v>
      </c>
      <c r="H73" s="15" t="n">
        <f aca="false">IF(HYPOTHESES!$C$45=0,0,'BALANCE 2024'!$H$73*HYPOTHESES!H$45/HYPOTHESES!$C$45)</f>
        <v>405843.188130735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275169.405560518</v>
      </c>
      <c r="G74" s="20" t="n">
        <f aca="false">MAX(0,(D74-E74)-(H74-I74))</f>
        <v>0</v>
      </c>
      <c r="H74" s="15" t="n">
        <f aca="false">IF(HYPOTHESES!$C$45=0,0,'BALANCE 2024'!$H$74*HYPOTHESES!H$45/HYPOTHESES!$C$45)</f>
        <v>275169.405560518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2243169.13903815</v>
      </c>
      <c r="G75" s="20" t="n">
        <f aca="false">MAX(0,(D75-E75)-(H75-I75))</f>
        <v>0</v>
      </c>
      <c r="H75" s="15" t="n">
        <f aca="false">IF(HYPOTHESES!$C$45=0,0,'BALANCE 2024'!$H$75*HYPOTHESES!H$45/HYPOTHESES!$C$45)</f>
        <v>2243169.13903815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943283.088080091</v>
      </c>
      <c r="G76" s="20" t="n">
        <f aca="false">MAX(0,(D76-E76)-(H76-I76))</f>
        <v>0</v>
      </c>
      <c r="H76" s="15" t="n">
        <f aca="false">IF(HYPOTHESES!$C$45=0,0,'BALANCE 2024'!$H$76*HYPOTHESES!H$45/HYPOTHESES!$C$45)</f>
        <v>943283.088080091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1732324.03524194</v>
      </c>
      <c r="G77" s="20" t="n">
        <f aca="false">MAX(0,(D77-E77)-(H77-I77))</f>
        <v>0</v>
      </c>
      <c r="H77" s="15" t="n">
        <f aca="false">IF(HYPOTHESES!$C$46=0,0,'BALANCE 2024'!$H$77*HYPOTHESES!H$46/HYPOTHESES!$C$46)</f>
        <v>1732324.03524194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76686151.2960352</v>
      </c>
      <c r="G78" s="20" t="n">
        <f aca="false">MAX(0,(D78-E78)-(H78-I78))</f>
        <v>0</v>
      </c>
      <c r="H78" s="15" t="n">
        <f aca="false">IF(HYPOTHESES!$C$47=0,0,'BALANCE 2024'!$H$78*HYPOTHESES!H$47/HYPOTHESES!$C$47)</f>
        <v>76686151.2960352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25923790.3462659</v>
      </c>
      <c r="G79" s="20" t="n">
        <f aca="false">MAX(0,(D79-E79)-(H79-I79))</f>
        <v>0</v>
      </c>
      <c r="H79" s="15" t="n">
        <f aca="false">IF(HYPOTHESES!$C$47=0,0,'BALANCE 2024'!$H$79*HYPOTHESES!H$47/HYPOTHESES!$C$47)</f>
        <v>25923790.3462659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8553600.43144536</v>
      </c>
      <c r="G80" s="20" t="n">
        <f aca="false">MAX(0,(D80-E80)-(H80-I80))</f>
        <v>0</v>
      </c>
      <c r="H80" s="15" t="n">
        <f aca="false">IF(HYPOTHESES!$C$47=0,0,'BALANCE 2024'!$H$80*HYPOTHESES!H$47/HYPOTHESES!$C$47)</f>
        <v>8553600.43144536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8638031.5345829</v>
      </c>
      <c r="G81" s="20" t="n">
        <f aca="false">MAX(0,(D81-E81)-(H81-I81))</f>
        <v>0</v>
      </c>
      <c r="H81" s="15" t="n">
        <f aca="false">IF(HYPOTHESES!$C$47=0,0,'BALANCE 2024'!$H$81*HYPOTHESES!H$47/HYPOTHESES!$C$47)</f>
        <v>8638031.5345829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8946551.6997576</v>
      </c>
      <c r="G82" s="20" t="n">
        <f aca="false">MAX(0,(D82-E82)-(H82-I82))</f>
        <v>0</v>
      </c>
      <c r="H82" s="15" t="n">
        <f aca="false">IF(HYPOTHESES!$C$47=0,0,'BALANCE 2024'!$H$82*HYPOTHESES!H$47/HYPOTHESES!$C$47)</f>
        <v>8946551.6997576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9108397.91748194</v>
      </c>
      <c r="G83" s="20" t="n">
        <f aca="false">MAX(0,(D83-E83)-(H83-I83))</f>
        <v>0</v>
      </c>
      <c r="H83" s="15" t="n">
        <f aca="false">IF(HYPOTHESES!$C$47=0,0,'BALANCE 2024'!$H$83*HYPOTHESES!H$47/HYPOTHESES!$C$47)</f>
        <v>9108397.91748194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FINANCEMENT'!H$64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FINANCEMENT'!H$65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0</v>
      </c>
      <c r="G86" s="20" t="n">
        <f aca="false">MAX(0,(D86-E86)-(H86-I86))</f>
        <v>0</v>
      </c>
      <c r="H86" s="15" t="n">
        <f aca="false">'INVEST ET FINANCEMENT'!H$31</f>
        <v>0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68854932</v>
      </c>
      <c r="G87" s="20" t="n">
        <f aca="false">MAX(0,(D87-E87)-(H87-I87))</f>
        <v>0</v>
      </c>
      <c r="H87" s="15" t="n">
        <f aca="false">'INVEST ET FINANCEMENT'!H$34</f>
        <v>68854932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FINANCEMENT'!H$37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24093971.3333333</v>
      </c>
      <c r="G89" s="20" t="n">
        <f aca="false">MAX(0,(D89-E89)-(H89-I89))</f>
        <v>0</v>
      </c>
      <c r="H89" s="15" t="n">
        <f aca="false">'INVEST ET FINANCEMENT'!H$40</f>
        <v>24093971.3333333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HYPOTHESES!H$49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911749492.232598</v>
      </c>
      <c r="H91" s="32" t="n">
        <v>0</v>
      </c>
      <c r="I91" s="37" t="n">
        <f aca="false">HYPOTHESES!H$41</f>
        <v>911749492.232598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HYPOTHESES!H$50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36026714.2400368</v>
      </c>
      <c r="G93" s="32" t="n">
        <f aca="false">MAX(0,(D93-E93)-(H93-I93))</f>
        <v>0</v>
      </c>
      <c r="H93" s="37" t="n">
        <f aca="false">IF(HYPOTHESES!H$53&gt;=HYPOTHESES!H$54,HYPOTHESES!H$55,0)</f>
        <v>36026714.2400368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IF(HYPOTHESES!H$53&lt;HYPOTHESES!H$54,HYPOTHESES!H$55,0)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2352216429.50387</v>
      </c>
      <c r="E96" s="36" t="n">
        <f aca="false">SUM(E5:E94)</f>
        <v>2352216429.50387</v>
      </c>
      <c r="F96" s="36" t="n">
        <f aca="false">SUM(F5:F94)</f>
        <v>4412936549.32488</v>
      </c>
      <c r="G96" s="36" t="n">
        <f aca="false">SUM(G5:G94)</f>
        <v>4412936549.32488</v>
      </c>
      <c r="H96" s="36" t="n">
        <f aca="false">SUM(H5:H94)</f>
        <v>3365987115.1534</v>
      </c>
      <c r="I96" s="36" t="n">
        <f aca="false">SUM(I5:I94)</f>
        <v>3365987115.1534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330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331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333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334</v>
      </c>
    </row>
    <row r="6" customFormat="false" ht="15" hidden="false" customHeight="false" outlineLevel="0" collapsed="false">
      <c r="A6" s="13" t="s">
        <v>335</v>
      </c>
      <c r="B6" s="12" t="s">
        <v>336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337</v>
      </c>
      <c r="B7" s="12" t="s">
        <v>338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339</v>
      </c>
      <c r="B8" s="12" t="s">
        <v>340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216</v>
      </c>
      <c r="B9" s="12" t="s">
        <v>341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218</v>
      </c>
      <c r="B10" s="12" t="s">
        <v>342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222</v>
      </c>
      <c r="B11" s="12" t="s">
        <v>116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54379717.6666667</v>
      </c>
      <c r="H11" s="15" t="n">
        <f aca="false">SUMIFS('BALANCE 2029'!$H:$H,'BALANCE 2029'!$C:$C,"AN")-(SUMIFS('BALANCE 2029'!$I:$I,'BALANCE 2029'!$C:$C,"AN"))</f>
        <v>30285746.3333334</v>
      </c>
    </row>
    <row r="12" customFormat="false" ht="15" hidden="false" customHeight="false" outlineLevel="0" collapsed="false">
      <c r="A12" s="35" t="s">
        <v>144</v>
      </c>
      <c r="B12" s="35" t="s">
        <v>343</v>
      </c>
      <c r="C12" s="36" t="n">
        <f aca="false">C7+C8+C9+C10+C11</f>
        <v>402861180</v>
      </c>
      <c r="D12" s="36" t="n">
        <f aca="false">D7+D8+D9+D10+D11</f>
        <v>347538240</v>
      </c>
      <c r="E12" s="36" t="n">
        <f aca="false">E7+E8+E9+E10+E11</f>
        <v>288832912</v>
      </c>
      <c r="F12" s="36" t="n">
        <f aca="false">F7+F8+F9+F10+F11</f>
        <v>226736757</v>
      </c>
      <c r="G12" s="36" t="n">
        <f aca="false">G7+G8+G9+G10+G11</f>
        <v>205971372.666667</v>
      </c>
      <c r="H12" s="36" t="n">
        <f aca="false">H7+H8+H9+H10+H11</f>
        <v>143022469.333333</v>
      </c>
      <c r="I12" s="34"/>
    </row>
    <row r="13" customFormat="false" ht="15" hidden="false" customHeight="false" outlineLevel="0" collapsed="false">
      <c r="A13" s="13" t="s">
        <v>344</v>
      </c>
      <c r="B13" s="12" t="s">
        <v>345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346</v>
      </c>
      <c r="B14" s="12" t="s">
        <v>347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225</v>
      </c>
      <c r="B15" s="12" t="s">
        <v>348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5" t="s">
        <v>349</v>
      </c>
      <c r="B16" s="35" t="s">
        <v>350</v>
      </c>
      <c r="C16" s="36" t="n">
        <f aca="false">C14+C15</f>
        <v>256420138</v>
      </c>
      <c r="D16" s="36" t="n">
        <f aca="false">D14+D15</f>
        <v>256420138</v>
      </c>
      <c r="E16" s="36" t="n">
        <f aca="false">E14+E15</f>
        <v>256420138</v>
      </c>
      <c r="F16" s="36" t="n">
        <f aca="false">F14+F15</f>
        <v>256420138</v>
      </c>
      <c r="G16" s="36" t="n">
        <f aca="false">G14+G15</f>
        <v>256420138</v>
      </c>
      <c r="H16" s="36" t="n">
        <f aca="false">H14+H15</f>
        <v>256420138</v>
      </c>
      <c r="I16" s="34"/>
    </row>
    <row r="17" customFormat="false" ht="15" hidden="false" customHeight="false" outlineLevel="0" collapsed="false">
      <c r="A17" s="35" t="s">
        <v>351</v>
      </c>
      <c r="B17" s="35" t="s">
        <v>352</v>
      </c>
      <c r="C17" s="36" t="n">
        <f aca="false">C6+C12+C13+C16</f>
        <v>659281318</v>
      </c>
      <c r="D17" s="36" t="n">
        <f aca="false">D6+D12+D13+D16</f>
        <v>603958378</v>
      </c>
      <c r="E17" s="36" t="n">
        <f aca="false">E6+E12+E13+E16</f>
        <v>545253050</v>
      </c>
      <c r="F17" s="36" t="n">
        <f aca="false">F6+F12+F13+F16</f>
        <v>483156895</v>
      </c>
      <c r="G17" s="36" t="n">
        <f aca="false">G6+G12+G13+G16</f>
        <v>462391510.666667</v>
      </c>
      <c r="H17" s="36" t="n">
        <f aca="false">H6+H12+H13+H16</f>
        <v>399442607.333333</v>
      </c>
      <c r="I17" s="39" t="n">
        <f aca="false">IF(OR(C17&lt;=0,H17&lt;=0),"",(H17/C17)^(1/5)-1)</f>
        <v>-0.0953580484318308</v>
      </c>
    </row>
    <row r="18" customFormat="false" ht="15" hidden="false" customHeight="false" outlineLevel="0" collapsed="false">
      <c r="A18" s="13" t="s">
        <v>353</v>
      </c>
      <c r="B18" s="12" t="s">
        <v>354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355</v>
      </c>
      <c r="B19" s="12" t="s">
        <v>356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234</v>
      </c>
      <c r="B20" s="12" t="s">
        <v>357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236</v>
      </c>
      <c r="B21" s="12" t="s">
        <v>358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467144716.58425</v>
      </c>
      <c r="E21" s="15" t="n">
        <f aca="false">SUMIFS('BALANCE 2026'!$H:$H,'BALANCE 2026'!$C:$C,"BI")-(SUMIFS('BALANCE 2026'!$I:$I,'BALANCE 2026'!$C:$C,"BI"))</f>
        <v>508573076.976064</v>
      </c>
      <c r="F21" s="15" t="n">
        <f aca="false">SUMIFS('BALANCE 2027'!$H:$H,'BALANCE 2027'!$C:$C,"BI")-(SUMIFS('BALANCE 2027'!$I:$I,'BALANCE 2027'!$C:$C,"BI"))</f>
        <v>534001730.824867</v>
      </c>
      <c r="G21" s="15" t="n">
        <f aca="false">SUMIFS('BALANCE 2028'!$H:$H,'BALANCE 2028'!$C:$C,"BI")-(SUMIFS('BALANCE 2028'!$I:$I,'BALANCE 2028'!$C:$C,"BI"))</f>
        <v>560701817.36611</v>
      </c>
      <c r="H21" s="15" t="n">
        <f aca="false">SUMIFS('BALANCE 2029'!$H:$H,'BALANCE 2029'!$C:$C,"BI")-(SUMIFS('BALANCE 2029'!$I:$I,'BALANCE 2029'!$C:$C,"BI"))</f>
        <v>588736908.234416</v>
      </c>
    </row>
    <row r="22" customFormat="false" ht="15" hidden="false" customHeight="false" outlineLevel="0" collapsed="false">
      <c r="A22" s="13" t="s">
        <v>359</v>
      </c>
      <c r="B22" s="12" t="s">
        <v>360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5" t="s">
        <v>361</v>
      </c>
      <c r="B23" s="35" t="s">
        <v>362</v>
      </c>
      <c r="C23" s="36" t="n">
        <f aca="false">C20+C21+C22</f>
        <v>452271396</v>
      </c>
      <c r="D23" s="36" t="n">
        <f aca="false">D20+D21+D22</f>
        <v>467144716.58425</v>
      </c>
      <c r="E23" s="36" t="n">
        <f aca="false">E20+E21+E22</f>
        <v>508573076.976064</v>
      </c>
      <c r="F23" s="36" t="n">
        <f aca="false">F20+F21+F22</f>
        <v>534001730.824867</v>
      </c>
      <c r="G23" s="36" t="n">
        <f aca="false">G20+G21+G22</f>
        <v>560701817.36611</v>
      </c>
      <c r="H23" s="36" t="n">
        <f aca="false">H20+H21+H22</f>
        <v>588736908.234416</v>
      </c>
      <c r="I23" s="34"/>
    </row>
    <row r="24" customFormat="false" ht="15" hidden="false" customHeight="false" outlineLevel="0" collapsed="false">
      <c r="A24" s="35" t="s">
        <v>363</v>
      </c>
      <c r="B24" s="35" t="s">
        <v>364</v>
      </c>
      <c r="C24" s="36" t="n">
        <f aca="false">C18+C19+C23</f>
        <v>452271396</v>
      </c>
      <c r="D24" s="36" t="n">
        <f aca="false">D18+D19+D23</f>
        <v>467144716.58425</v>
      </c>
      <c r="E24" s="36" t="n">
        <f aca="false">E18+E19+E23</f>
        <v>508573076.976064</v>
      </c>
      <c r="F24" s="36" t="n">
        <f aca="false">F18+F19+F23</f>
        <v>534001730.824867</v>
      </c>
      <c r="G24" s="36" t="n">
        <f aca="false">G18+G19+G23</f>
        <v>560701817.36611</v>
      </c>
      <c r="H24" s="36" t="n">
        <f aca="false">H18+H19+H23</f>
        <v>588736908.234416</v>
      </c>
      <c r="I24" s="39" t="n">
        <f aca="false">IF(OR(C24&lt;=0,H24&lt;=0),"",(H24/C24)^(1/5)-1)</f>
        <v>0.054154891340537</v>
      </c>
    </row>
    <row r="25" customFormat="false" ht="15" hidden="false" customHeight="false" outlineLevel="0" collapsed="false">
      <c r="A25" s="13" t="s">
        <v>365</v>
      </c>
      <c r="B25" s="12" t="s">
        <v>366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367</v>
      </c>
      <c r="B26" s="12" t="s">
        <v>368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262</v>
      </c>
      <c r="B27" s="12" t="s">
        <v>369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154325994.25152</v>
      </c>
      <c r="E27" s="15" t="n">
        <f aca="false">SUMIFS('BALANCE 2026'!$H:$H,'BALANCE 2026'!$C:$C,"BS")+SUMIFS('BALANCE 2026'!$H:$H,'BALANCE 2026'!$C:$C,"TRESO")-(SUMIFS('BALANCE 2026'!$I:$I,'BALANCE 2026'!$C:$C,"BS"))</f>
        <v>225108073.567822</v>
      </c>
      <c r="F27" s="15" t="n">
        <f aca="false">SUMIFS('BALANCE 2027'!$H:$H,'BALANCE 2027'!$C:$C,"BS")+SUMIFS('BALANCE 2027'!$H:$H,'BALANCE 2027'!$C:$C,"TRESO")-(SUMIFS('BALANCE 2027'!$I:$I,'BALANCE 2027'!$C:$C,"BS"))</f>
        <v>369590973.245567</v>
      </c>
      <c r="G27" s="15" t="n">
        <f aca="false">SUMIFS('BALANCE 2028'!$H:$H,'BALANCE 2028'!$C:$C,"BS")+SUMIFS('BALANCE 2028'!$H:$H,'BALANCE 2028'!$C:$C,"TRESO")-(SUMIFS('BALANCE 2028'!$I:$I,'BALANCE 2028'!$C:$C,"BS"))</f>
        <v>497172400.137755</v>
      </c>
      <c r="H27" s="15" t="n">
        <f aca="false">SUMIFS('BALANCE 2029'!$H:$H,'BALANCE 2029'!$C:$C,"BS")+SUMIFS('BALANCE 2029'!$H:$H,'BALANCE 2029'!$C:$C,"TRESO")-(SUMIFS('BALANCE 2029'!$I:$I,'BALANCE 2029'!$C:$C,"BS"))</f>
        <v>643390051.406498</v>
      </c>
    </row>
    <row r="28" customFormat="false" ht="15" hidden="false" customHeight="false" outlineLevel="0" collapsed="false">
      <c r="A28" s="35" t="s">
        <v>370</v>
      </c>
      <c r="B28" s="35" t="s">
        <v>371</v>
      </c>
      <c r="C28" s="36" t="n">
        <f aca="false">C25+C26+C27</f>
        <v>128133958</v>
      </c>
      <c r="D28" s="36" t="n">
        <f aca="false">D25+D26+D27</f>
        <v>154325994.25152</v>
      </c>
      <c r="E28" s="36" t="n">
        <f aca="false">E25+E26+E27</f>
        <v>225108073.567822</v>
      </c>
      <c r="F28" s="36" t="n">
        <f aca="false">F25+F26+F27</f>
        <v>369590973.245567</v>
      </c>
      <c r="G28" s="36" t="n">
        <f aca="false">G25+G26+G27</f>
        <v>497172400.137755</v>
      </c>
      <c r="H28" s="36" t="n">
        <f aca="false">H25+H26+H27</f>
        <v>643390051.406498</v>
      </c>
      <c r="I28" s="34"/>
    </row>
    <row r="29" customFormat="false" ht="15" hidden="false" customHeight="false" outlineLevel="0" collapsed="false">
      <c r="A29" s="13" t="s">
        <v>372</v>
      </c>
      <c r="B29" s="12" t="s">
        <v>373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5" t="s">
        <v>374</v>
      </c>
      <c r="B30" s="35" t="s">
        <v>375</v>
      </c>
      <c r="C30" s="36" t="n">
        <f aca="false">C17+C24+C28+C29</f>
        <v>1239686672</v>
      </c>
      <c r="D30" s="36" t="n">
        <f aca="false">D17+D24+D28+D29</f>
        <v>1225429088.83577</v>
      </c>
      <c r="E30" s="36" t="n">
        <f aca="false">E17+E24+E28+E29</f>
        <v>1278934200.54389</v>
      </c>
      <c r="F30" s="36" t="n">
        <f aca="false">F17+F24+F28+F29</f>
        <v>1386749599.07043</v>
      </c>
      <c r="G30" s="36" t="n">
        <f aca="false">G17+G24+G28+G29</f>
        <v>1520265728.17053</v>
      </c>
      <c r="H30" s="36" t="n">
        <f aca="false">H17+H24+H28+H29</f>
        <v>1631569566.97425</v>
      </c>
      <c r="I30" s="39" t="n">
        <f aca="false">IF(OR(C30&lt;=0,H30&lt;=0),"",(H30/C30)^(1/5)-1)</f>
        <v>0.0564738037400829</v>
      </c>
    </row>
    <row r="32" customFormat="false" ht="15" hidden="false" customHeight="false" outlineLevel="0" collapsed="false">
      <c r="A32" s="27" t="s">
        <v>332</v>
      </c>
      <c r="B32" s="27" t="s">
        <v>376</v>
      </c>
      <c r="C32" s="27" t="str">
        <f aca="false">"Réel "&amp;HYPOTHESES!$C$5</f>
        <v>Réel 2024</v>
      </c>
      <c r="D32" s="38" t="n">
        <f aca="false">HYPOTHESES!$C$5+1</f>
        <v>2025</v>
      </c>
      <c r="E32" s="38" t="n">
        <f aca="false">HYPOTHESES!$C$5+2</f>
        <v>2026</v>
      </c>
      <c r="F32" s="38" t="n">
        <f aca="false">HYPOTHESES!$C$5+3</f>
        <v>2027</v>
      </c>
      <c r="G32" s="38" t="n">
        <f aca="false">HYPOTHESES!$C$5+4</f>
        <v>2028</v>
      </c>
      <c r="H32" s="38" t="n">
        <f aca="false">HYPOTHESES!$C$5+5</f>
        <v>2029</v>
      </c>
      <c r="I32" s="27" t="s">
        <v>334</v>
      </c>
    </row>
    <row r="33" customFormat="false" ht="15" hidden="false" customHeight="false" outlineLevel="0" collapsed="false">
      <c r="A33" s="13" t="s">
        <v>204</v>
      </c>
      <c r="B33" s="12" t="s">
        <v>377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378</v>
      </c>
      <c r="B34" s="12" t="s">
        <v>379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380</v>
      </c>
      <c r="B35" s="12" t="s">
        <v>381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382</v>
      </c>
      <c r="B36" s="12" t="s">
        <v>383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206</v>
      </c>
      <c r="B37" s="12" t="s">
        <v>384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385</v>
      </c>
      <c r="B38" s="12" t="s">
        <v>386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208</v>
      </c>
      <c r="B39" s="12" t="s">
        <v>387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937013595.67641</v>
      </c>
      <c r="F39" s="15" t="n">
        <f aca="false">SUMIFS('BALANCE 2027'!$I:$I,'BALANCE 2027'!$C:$C,"CH")-(SUMIFS('BALANCE 2027'!$H:$H,'BALANCE 2027'!$C:$C,"CH"))</f>
        <v>1023025123.41514</v>
      </c>
      <c r="G39" s="15" t="n">
        <f aca="false">SUMIFS('BALANCE 2028'!$I:$I,'BALANCE 2028'!$C:$C,"CH")-(SUMIFS('BALANCE 2028'!$H:$H,'BALANCE 2028'!$C:$C,"CH"))</f>
        <v>1114503458.41581</v>
      </c>
      <c r="H39" s="15" t="n">
        <f aca="false">SUMIFS('BALANCE 2029'!$I:$I,'BALANCE 2029'!$C:$C,"CH")-(SUMIFS('BALANCE 2029'!$H:$H,'BALANCE 2029'!$C:$C,"CH"))</f>
        <v>1215390295.30401</v>
      </c>
    </row>
    <row r="40" customFormat="false" ht="15" hidden="false" customHeight="false" outlineLevel="0" collapsed="false">
      <c r="A40" s="13" t="s">
        <v>388</v>
      </c>
      <c r="B40" s="12" t="s">
        <v>389</v>
      </c>
      <c r="C40" s="15" t="n">
        <f aca="false">'COMPTE DE RESULTAT'!C47</f>
        <v>72698877</v>
      </c>
      <c r="D40" s="15" t="n">
        <f aca="false">'COMPTE DE RESULTAT'!D47</f>
        <v>92514867.6764101</v>
      </c>
      <c r="E40" s="15" t="n">
        <f aca="false">'COMPTE DE RESULTAT'!E47</f>
        <v>86011527.7387306</v>
      </c>
      <c r="F40" s="15" t="n">
        <f aca="false">'COMPTE DE RESULTAT'!F47</f>
        <v>91478335.0006671</v>
      </c>
      <c r="G40" s="15" t="n">
        <f aca="false">'COMPTE DE RESULTAT'!G47</f>
        <v>100886836.8882</v>
      </c>
      <c r="H40" s="15" t="n">
        <f aca="false">'COMPTE DE RESULTAT'!H47</f>
        <v>108080142.72011</v>
      </c>
    </row>
    <row r="41" customFormat="false" ht="15" hidden="false" customHeight="false" outlineLevel="0" collapsed="false">
      <c r="A41" s="13" t="s">
        <v>390</v>
      </c>
      <c r="B41" s="12" t="s">
        <v>391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392</v>
      </c>
      <c r="B42" s="12" t="s">
        <v>393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5" t="s">
        <v>394</v>
      </c>
      <c r="B43" s="35" t="s">
        <v>395</v>
      </c>
      <c r="C43" s="36" t="n">
        <f aca="false">C33+C34+C35+C36+C37+C38+C39+C40+C41+C42</f>
        <v>856498728</v>
      </c>
      <c r="D43" s="36" t="n">
        <f aca="false">D33+D34+D35+D36+D37+D38+D39+D40+D41+D42</f>
        <v>949013595.67641</v>
      </c>
      <c r="E43" s="36" t="n">
        <f aca="false">E33+E34+E35+E36+E37+E38+E39+E40+E41+E42</f>
        <v>1035025123.41514</v>
      </c>
      <c r="F43" s="36" t="n">
        <f aca="false">F33+F34+F35+F36+F37+F38+F39+F40+F41+F42</f>
        <v>1126503458.41581</v>
      </c>
      <c r="G43" s="36" t="n">
        <f aca="false">G33+G34+G35+G36+G37+G38+G39+G40+G41+G42</f>
        <v>1227390295.30401</v>
      </c>
      <c r="H43" s="36" t="n">
        <f aca="false">H33+H34+H35+H36+H37+H38+H39+H40+H41+H42</f>
        <v>1335470438.02412</v>
      </c>
      <c r="I43" s="39" t="n">
        <f aca="false">IF(OR(C43&lt;=0,H43&lt;=0),"",(H43/C43)^(1/5)-1)</f>
        <v>0.0929027313007598</v>
      </c>
    </row>
    <row r="44" customFormat="false" ht="15" hidden="false" customHeight="false" outlineLevel="0" collapsed="false">
      <c r="A44" s="13" t="s">
        <v>169</v>
      </c>
      <c r="B44" s="12" t="s">
        <v>396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172</v>
      </c>
      <c r="B45" s="12" t="s">
        <v>212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214</v>
      </c>
      <c r="B46" s="12" t="s">
        <v>397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27333192</v>
      </c>
      <c r="E46" s="15" t="n">
        <f aca="false">SUMIFS('BALANCE 2026'!$I:$I,'BALANCE 2026'!$C:$C,"DC")-(SUMIFS('BALANCE 2026'!$H:$H,'BALANCE 2026'!$C:$C,"DC"))</f>
        <v>33392488</v>
      </c>
      <c r="F46" s="15" t="n">
        <f aca="false">SUMIFS('BALANCE 2027'!$I:$I,'BALANCE 2027'!$C:$C,"DC")-(SUMIFS('BALANCE 2027'!$H:$H,'BALANCE 2027'!$C:$C,"DC"))</f>
        <v>39451784</v>
      </c>
      <c r="G46" s="15" t="n">
        <f aca="false">SUMIFS('BALANCE 2028'!$I:$I,'BALANCE 2028'!$C:$C,"DC")-(SUMIFS('BALANCE 2028'!$H:$H,'BALANCE 2028'!$C:$C,"DC"))</f>
        <v>45511080</v>
      </c>
      <c r="H46" s="15" t="n">
        <f aca="false">SUMIFS('BALANCE 2029'!$I:$I,'BALANCE 2029'!$C:$C,"DC")-(SUMIFS('BALANCE 2029'!$H:$H,'BALANCE 2029'!$C:$C,"DC"))</f>
        <v>51570376</v>
      </c>
    </row>
    <row r="47" customFormat="false" ht="15" hidden="false" customHeight="false" outlineLevel="0" collapsed="false">
      <c r="A47" s="35" t="s">
        <v>398</v>
      </c>
      <c r="B47" s="35" t="s">
        <v>399</v>
      </c>
      <c r="C47" s="36" t="n">
        <f aca="false">C44+C45+C46</f>
        <v>71552422</v>
      </c>
      <c r="D47" s="36" t="n">
        <f aca="false">D44+D45+D46</f>
        <v>27333192</v>
      </c>
      <c r="E47" s="36" t="n">
        <f aca="false">E44+E45+E46</f>
        <v>33392488</v>
      </c>
      <c r="F47" s="36" t="n">
        <f aca="false">F44+F45+F46</f>
        <v>39451784</v>
      </c>
      <c r="G47" s="36" t="n">
        <f aca="false">G44+G45+G46</f>
        <v>45511080</v>
      </c>
      <c r="H47" s="36" t="n">
        <f aca="false">H44+H45+H46</f>
        <v>51570376</v>
      </c>
      <c r="I47" s="34"/>
    </row>
    <row r="48" customFormat="false" ht="15" hidden="false" customHeight="false" outlineLevel="0" collapsed="false">
      <c r="A48" s="35" t="s">
        <v>400</v>
      </c>
      <c r="B48" s="35" t="s">
        <v>401</v>
      </c>
      <c r="C48" s="36" t="n">
        <f aca="false">C43+C47</f>
        <v>928051150</v>
      </c>
      <c r="D48" s="36" t="n">
        <f aca="false">D43+D47</f>
        <v>976346787.67641</v>
      </c>
      <c r="E48" s="36" t="n">
        <f aca="false">E43+E47</f>
        <v>1068417611.41514</v>
      </c>
      <c r="F48" s="36" t="n">
        <f aca="false">F43+F47</f>
        <v>1165955242.41581</v>
      </c>
      <c r="G48" s="36" t="n">
        <f aca="false">G43+G47</f>
        <v>1272901375.30401</v>
      </c>
      <c r="H48" s="36" t="n">
        <f aca="false">H43+H47</f>
        <v>1387040814.02412</v>
      </c>
      <c r="I48" s="34"/>
    </row>
    <row r="49" customFormat="false" ht="15" hidden="false" customHeight="false" outlineLevel="0" collapsed="false">
      <c r="A49" s="13" t="s">
        <v>258</v>
      </c>
      <c r="B49" s="12" t="s">
        <v>402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59171234.9666667</v>
      </c>
      <c r="E49" s="15" t="n">
        <f aca="false">SUMIFS('BALANCE 2026'!$I:$I,'BALANCE 2026'!$C:$C,"DH")-(SUMIFS('BALANCE 2026'!$H:$H,'BALANCE 2026'!$C:$C,"DH"))</f>
        <v>12736111.1111111</v>
      </c>
      <c r="F49" s="15" t="n">
        <f aca="false">SUMIFS('BALANCE 2027'!$I:$I,'BALANCE 2027'!$C:$C,"DH")-(SUMIFS('BALANCE 2027'!$H:$H,'BALANCE 2027'!$C:$C,"DH"))</f>
        <v>12736111.1111111</v>
      </c>
      <c r="G49" s="15" t="n">
        <f aca="false">SUMIFS('BALANCE 2028'!$I:$I,'BALANCE 2028'!$C:$C,"DH")-(SUMIFS('BALANCE 2028'!$H:$H,'BALANCE 2028'!$C:$C,"DH"))</f>
        <v>27291666.6666667</v>
      </c>
      <c r="H49" s="15" t="n">
        <f aca="false">SUMIFS('BALANCE 2029'!$I:$I,'BALANCE 2029'!$C:$C,"DH")-(SUMIFS('BALANCE 2029'!$H:$H,'BALANCE 2029'!$C:$C,"DH"))</f>
        <v>12736111.1111111</v>
      </c>
    </row>
    <row r="50" customFormat="false" ht="15" hidden="false" customHeight="false" outlineLevel="0" collapsed="false">
      <c r="A50" s="13" t="s">
        <v>403</v>
      </c>
      <c r="B50" s="12" t="s">
        <v>404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232</v>
      </c>
      <c r="B51" s="12" t="s">
        <v>405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77709523.60379</v>
      </c>
      <c r="E51" s="15" t="n">
        <f aca="false">SUMIFS('BALANCE 2026'!$I:$I,'BALANCE 2026'!$C:$C,"DJ")-(SUMIFS('BALANCE 2026'!$H:$H,'BALANCE 2026'!$C:$C,"DJ"))</f>
        <v>81594999.7839795</v>
      </c>
      <c r="F51" s="15" t="n">
        <f aca="false">SUMIFS('BALANCE 2027'!$I:$I,'BALANCE 2027'!$C:$C,"DJ")-(SUMIFS('BALANCE 2027'!$H:$H,'BALANCE 2027'!$C:$C,"DJ"))</f>
        <v>85674749.7731785</v>
      </c>
      <c r="G51" s="15" t="n">
        <f aca="false">SUMIFS('BALANCE 2028'!$I:$I,'BALANCE 2028'!$C:$C,"DJ")-(SUMIFS('BALANCE 2028'!$H:$H,'BALANCE 2028'!$C:$C,"DJ"))</f>
        <v>89958487.2618374</v>
      </c>
      <c r="H51" s="15" t="n">
        <f aca="false">SUMIFS('BALANCE 2029'!$I:$I,'BALANCE 2029'!$C:$C,"DJ")-(SUMIFS('BALANCE 2029'!$H:$H,'BALANCE 2029'!$C:$C,"DJ"))</f>
        <v>94456411.6249293</v>
      </c>
    </row>
    <row r="52" customFormat="false" ht="15" hidden="false" customHeight="false" outlineLevel="0" collapsed="false">
      <c r="A52" s="13" t="s">
        <v>238</v>
      </c>
      <c r="B52" s="12" t="s">
        <v>406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112201542.588904</v>
      </c>
      <c r="E52" s="15" t="n">
        <f aca="false">SUMIFS('BALANCE 2026'!$I:$I,'BALANCE 2026'!$C:$C,"DK")-(SUMIFS('BALANCE 2026'!$H:$H,'BALANCE 2026'!$C:$C,"DK"))</f>
        <v>116185478.233654</v>
      </c>
      <c r="F52" s="15" t="n">
        <f aca="false">SUMIFS('BALANCE 2027'!$I:$I,'BALANCE 2027'!$C:$C,"DK")-(SUMIFS('BALANCE 2027'!$H:$H,'BALANCE 2027'!$C:$C,"DK"))</f>
        <v>122383495.770336</v>
      </c>
      <c r="G52" s="15" t="n">
        <f aca="false">SUMIFS('BALANCE 2028'!$I:$I,'BALANCE 2028'!$C:$C,"DK")-(SUMIFS('BALANCE 2028'!$H:$H,'BALANCE 2028'!$C:$C,"DK"))</f>
        <v>130114198.93802</v>
      </c>
      <c r="H52" s="15" t="n">
        <f aca="false">SUMIFS('BALANCE 2029'!$I:$I,'BALANCE 2029'!$C:$C,"DK")-(SUMIFS('BALANCE 2029'!$H:$H,'BALANCE 2029'!$C:$C,"DK"))</f>
        <v>137336230.214088</v>
      </c>
    </row>
    <row r="53" customFormat="false" ht="15" hidden="false" customHeight="false" outlineLevel="0" collapsed="false">
      <c r="A53" s="13" t="s">
        <v>254</v>
      </c>
      <c r="B53" s="12" t="s">
        <v>407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408</v>
      </c>
      <c r="B54" s="12" t="s">
        <v>409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5" t="s">
        <v>410</v>
      </c>
      <c r="B55" s="35" t="s">
        <v>411</v>
      </c>
      <c r="C55" s="36" t="n">
        <f aca="false">C49+C50+C51+C52+C53+C54</f>
        <v>311635522</v>
      </c>
      <c r="D55" s="36" t="n">
        <f aca="false">D49+D50+D51+D52+D53+D54</f>
        <v>249082301.15936</v>
      </c>
      <c r="E55" s="36" t="n">
        <f aca="false">E49+E50+E51+E52+E53+E54</f>
        <v>210516589.128744</v>
      </c>
      <c r="F55" s="36" t="n">
        <f aca="false">F49+F50+F51+F52+F53+F54</f>
        <v>220794356.654626</v>
      </c>
      <c r="G55" s="36" t="n">
        <f aca="false">G49+G50+G51+G52+G53+G54</f>
        <v>247364352.866524</v>
      </c>
      <c r="H55" s="36" t="n">
        <f aca="false">H49+H50+H51+H52+H53+H54</f>
        <v>244528752.950128</v>
      </c>
      <c r="I55" s="34"/>
    </row>
    <row r="56" customFormat="false" ht="15" hidden="false" customHeight="false" outlineLevel="0" collapsed="false">
      <c r="A56" s="13" t="s">
        <v>412</v>
      </c>
      <c r="B56" s="12" t="s">
        <v>413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414</v>
      </c>
      <c r="B57" s="12" t="s">
        <v>415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5" t="s">
        <v>416</v>
      </c>
      <c r="B58" s="35" t="s">
        <v>417</v>
      </c>
      <c r="C58" s="36" t="n">
        <f aca="false">C56+C57</f>
        <v>0</v>
      </c>
      <c r="D58" s="36" t="n">
        <f aca="false">D56+D57</f>
        <v>0</v>
      </c>
      <c r="E58" s="36" t="n">
        <f aca="false">E56+E57</f>
        <v>0</v>
      </c>
      <c r="F58" s="36" t="n">
        <f aca="false">F56+F57</f>
        <v>0</v>
      </c>
      <c r="G58" s="36" t="n">
        <f aca="false">G56+G57</f>
        <v>0</v>
      </c>
      <c r="H58" s="36" t="n">
        <f aca="false">H56+H57</f>
        <v>0</v>
      </c>
      <c r="I58" s="34"/>
    </row>
    <row r="59" customFormat="false" ht="15" hidden="false" customHeight="false" outlineLevel="0" collapsed="false">
      <c r="A59" s="13" t="s">
        <v>418</v>
      </c>
      <c r="B59" s="12" t="s">
        <v>419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5" t="s">
        <v>420</v>
      </c>
      <c r="B60" s="35" t="s">
        <v>421</v>
      </c>
      <c r="C60" s="36" t="n">
        <f aca="false">C48+C55+C58+C59</f>
        <v>1239686672</v>
      </c>
      <c r="D60" s="36" t="n">
        <f aca="false">D48+D55+D58+D59</f>
        <v>1225429088.83577</v>
      </c>
      <c r="E60" s="36" t="n">
        <f aca="false">E48+E55+E58+E59</f>
        <v>1278934200.54389</v>
      </c>
      <c r="F60" s="36" t="n">
        <f aca="false">F48+F55+F58+F59</f>
        <v>1386749599.07043</v>
      </c>
      <c r="G60" s="36" t="n">
        <f aca="false">G48+G55+G58+G59</f>
        <v>1520265728.17053</v>
      </c>
      <c r="H60" s="36" t="n">
        <f aca="false">H48+H55+H58+H59</f>
        <v>1631569566.97425</v>
      </c>
      <c r="I60" s="39" t="n">
        <f aca="false">IF(OR(C60&lt;=0,H60&lt;=0),"",(H60/C60)^(1/5)-1)</f>
        <v>0.0564738037400829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422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423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424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334</v>
      </c>
    </row>
    <row r="6" customFormat="false" ht="15" hidden="false" customHeight="false" outlineLevel="0" collapsed="false">
      <c r="A6" s="13" t="s">
        <v>425</v>
      </c>
      <c r="B6" s="12" t="s">
        <v>426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427</v>
      </c>
      <c r="B7" s="12" t="s">
        <v>428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429</v>
      </c>
      <c r="B8" s="12" t="s">
        <v>430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5" t="s">
        <v>431</v>
      </c>
      <c r="B9" s="35" t="s">
        <v>432</v>
      </c>
      <c r="C9" s="36" t="n">
        <f aca="false">C6+C7+C8</f>
        <v>0</v>
      </c>
      <c r="D9" s="36" t="n">
        <f aca="false">D6+D7+D8</f>
        <v>0</v>
      </c>
      <c r="E9" s="36" t="n">
        <f aca="false">E6+E7+E8</f>
        <v>0</v>
      </c>
      <c r="F9" s="36" t="n">
        <f aca="false">F6+F7+F8</f>
        <v>0</v>
      </c>
      <c r="G9" s="36" t="n">
        <f aca="false">G6+G7+G8</f>
        <v>0</v>
      </c>
      <c r="H9" s="36" t="n">
        <f aca="false">H6+H7+H8</f>
        <v>0</v>
      </c>
      <c r="I9" s="34"/>
    </row>
    <row r="10" customFormat="false" ht="15" hidden="false" customHeight="false" outlineLevel="0" collapsed="false">
      <c r="A10" s="13" t="s">
        <v>433</v>
      </c>
      <c r="B10" s="12" t="s">
        <v>434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316</v>
      </c>
      <c r="B11" s="12" t="s">
        <v>435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750098563.65</v>
      </c>
      <c r="E11" s="15" t="n">
        <f aca="false">SUMIFS('BALANCE 2026'!$I:$I,'BALANCE 2026'!$C:$C,"TC")-(SUMIFS('BALANCE 2026'!$H:$H,'BALANCE 2026'!$C:$C,"TC"))</f>
        <v>787603491.8325</v>
      </c>
      <c r="F11" s="15" t="n">
        <f aca="false">SUMIFS('BALANCE 2027'!$I:$I,'BALANCE 2027'!$C:$C,"TC")-(SUMIFS('BALANCE 2027'!$H:$H,'BALANCE 2027'!$C:$C,"TC"))</f>
        <v>826983666.424125</v>
      </c>
      <c r="G11" s="15" t="n">
        <f aca="false">SUMIFS('BALANCE 2028'!$I:$I,'BALANCE 2028'!$C:$C,"TC")-(SUMIFS('BALANCE 2028'!$H:$H,'BALANCE 2028'!$C:$C,"TC"))</f>
        <v>868332849.745332</v>
      </c>
      <c r="H11" s="15" t="n">
        <f aca="false">SUMIFS('BALANCE 2029'!$I:$I,'BALANCE 2029'!$C:$C,"TC")-(SUMIFS('BALANCE 2029'!$H:$H,'BALANCE 2029'!$C:$C,"TC"))</f>
        <v>911749492.232598</v>
      </c>
    </row>
    <row r="12" customFormat="false" ht="15" hidden="false" customHeight="false" outlineLevel="0" collapsed="false">
      <c r="A12" s="13" t="s">
        <v>436</v>
      </c>
      <c r="B12" s="12" t="s">
        <v>437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5" t="s">
        <v>438</v>
      </c>
      <c r="B13" s="35" t="s">
        <v>439</v>
      </c>
      <c r="C13" s="36" t="n">
        <f aca="false">C6+C10+C11+C12</f>
        <v>701026695</v>
      </c>
      <c r="D13" s="36" t="n">
        <f aca="false">D6+D10+D11+D12</f>
        <v>750098563.65</v>
      </c>
      <c r="E13" s="36" t="n">
        <f aca="false">E6+E10+E11+E12</f>
        <v>787603491.8325</v>
      </c>
      <c r="F13" s="36" t="n">
        <f aca="false">F6+F10+F11+F12</f>
        <v>826983666.424125</v>
      </c>
      <c r="G13" s="36" t="n">
        <f aca="false">G6+G10+G11+G12</f>
        <v>868332849.745332</v>
      </c>
      <c r="H13" s="36" t="n">
        <f aca="false">H6+H10+H11+H12</f>
        <v>911749492.232598</v>
      </c>
      <c r="I13" s="39" t="n">
        <f aca="false">IF(OR(C13&lt;=0,H13&lt;=0),"",(H13/C13)^(1/5)-1)</f>
        <v>0.0539698675310716</v>
      </c>
    </row>
    <row r="14" customFormat="false" ht="15" hidden="false" customHeight="false" outlineLevel="0" collapsed="false">
      <c r="A14" s="13" t="s">
        <v>440</v>
      </c>
      <c r="B14" s="12" t="s">
        <v>441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442</v>
      </c>
      <c r="B15" s="12" t="s">
        <v>443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444</v>
      </c>
      <c r="B16" s="12" t="s">
        <v>445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446</v>
      </c>
      <c r="B17" s="12" t="s">
        <v>447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448</v>
      </c>
      <c r="B18" s="12" t="s">
        <v>449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450</v>
      </c>
      <c r="B19" s="12" t="s">
        <v>451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452</v>
      </c>
      <c r="B20" s="12" t="s">
        <v>453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265</v>
      </c>
      <c r="B21" s="12" t="s">
        <v>454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-297639110.05632</v>
      </c>
      <c r="E21" s="15" t="n">
        <f aca="false">SUMIFS('BALANCE 2026'!$I:$I,'BALANCE 2026'!$C:$C,"RE")-(SUMIFS('BALANCE 2026'!$H:$H,'BALANCE 2026'!$C:$C,"RE"))</f>
        <v>-312521065.559136</v>
      </c>
      <c r="F21" s="15" t="n">
        <f aca="false">SUMIFS('BALANCE 2027'!$I:$I,'BALANCE 2027'!$C:$C,"RE")-(SUMIFS('BALANCE 2027'!$H:$H,'BALANCE 2027'!$C:$C,"RE"))</f>
        <v>-328147118.837093</v>
      </c>
      <c r="G21" s="15" t="n">
        <f aca="false">SUMIFS('BALANCE 2028'!$I:$I,'BALANCE 2028'!$C:$C,"RE")-(SUMIFS('BALANCE 2028'!$H:$H,'BALANCE 2028'!$C:$C,"RE"))</f>
        <v>-344554474.778948</v>
      </c>
      <c r="H21" s="15" t="n">
        <f aca="false">SUMIFS('BALANCE 2029'!$I:$I,'BALANCE 2029'!$C:$C,"RE")-(SUMIFS('BALANCE 2029'!$H:$H,'BALANCE 2029'!$C:$C,"RE"))</f>
        <v>-361782198.517895</v>
      </c>
    </row>
    <row r="22" customFormat="false" ht="15" hidden="false" customHeight="false" outlineLevel="0" collapsed="false">
      <c r="A22" s="13" t="s">
        <v>455</v>
      </c>
      <c r="B22" s="12" t="s">
        <v>456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274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-4050532.24371</v>
      </c>
      <c r="E23" s="15" t="n">
        <f aca="false">SUMIFS('BALANCE 2026'!$I:$I,'BALANCE 2026'!$C:$C,"RG")-(SUMIFS('BALANCE 2026'!$H:$H,'BALANCE 2026'!$C:$C,"RG"))</f>
        <v>-4253058.8558955</v>
      </c>
      <c r="F23" s="15" t="n">
        <f aca="false">SUMIFS('BALANCE 2027'!$I:$I,'BALANCE 2027'!$C:$C,"RG")-(SUMIFS('BALANCE 2027'!$H:$H,'BALANCE 2027'!$C:$C,"RG"))</f>
        <v>-4465711.79869028</v>
      </c>
      <c r="G23" s="15" t="n">
        <f aca="false">SUMIFS('BALANCE 2028'!$I:$I,'BALANCE 2028'!$C:$C,"RG")-(SUMIFS('BALANCE 2028'!$H:$H,'BALANCE 2028'!$C:$C,"RG"))</f>
        <v>-4688997.38862479</v>
      </c>
      <c r="H23" s="15" t="n">
        <f aca="false">SUMIFS('BALANCE 2029'!$I:$I,'BALANCE 2029'!$C:$C,"RG")-(SUMIFS('BALANCE 2029'!$H:$H,'BALANCE 2029'!$C:$C,"RG"))</f>
        <v>-4923447.25805603</v>
      </c>
    </row>
    <row r="24" customFormat="false" ht="15" hidden="false" customHeight="false" outlineLevel="0" collapsed="false">
      <c r="A24" s="13" t="s">
        <v>278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-114240011.243895</v>
      </c>
      <c r="E24" s="15" t="n">
        <f aca="false">SUMIFS('BALANCE 2026'!$I:$I,'BALANCE 2026'!$C:$C,"RH")-(SUMIFS('BALANCE 2026'!$H:$H,'BALANCE 2026'!$C:$C,"RH"))</f>
        <v>-119952011.80609</v>
      </c>
      <c r="F24" s="15" t="n">
        <f aca="false">SUMIFS('BALANCE 2027'!$I:$I,'BALANCE 2027'!$C:$C,"RH")-(SUMIFS('BALANCE 2027'!$H:$H,'BALANCE 2027'!$C:$C,"RH"))</f>
        <v>-125949612.396394</v>
      </c>
      <c r="G24" s="15" t="n">
        <f aca="false">SUMIFS('BALANCE 2028'!$I:$I,'BALANCE 2028'!$C:$C,"RH")-(SUMIFS('BALANCE 2028'!$H:$H,'BALANCE 2028'!$C:$C,"RH"))</f>
        <v>-132247093.016214</v>
      </c>
      <c r="H24" s="15" t="n">
        <f aca="false">SUMIFS('BALANCE 2029'!$I:$I,'BALANCE 2029'!$C:$C,"RH")-(SUMIFS('BALANCE 2029'!$H:$H,'BALANCE 2029'!$C:$C,"RH"))</f>
        <v>-138859447.667025</v>
      </c>
    </row>
    <row r="25" customFormat="false" ht="15" hidden="false" customHeight="false" outlineLevel="0" collapsed="false">
      <c r="A25" s="13" t="s">
        <v>288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-15902089.54938</v>
      </c>
      <c r="E25" s="15" t="n">
        <f aca="false">SUMIFS('BALANCE 2026'!$I:$I,'BALANCE 2026'!$C:$C,"RI")-(SUMIFS('BALANCE 2026'!$H:$H,'BALANCE 2026'!$C:$C,"RI"))</f>
        <v>-16697194.026849</v>
      </c>
      <c r="F25" s="15" t="n">
        <f aca="false">SUMIFS('BALANCE 2027'!$I:$I,'BALANCE 2027'!$C:$C,"RI")-(SUMIFS('BALANCE 2027'!$H:$H,'BALANCE 2027'!$C:$C,"RI"))</f>
        <v>-17532053.7281915</v>
      </c>
      <c r="G25" s="15" t="n">
        <f aca="false">SUMIFS('BALANCE 2028'!$I:$I,'BALANCE 2028'!$C:$C,"RI")-(SUMIFS('BALANCE 2028'!$H:$H,'BALANCE 2028'!$C:$C,"RI"))</f>
        <v>-18408656.414601</v>
      </c>
      <c r="H25" s="15" t="n">
        <f aca="false">SUMIFS('BALANCE 2029'!$I:$I,'BALANCE 2029'!$C:$C,"RI")-(SUMIFS('BALANCE 2029'!$H:$H,'BALANCE 2029'!$C:$C,"RI"))</f>
        <v>-19329089.2353311</v>
      </c>
    </row>
    <row r="26" customFormat="false" ht="15" hidden="false" customHeight="false" outlineLevel="0" collapsed="false">
      <c r="A26" s="13" t="s">
        <v>298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-1425187.270935</v>
      </c>
      <c r="E26" s="15" t="n">
        <f aca="false">SUMIFS('BALANCE 2026'!$I:$I,'BALANCE 2026'!$C:$C,"RJ")-(SUMIFS('BALANCE 2026'!$H:$H,'BALANCE 2026'!$C:$C,"RJ"))</f>
        <v>-1496446.63448175</v>
      </c>
      <c r="F26" s="15" t="n">
        <f aca="false">SUMIFS('BALANCE 2027'!$I:$I,'BALANCE 2027'!$C:$C,"RJ")-(SUMIFS('BALANCE 2027'!$H:$H,'BALANCE 2027'!$C:$C,"RJ"))</f>
        <v>-1571268.96620584</v>
      </c>
      <c r="G26" s="15" t="n">
        <f aca="false">SUMIFS('BALANCE 2028'!$I:$I,'BALANCE 2028'!$C:$C,"RJ")-(SUMIFS('BALANCE 2028'!$H:$H,'BALANCE 2028'!$C:$C,"RJ"))</f>
        <v>-1649832.41451613</v>
      </c>
      <c r="H26" s="15" t="n">
        <f aca="false">SUMIFS('BALANCE 2029'!$I:$I,'BALANCE 2029'!$C:$C,"RJ")-(SUMIFS('BALANCE 2029'!$H:$H,'BALANCE 2029'!$C:$C,"RJ"))</f>
        <v>-1732324.03524194</v>
      </c>
    </row>
    <row r="27" customFormat="false" ht="15" hidden="false" customHeight="false" outlineLevel="0" collapsed="false">
      <c r="A27" s="35" t="s">
        <v>457</v>
      </c>
      <c r="B27" s="35" t="s">
        <v>458</v>
      </c>
      <c r="C27" s="36" t="n">
        <f aca="false">C13+C7+C8+C14+C15+C16+C17+C18+C19+C20+C21+C22+C23+C24+C25+C26</f>
        <v>296109649</v>
      </c>
      <c r="D27" s="36" t="n">
        <f aca="false">D13+D7+D8+D14+D15+D16+D17+D18+D19+D20+D21+D22+D23+D24+D25+D26</f>
        <v>316841633.28576</v>
      </c>
      <c r="E27" s="36" t="n">
        <f aca="false">E13+E7+E8+E14+E15+E16+E17+E18+E19+E20+E21+E22+E23+E24+E25+E26</f>
        <v>332683714.950048</v>
      </c>
      <c r="F27" s="36" t="n">
        <f aca="false">F13+F7+F8+F14+F15+F16+F17+F18+F19+F20+F21+F22+F23+F24+F25+F26</f>
        <v>349317900.697551</v>
      </c>
      <c r="G27" s="36" t="n">
        <f aca="false">G13+G7+G8+G14+G15+G16+G17+G18+G19+G20+G21+G22+G23+G24+G25+G26</f>
        <v>366783795.732428</v>
      </c>
      <c r="H27" s="36" t="n">
        <f aca="false">H13+H7+H8+H14+H15+H16+H17+H18+H19+H20+H21+H22+H23+H24+H25+H26</f>
        <v>385122985.51905</v>
      </c>
      <c r="I27" s="34"/>
    </row>
    <row r="28" customFormat="false" ht="15" hidden="false" customHeight="false" outlineLevel="0" collapsed="false">
      <c r="A28" s="13" t="s">
        <v>300</v>
      </c>
      <c r="B28" s="12" t="s">
        <v>31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-113414902.82388</v>
      </c>
      <c r="E28" s="15" t="n">
        <f aca="false">SUMIFS('BALANCE 2026'!$I:$I,'BALANCE 2026'!$C:$C,"RK")-(SUMIFS('BALANCE 2026'!$H:$H,'BALANCE 2026'!$C:$C,"RK"))</f>
        <v>-119085647.965074</v>
      </c>
      <c r="F28" s="15" t="n">
        <f aca="false">SUMIFS('BALANCE 2027'!$I:$I,'BALANCE 2027'!$C:$C,"RK")-(SUMIFS('BALANCE 2027'!$H:$H,'BALANCE 2027'!$C:$C,"RK"))</f>
        <v>-125039930.363328</v>
      </c>
      <c r="G28" s="15" t="n">
        <f aca="false">SUMIFS('BALANCE 2028'!$I:$I,'BALANCE 2028'!$C:$C,"RK")-(SUMIFS('BALANCE 2028'!$H:$H,'BALANCE 2028'!$C:$C,"RK"))</f>
        <v>-131291926.881494</v>
      </c>
      <c r="H28" s="15" t="n">
        <f aca="false">SUMIFS('BALANCE 2029'!$I:$I,'BALANCE 2029'!$C:$C,"RK")-(SUMIFS('BALANCE 2029'!$H:$H,'BALANCE 2029'!$C:$C,"RK"))</f>
        <v>-137856523.225569</v>
      </c>
    </row>
    <row r="29" customFormat="false" ht="15" hidden="false" customHeight="false" outlineLevel="0" collapsed="false">
      <c r="A29" s="35" t="s">
        <v>459</v>
      </c>
      <c r="B29" s="35" t="s">
        <v>460</v>
      </c>
      <c r="C29" s="36" t="n">
        <f aca="false">C27+C28</f>
        <v>190084134</v>
      </c>
      <c r="D29" s="36" t="n">
        <f aca="false">D27+D28</f>
        <v>203426730.46188</v>
      </c>
      <c r="E29" s="36" t="n">
        <f aca="false">E27+E28</f>
        <v>213598066.984974</v>
      </c>
      <c r="F29" s="36" t="n">
        <f aca="false">F27+F28</f>
        <v>224277970.334223</v>
      </c>
      <c r="G29" s="36" t="n">
        <f aca="false">G27+G28</f>
        <v>235491868.850934</v>
      </c>
      <c r="H29" s="36" t="n">
        <f aca="false">H27+H28</f>
        <v>247266462.293481</v>
      </c>
      <c r="I29" s="39" t="n">
        <f aca="false">IF(OR(C29&lt;=0,H29&lt;=0),"",(H29/C29)^(1/5)-1)</f>
        <v>0.0540079081045151</v>
      </c>
    </row>
    <row r="30" customFormat="false" ht="15" hidden="false" customHeight="false" outlineLevel="0" collapsed="false">
      <c r="A30" s="13" t="s">
        <v>461</v>
      </c>
      <c r="B30" s="12" t="s">
        <v>462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310</v>
      </c>
      <c r="B31" s="12" t="s">
        <v>463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-77905456</v>
      </c>
      <c r="E31" s="15" t="n">
        <f aca="false">SUMIFS('BALANCE 2026'!$I:$I,'BALANCE 2026'!$C:$C,"RL")-(SUMIFS('BALANCE 2026'!$H:$H,'BALANCE 2026'!$C:$C,"RL"))</f>
        <v>-99764624</v>
      </c>
      <c r="F31" s="15" t="n">
        <f aca="false">SUMIFS('BALANCE 2027'!$I:$I,'BALANCE 2027'!$C:$C,"RL")-(SUMIFS('BALANCE 2027'!$H:$H,'BALANCE 2027'!$C:$C,"RL"))</f>
        <v>-103155451</v>
      </c>
      <c r="G31" s="15" t="n">
        <f aca="false">SUMIFS('BALANCE 2028'!$I:$I,'BALANCE 2028'!$C:$C,"RL")-(SUMIFS('BALANCE 2028'!$H:$H,'BALANCE 2028'!$C:$C,"RL"))</f>
        <v>-101824680.333333</v>
      </c>
      <c r="H31" s="15" t="n">
        <f aca="false">SUMIFS('BALANCE 2029'!$I:$I,'BALANCE 2029'!$C:$C,"RL")-(SUMIFS('BALANCE 2029'!$H:$H,'BALANCE 2029'!$C:$C,"RL"))</f>
        <v>-104008199.333333</v>
      </c>
    </row>
    <row r="32" customFormat="false" ht="15" hidden="false" customHeight="false" outlineLevel="0" collapsed="false">
      <c r="A32" s="35" t="s">
        <v>464</v>
      </c>
      <c r="B32" s="35" t="s">
        <v>465</v>
      </c>
      <c r="C32" s="36" t="n">
        <f aca="false">C29+C30+C31</f>
        <v>104191539</v>
      </c>
      <c r="D32" s="36" t="n">
        <f aca="false">D29+D30+D31</f>
        <v>125521274.46188</v>
      </c>
      <c r="E32" s="36" t="n">
        <f aca="false">E29+E30+E31</f>
        <v>113833442.984974</v>
      </c>
      <c r="F32" s="36" t="n">
        <f aca="false">F29+F30+F31</f>
        <v>121122519.334223</v>
      </c>
      <c r="G32" s="36" t="n">
        <f aca="false">G29+G30+G31</f>
        <v>133667188.517601</v>
      </c>
      <c r="H32" s="36" t="n">
        <f aca="false">H29+H30+H31</f>
        <v>143258262.960147</v>
      </c>
      <c r="I32" s="34"/>
    </row>
    <row r="33" customFormat="false" ht="15" hidden="false" customHeight="false" outlineLevel="0" collapsed="false">
      <c r="A33" s="13" t="s">
        <v>318</v>
      </c>
      <c r="B33" s="12" t="s">
        <v>466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467</v>
      </c>
      <c r="B34" s="12" t="s">
        <v>468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469</v>
      </c>
      <c r="B35" s="12" t="s">
        <v>470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307</v>
      </c>
      <c r="B36" s="12" t="s">
        <v>471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-3016711.56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472</v>
      </c>
      <c r="B37" s="12" t="s">
        <v>473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5" t="s">
        <v>474</v>
      </c>
      <c r="B38" s="35" t="s">
        <v>475</v>
      </c>
      <c r="C38" s="36" t="n">
        <f aca="false">C33+C34+C35+C36+C37</f>
        <v>-7259703</v>
      </c>
      <c r="D38" s="36" t="n">
        <f aca="false">D33+D34+D35+D36+D37</f>
        <v>-2168117.56</v>
      </c>
      <c r="E38" s="36" t="n">
        <f aca="false">E33+E34+E35+E36+E37</f>
        <v>848594</v>
      </c>
      <c r="F38" s="36" t="n">
        <f aca="false">F33+F34+F35+F36+F37</f>
        <v>848594</v>
      </c>
      <c r="G38" s="36" t="n">
        <f aca="false">G33+G34+G35+G36+G37</f>
        <v>848594</v>
      </c>
      <c r="H38" s="36" t="n">
        <f aca="false">H33+H34+H35+H36+H37</f>
        <v>848594</v>
      </c>
      <c r="I38" s="34"/>
    </row>
    <row r="39" customFormat="false" ht="15" hidden="false" customHeight="false" outlineLevel="0" collapsed="false">
      <c r="A39" s="35" t="s">
        <v>476</v>
      </c>
      <c r="B39" s="35" t="s">
        <v>477</v>
      </c>
      <c r="C39" s="36" t="n">
        <f aca="false">C32+C38</f>
        <v>96931836</v>
      </c>
      <c r="D39" s="36" t="n">
        <f aca="false">D32+D38</f>
        <v>123353156.90188</v>
      </c>
      <c r="E39" s="36" t="n">
        <f aca="false">E32+E38</f>
        <v>114682036.984974</v>
      </c>
      <c r="F39" s="36" t="n">
        <f aca="false">F32+F38</f>
        <v>121971113.334223</v>
      </c>
      <c r="G39" s="36" t="n">
        <f aca="false">G32+G38</f>
        <v>134515782.517601</v>
      </c>
      <c r="H39" s="36" t="n">
        <f aca="false">H32+H38</f>
        <v>144106856.960147</v>
      </c>
      <c r="I39" s="34"/>
    </row>
    <row r="40" customFormat="false" ht="15" hidden="false" customHeight="false" outlineLevel="0" collapsed="false">
      <c r="A40" s="13" t="s">
        <v>478</v>
      </c>
      <c r="B40" s="12" t="s">
        <v>479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480</v>
      </c>
      <c r="B41" s="12" t="s">
        <v>481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482</v>
      </c>
      <c r="B42" s="12" t="s">
        <v>483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484</v>
      </c>
      <c r="B43" s="12" t="s">
        <v>485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5" t="s">
        <v>486</v>
      </c>
      <c r="B44" s="35" t="s">
        <v>487</v>
      </c>
      <c r="C44" s="36" t="n">
        <f aca="false">C40+C41+C42+C43</f>
        <v>0</v>
      </c>
      <c r="D44" s="36" t="n">
        <f aca="false">D40+D41+D42+D43</f>
        <v>0</v>
      </c>
      <c r="E44" s="36" t="n">
        <f aca="false">E40+E41+E42+E43</f>
        <v>0</v>
      </c>
      <c r="F44" s="36" t="n">
        <f aca="false">F40+F41+F42+F43</f>
        <v>0</v>
      </c>
      <c r="G44" s="36" t="n">
        <f aca="false">G40+G41+G42+G43</f>
        <v>0</v>
      </c>
      <c r="H44" s="36" t="n">
        <f aca="false">H40+H41+H42+H43</f>
        <v>0</v>
      </c>
      <c r="I44" s="34"/>
    </row>
    <row r="45" customFormat="false" ht="15" hidden="false" customHeight="false" outlineLevel="0" collapsed="false">
      <c r="A45" s="13" t="s">
        <v>488</v>
      </c>
      <c r="B45" s="12" t="s">
        <v>489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320</v>
      </c>
      <c r="B46" s="12" t="s">
        <v>490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-30838289.22547</v>
      </c>
      <c r="E46" s="15" t="n">
        <f aca="false">SUMIFS('BALANCE 2026'!$I:$I,'BALANCE 2026'!$C:$C,"RS")-(SUMIFS('BALANCE 2026'!$H:$H,'BALANCE 2026'!$C:$C,"RS"))</f>
        <v>-28670509.2462435</v>
      </c>
      <c r="F46" s="15" t="n">
        <f aca="false">SUMIFS('BALANCE 2027'!$I:$I,'BALANCE 2027'!$C:$C,"RS")-(SUMIFS('BALANCE 2027'!$H:$H,'BALANCE 2027'!$C:$C,"RS"))</f>
        <v>-30492778.3335557</v>
      </c>
      <c r="G46" s="15" t="n">
        <f aca="false">SUMIFS('BALANCE 2028'!$I:$I,'BALANCE 2028'!$C:$C,"RS")-(SUMIFS('BALANCE 2028'!$H:$H,'BALANCE 2028'!$C:$C,"RS"))</f>
        <v>-33628945.6294002</v>
      </c>
      <c r="H46" s="15" t="n">
        <f aca="false">SUMIFS('BALANCE 2029'!$I:$I,'BALANCE 2029'!$C:$C,"RS")-(SUMIFS('BALANCE 2029'!$H:$H,'BALANCE 2029'!$C:$C,"RS"))</f>
        <v>-36026714.2400368</v>
      </c>
    </row>
    <row r="47" customFormat="false" ht="15" hidden="false" customHeight="false" outlineLevel="0" collapsed="false">
      <c r="A47" s="35" t="s">
        <v>89</v>
      </c>
      <c r="B47" s="35" t="s">
        <v>491</v>
      </c>
      <c r="C47" s="36" t="n">
        <f aca="false">C39+C44+C45+C46</f>
        <v>72698877</v>
      </c>
      <c r="D47" s="36" t="n">
        <f aca="false">D39+D44+D45+D46</f>
        <v>92514867.6764101</v>
      </c>
      <c r="E47" s="36" t="n">
        <f aca="false">E39+E44+E45+E46</f>
        <v>86011527.7387306</v>
      </c>
      <c r="F47" s="36" t="n">
        <f aca="false">F39+F44+F45+F46</f>
        <v>91478335.0006671</v>
      </c>
      <c r="G47" s="36" t="n">
        <f aca="false">G39+G44+G45+G46</f>
        <v>100886836.8882</v>
      </c>
      <c r="H47" s="36" t="n">
        <f aca="false">H39+H44+H45+H46</f>
        <v>108080142.72011</v>
      </c>
      <c r="I47" s="39" t="n">
        <f aca="false">IF(OR(C47&lt;=0,H47&lt;=0),"",(H47/C47)^(1/5)-1)</f>
        <v>0.0825392245147456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492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493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494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334</v>
      </c>
    </row>
    <row r="6" customFormat="false" ht="15" hidden="false" customHeight="false" outlineLevel="0" collapsed="false">
      <c r="A6" s="35" t="s">
        <v>495</v>
      </c>
      <c r="B6" s="35" t="s">
        <v>496</v>
      </c>
      <c r="C6" s="40" t="s">
        <v>497</v>
      </c>
      <c r="D6" s="36" t="n">
        <f aca="false">BILAN!C28-BILAN!C58</f>
        <v>128133958</v>
      </c>
      <c r="E6" s="36" t="n">
        <f aca="false">BILAN!D28-BILAN!D58</f>
        <v>154325994.25152</v>
      </c>
      <c r="F6" s="36" t="n">
        <f aca="false">BILAN!E28-BILAN!E58</f>
        <v>225108073.567822</v>
      </c>
      <c r="G6" s="36" t="n">
        <f aca="false">BILAN!F28-BILAN!F58</f>
        <v>369590973.245567</v>
      </c>
      <c r="H6" s="36" t="n">
        <f aca="false">BILAN!G28-BILAN!G58</f>
        <v>497172400.137755</v>
      </c>
      <c r="I6" s="34"/>
    </row>
    <row r="7" customFormat="false" ht="15" hidden="false" customHeight="false" outlineLevel="0" collapsed="false">
      <c r="A7" s="13" t="s">
        <v>185</v>
      </c>
      <c r="B7" s="12" t="s">
        <v>498</v>
      </c>
      <c r="C7" s="41" t="s">
        <v>497</v>
      </c>
      <c r="D7" s="15" t="n">
        <f aca="false">'COMPTE DE RESULTAT'!D47-'COMPTE DE RESULTAT'!D31-'COMPTE DE RESULTAT'!D37-'COMPTE DE RESULTAT'!D30-'COMPTE DE RESULTAT'!D34-'COMPTE DE RESULTAT'!D42-'COMPTE DE RESULTAT'!D40</f>
        <v>170420323.67641</v>
      </c>
      <c r="E7" s="15" t="n">
        <f aca="false">'COMPTE DE RESULTAT'!E47-'COMPTE DE RESULTAT'!E31-'COMPTE DE RESULTAT'!E37-'COMPTE DE RESULTAT'!E30-'COMPTE DE RESULTAT'!E34-'COMPTE DE RESULTAT'!E42-'COMPTE DE RESULTAT'!E40</f>
        <v>185776151.738731</v>
      </c>
      <c r="F7" s="15" t="n">
        <f aca="false">'COMPTE DE RESULTAT'!F47-'COMPTE DE RESULTAT'!F31-'COMPTE DE RESULTAT'!F37-'COMPTE DE RESULTAT'!F30-'COMPTE DE RESULTAT'!F34-'COMPTE DE RESULTAT'!F42-'COMPTE DE RESULTAT'!F40</f>
        <v>194633786.000667</v>
      </c>
      <c r="G7" s="15" t="n">
        <f aca="false">'COMPTE DE RESULTAT'!G47-'COMPTE DE RESULTAT'!G31-'COMPTE DE RESULTAT'!G37-'COMPTE DE RESULTAT'!G30-'COMPTE DE RESULTAT'!G34-'COMPTE DE RESULTAT'!G42-'COMPTE DE RESULTAT'!G40</f>
        <v>202711517.221534</v>
      </c>
      <c r="H7" s="15" t="n">
        <f aca="false">'COMPTE DE RESULTAT'!H47-'COMPTE DE RESULTAT'!H31-'COMPTE DE RESULTAT'!H37-'COMPTE DE RESULTAT'!H30-'COMPTE DE RESULTAT'!H34-'COMPTE DE RESULTAT'!H42-'COMPTE DE RESULTAT'!H40</f>
        <v>212088342.053444</v>
      </c>
    </row>
    <row r="8" customFormat="false" ht="15" hidden="false" customHeight="false" outlineLevel="0" collapsed="false">
      <c r="A8" s="13" t="s">
        <v>499</v>
      </c>
      <c r="B8" s="12" t="s">
        <v>500</v>
      </c>
      <c r="C8" s="41" t="s">
        <v>497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501</v>
      </c>
      <c r="B9" s="12" t="s">
        <v>502</v>
      </c>
      <c r="C9" s="41" t="s">
        <v>497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503</v>
      </c>
      <c r="B10" s="12" t="s">
        <v>504</v>
      </c>
      <c r="C10" s="41" t="s">
        <v>497</v>
      </c>
      <c r="D10" s="15" t="n">
        <f aca="false">-(BILAN!D23-BILAN!C23)</f>
        <v>-14873320.58425</v>
      </c>
      <c r="E10" s="15" t="n">
        <f aca="false">-(BILAN!E23-BILAN!D23)</f>
        <v>-41428360.3918138</v>
      </c>
      <c r="F10" s="15" t="n">
        <f aca="false">-(BILAN!F23-BILAN!E23)</f>
        <v>-25428653.8488032</v>
      </c>
      <c r="G10" s="15" t="n">
        <f aca="false">-(BILAN!G23-BILAN!F23)</f>
        <v>-26700086.5412434</v>
      </c>
      <c r="H10" s="15" t="n">
        <f aca="false">-(BILAN!H23-BILAN!G23)</f>
        <v>-28035090.8683054</v>
      </c>
    </row>
    <row r="11" customFormat="false" ht="15" hidden="false" customHeight="false" outlineLevel="0" collapsed="false">
      <c r="A11" s="13" t="s">
        <v>505</v>
      </c>
      <c r="B11" s="12" t="s">
        <v>506</v>
      </c>
      <c r="C11" s="41" t="s">
        <v>497</v>
      </c>
      <c r="D11" s="15" t="n">
        <f aca="false">(BILAN!D55-BILAN!D49)-(BILAN!C55-BILAN!C49)</f>
        <v>11172091.1926937</v>
      </c>
      <c r="E11" s="15" t="n">
        <f aca="false">(BILAN!E55-BILAN!E49)-(BILAN!D55-BILAN!D49)</f>
        <v>7869411.82493955</v>
      </c>
      <c r="F11" s="15" t="n">
        <f aca="false">(BILAN!F55-BILAN!F49)-(BILAN!E55-BILAN!E49)</f>
        <v>10277767.5258816</v>
      </c>
      <c r="G11" s="15" t="n">
        <f aca="false">(BILAN!G55-BILAN!G49)-(BILAN!F55-BILAN!F49)</f>
        <v>12014440.6563424</v>
      </c>
      <c r="H11" s="15" t="n">
        <f aca="false">(BILAN!H55-BILAN!H49)-(BILAN!G55-BILAN!G49)</f>
        <v>11719955.6391595</v>
      </c>
    </row>
    <row r="12" customFormat="false" ht="15" hidden="false" customHeight="false" outlineLevel="0" collapsed="false">
      <c r="A12" s="35" t="s">
        <v>507</v>
      </c>
      <c r="B12" s="35" t="s">
        <v>508</v>
      </c>
      <c r="C12" s="40" t="s">
        <v>497</v>
      </c>
      <c r="D12" s="36" t="n">
        <f aca="false">D7+D8+D9+D10+D11</f>
        <v>166719094.284854</v>
      </c>
      <c r="E12" s="36" t="n">
        <f aca="false">E7+E8+E9+E10+E11</f>
        <v>152217203.171856</v>
      </c>
      <c r="F12" s="36" t="n">
        <f aca="false">F7+F8+F9+F10+F11</f>
        <v>179482899.677746</v>
      </c>
      <c r="G12" s="36" t="n">
        <f aca="false">G7+G8+G9+G10+G11</f>
        <v>188025871.336633</v>
      </c>
      <c r="H12" s="36" t="n">
        <f aca="false">H7+H8+H9+H10+H11</f>
        <v>195773206.824298</v>
      </c>
      <c r="I12" s="34"/>
    </row>
    <row r="13" customFormat="false" ht="15" hidden="false" customHeight="false" outlineLevel="0" collapsed="false">
      <c r="A13" s="13" t="s">
        <v>509</v>
      </c>
      <c r="B13" s="12" t="s">
        <v>510</v>
      </c>
      <c r="C13" s="41" t="s">
        <v>497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511</v>
      </c>
      <c r="B14" s="12" t="s">
        <v>512</v>
      </c>
      <c r="C14" s="41" t="s">
        <v>497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-90248532.0333333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-81435123.8555556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-60444444.4444445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-49555555.5555556</v>
      </c>
    </row>
    <row r="15" customFormat="false" ht="15" hidden="false" customHeight="false" outlineLevel="0" collapsed="false">
      <c r="A15" s="13" t="s">
        <v>513</v>
      </c>
      <c r="B15" s="12" t="s">
        <v>514</v>
      </c>
      <c r="C15" s="41" t="s">
        <v>497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515</v>
      </c>
      <c r="B16" s="12" t="s">
        <v>516</v>
      </c>
      <c r="C16" s="41" t="s">
        <v>497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517</v>
      </c>
      <c r="B17" s="12" t="s">
        <v>518</v>
      </c>
      <c r="C17" s="41" t="s">
        <v>497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5" t="s">
        <v>519</v>
      </c>
      <c r="B18" s="35" t="s">
        <v>520</v>
      </c>
      <c r="C18" s="40" t="s">
        <v>497</v>
      </c>
      <c r="D18" s="36" t="n">
        <f aca="false">D13+D14+D15+D16+D17</f>
        <v>-90248532.0333333</v>
      </c>
      <c r="E18" s="36" t="n">
        <f aca="false">E13+E14+E15+E16+E17</f>
        <v>-81435123.8555556</v>
      </c>
      <c r="F18" s="36" t="n">
        <f aca="false">F13+F14+F15+F16+F17</f>
        <v>-35000000</v>
      </c>
      <c r="G18" s="36" t="n">
        <f aca="false">G13+G14+G15+G16+G17</f>
        <v>-60444444.4444445</v>
      </c>
      <c r="H18" s="36" t="n">
        <f aca="false">H13+H14+H15+H16+H17</f>
        <v>-49555555.5555556</v>
      </c>
      <c r="I18" s="34"/>
    </row>
    <row r="19" customFormat="false" ht="15" hidden="false" customHeight="false" outlineLevel="0" collapsed="false">
      <c r="A19" s="13" t="s">
        <v>521</v>
      </c>
      <c r="B19" s="12" t="s">
        <v>522</v>
      </c>
      <c r="C19" s="41" t="s">
        <v>497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523</v>
      </c>
      <c r="B20" s="12" t="s">
        <v>524</v>
      </c>
      <c r="C20" s="41" t="s">
        <v>497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525</v>
      </c>
      <c r="B21" s="12" t="s">
        <v>526</v>
      </c>
      <c r="C21" s="41" t="s">
        <v>497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527</v>
      </c>
      <c r="B22" s="12" t="s">
        <v>528</v>
      </c>
      <c r="C22" s="41" t="s">
        <v>497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5" t="s">
        <v>529</v>
      </c>
      <c r="B23" s="35" t="s">
        <v>530</v>
      </c>
      <c r="C23" s="40" t="s">
        <v>497</v>
      </c>
      <c r="D23" s="36" t="n">
        <f aca="false">D19+D20+D21+D22</f>
        <v>0</v>
      </c>
      <c r="E23" s="36" t="n">
        <f aca="false">E19+E20+E21+E22</f>
        <v>0</v>
      </c>
      <c r="F23" s="36" t="n">
        <f aca="false">F19+F20+F21+F22</f>
        <v>0</v>
      </c>
      <c r="G23" s="36" t="n">
        <f aca="false">G19+G20+G21+G22</f>
        <v>0</v>
      </c>
      <c r="H23" s="36" t="n">
        <f aca="false">H19+H20+H21+H22</f>
        <v>0</v>
      </c>
      <c r="I23" s="34"/>
    </row>
    <row r="24" customFormat="false" ht="15" hidden="false" customHeight="false" outlineLevel="0" collapsed="false">
      <c r="A24" s="13" t="s">
        <v>531</v>
      </c>
      <c r="B24" s="12" t="s">
        <v>532</v>
      </c>
      <c r="C24" s="41" t="s">
        <v>497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533</v>
      </c>
      <c r="B25" s="12" t="s">
        <v>534</v>
      </c>
      <c r="C25" s="41" t="s">
        <v>497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535</v>
      </c>
      <c r="B26" s="12" t="s">
        <v>536</v>
      </c>
      <c r="C26" s="41" t="s">
        <v>497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5" t="s">
        <v>537</v>
      </c>
      <c r="B27" s="35" t="s">
        <v>538</v>
      </c>
      <c r="C27" s="40" t="s">
        <v>497</v>
      </c>
      <c r="D27" s="36" t="n">
        <f aca="false">D24+D25+D26</f>
        <v>-50278526</v>
      </c>
      <c r="E27" s="36" t="n">
        <f aca="false">E24+E25+E26</f>
        <v>0</v>
      </c>
      <c r="F27" s="36" t="n">
        <f aca="false">F24+F25+F26</f>
        <v>0</v>
      </c>
      <c r="G27" s="36" t="n">
        <f aca="false">G24+G25+G26</f>
        <v>0</v>
      </c>
      <c r="H27" s="36" t="n">
        <f aca="false">H24+H25+H26</f>
        <v>0</v>
      </c>
      <c r="I27" s="34"/>
    </row>
    <row r="28" customFormat="false" ht="15" hidden="false" customHeight="false" outlineLevel="0" collapsed="false">
      <c r="A28" s="35" t="s">
        <v>539</v>
      </c>
      <c r="B28" s="35" t="s">
        <v>540</v>
      </c>
      <c r="C28" s="40" t="s">
        <v>497</v>
      </c>
      <c r="D28" s="36" t="n">
        <f aca="false">D23+D27</f>
        <v>-50278526</v>
      </c>
      <c r="E28" s="36" t="n">
        <f aca="false">E23+E27</f>
        <v>0</v>
      </c>
      <c r="F28" s="36" t="n">
        <f aca="false">F23+F27</f>
        <v>0</v>
      </c>
      <c r="G28" s="36" t="n">
        <f aca="false">G23+G27</f>
        <v>0</v>
      </c>
      <c r="H28" s="36" t="n">
        <f aca="false">H23+H27</f>
        <v>0</v>
      </c>
      <c r="I28" s="34"/>
    </row>
    <row r="29" customFormat="false" ht="15" hidden="false" customHeight="false" outlineLevel="0" collapsed="false">
      <c r="A29" s="35" t="s">
        <v>541</v>
      </c>
      <c r="B29" s="35" t="s">
        <v>542</v>
      </c>
      <c r="C29" s="40" t="s">
        <v>497</v>
      </c>
      <c r="D29" s="36" t="n">
        <f aca="false">D12+D18+D28</f>
        <v>26192036.2515204</v>
      </c>
      <c r="E29" s="36" t="n">
        <f aca="false">E12+E18+E28</f>
        <v>70782079.3163009</v>
      </c>
      <c r="F29" s="36" t="n">
        <f aca="false">F12+F18+F28</f>
        <v>144482899.677746</v>
      </c>
      <c r="G29" s="36" t="n">
        <f aca="false">G12+G18+G28</f>
        <v>127581426.892188</v>
      </c>
      <c r="H29" s="36" t="n">
        <f aca="false">H12+H18+H28</f>
        <v>146217651.268742</v>
      </c>
      <c r="I29" s="34"/>
    </row>
    <row r="30" customFormat="false" ht="15" hidden="false" customHeight="false" outlineLevel="0" collapsed="false">
      <c r="A30" s="35" t="s">
        <v>543</v>
      </c>
      <c r="B30" s="35" t="s">
        <v>544</v>
      </c>
      <c r="C30" s="40" t="s">
        <v>497</v>
      </c>
      <c r="D30" s="36" t="n">
        <f aca="false">D29+D6</f>
        <v>154325994.25152</v>
      </c>
      <c r="E30" s="36" t="n">
        <f aca="false">E29+E6</f>
        <v>225108073.567821</v>
      </c>
      <c r="F30" s="36" t="n">
        <f aca="false">F29+F6</f>
        <v>369590973.245567</v>
      </c>
      <c r="G30" s="36" t="n">
        <f aca="false">G29+G6</f>
        <v>497172400.137755</v>
      </c>
      <c r="H30" s="36" t="n">
        <f aca="false">H29+H6</f>
        <v>643390051.406497</v>
      </c>
      <c r="I30" s="34"/>
    </row>
    <row r="31" customFormat="false" ht="15" hidden="false" customHeight="false" outlineLevel="0" collapsed="false">
      <c r="B31" s="7" t="s">
        <v>545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546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547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548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549</v>
      </c>
    </row>
    <row r="6" customFormat="false" ht="15" hidden="false" customHeight="false" outlineLevel="0" collapsed="false">
      <c r="A6" s="13"/>
      <c r="B6" s="12" t="s">
        <v>550</v>
      </c>
      <c r="C6" s="15" t="n">
        <f aca="false">ABS('BALANCE 2024'!D97)+ABS('BALANCE 2024'!F97)+ABS('BALANCE 2024'!H97)</f>
        <v>0</v>
      </c>
      <c r="D6" s="15" t="n">
        <f aca="false">ABS('BALANCE 2025'!D97)+ABS('BALANCE 2025'!F97)+ABS('BALANCE 2025'!H97)</f>
        <v>0</v>
      </c>
      <c r="E6" s="15" t="n">
        <f aca="false">ABS('BALANCE 2026'!D97)+ABS('BALANCE 2026'!F97)+ABS('BALANCE 2026'!H97)</f>
        <v>0</v>
      </c>
      <c r="F6" s="15" t="n">
        <f aca="false">ABS('BALANCE 2027'!D97)+ABS('BALANCE 2027'!F97)+ABS('BALANCE 2027'!H97)</f>
        <v>0</v>
      </c>
      <c r="G6" s="15" t="n">
        <f aca="false">ABS('BALANCE 2028'!D97)+ABS('BALANCE 2028'!F97)+ABS('BALANCE 2028'!H97)</f>
        <v>0</v>
      </c>
      <c r="H6" s="15" t="n">
        <f aca="false">ABS('BALANCE 2029'!D97)+ABS('BALANCE 2029'!F97)+ABS('BALANCE 2029'!H97)</f>
        <v>0</v>
      </c>
    </row>
    <row r="7" customFormat="false" ht="15" hidden="false" customHeight="false" outlineLevel="0" collapsed="false">
      <c r="A7" s="13"/>
      <c r="B7" s="12" t="s">
        <v>551</v>
      </c>
      <c r="C7" s="15" t="n">
        <f aca="false">SUMPRODUCT(ABS('BALANCE 2024'!J5:J94))</f>
        <v>0</v>
      </c>
      <c r="D7" s="15" t="n">
        <f aca="false">SUMPRODUCT(ABS('BALANCE 2025'!J5:J94))</f>
        <v>0</v>
      </c>
      <c r="E7" s="15" t="n">
        <f aca="false">SUMPRODUCT(ABS('BALANCE 2026'!J5:J94))</f>
        <v>0</v>
      </c>
      <c r="F7" s="15" t="n">
        <f aca="false">SUMPRODUCT(ABS('BALANCE 2027'!J5:J94))</f>
        <v>0</v>
      </c>
      <c r="G7" s="15" t="n">
        <f aca="false">SUMPRODUCT(ABS('BALANCE 2028'!J5:J94))</f>
        <v>0</v>
      </c>
      <c r="H7" s="15" t="n">
        <f aca="false">SUMPRODUCT(ABS('BALANCE 2029'!J5:J94))</f>
        <v>0</v>
      </c>
    </row>
    <row r="8" customFormat="false" ht="15" hidden="false" customHeight="false" outlineLevel="0" collapsed="false">
      <c r="A8" s="13"/>
      <c r="B8" s="12" t="s">
        <v>552</v>
      </c>
      <c r="C8" s="41" t="s">
        <v>497</v>
      </c>
      <c r="D8" s="15" t="n">
        <f aca="false">SUMPRODUCT(ABS(('BALANCE 2024'!H5:H94-'BALANCE 2024'!I5:I94)-('BALANCE 2025'!D5:D94-'BALANCE 2025'!E5:E94))*(LEFT('BALANCE 2025'!A5:A94,1)&lt;="5")*(LEFT('BALANCE 2025'!A5:A94,2)&lt;&gt;"13"))</f>
        <v>0</v>
      </c>
      <c r="E8" s="15" t="n">
        <f aca="false">SUMPRODUCT(ABS(('BALANCE 2025'!H5:H94-'BALANCE 2025'!I5:I94)-('BALANCE 2026'!D5:D94-'BALANCE 2026'!E5:E94))*(LEFT('BALANCE 2026'!A5:A94,1)&lt;="5")*(LEFT('BALANCE 2026'!A5:A94,2)&lt;&gt;"13"))</f>
        <v>0</v>
      </c>
      <c r="F8" s="15" t="n">
        <f aca="false">SUMPRODUCT(ABS(('BALANCE 2026'!H5:H94-'BALANCE 2026'!I5:I94)-('BALANCE 2027'!D5:D94-'BALANCE 2027'!E5:E94))*(LEFT('BALANCE 2027'!A5:A94,1)&lt;="5")*(LEFT('BALANCE 2027'!A5:A94,2)&lt;&gt;"13"))</f>
        <v>0</v>
      </c>
      <c r="G8" s="15" t="n">
        <f aca="false">SUMPRODUCT(ABS(('BALANCE 2027'!H5:H94-'BALANCE 2027'!I5:I94)-('BALANCE 2028'!D5:D94-'BALANCE 2028'!E5:E94))*(LEFT('BALANCE 2028'!A5:A94,1)&lt;="5")*(LEFT('BALANCE 2028'!A5:A94,2)&lt;&gt;"13"))</f>
        <v>0</v>
      </c>
      <c r="H8" s="15" t="n">
        <f aca="false">SUMPRODUCT(ABS(('BALANCE 2028'!H5:H94-'BALANCE 2028'!I5:I94)-('BALANCE 2029'!D5:D94-'BALANCE 2029'!E5:E94))*(LEFT('BALANCE 2029'!A5:A94,1)&lt;="5")*(LEFT('BALANCE 2029'!A5:A94,2)&lt;&gt;"13"))</f>
        <v>0</v>
      </c>
    </row>
    <row r="9" customFormat="false" ht="15" hidden="false" customHeight="false" outlineLevel="0" collapsed="false">
      <c r="A9" s="13"/>
      <c r="B9" s="12" t="s">
        <v>553</v>
      </c>
      <c r="C9" s="41" t="s">
        <v>497</v>
      </c>
      <c r="D9" s="15" t="n">
        <f aca="false">(SUMPRODUCT(((LEFT('BALANCE 2025'!$A$5:$A$94,2)="13"))*('BALANCE 2025'!$E$5:$E$94-'BALANCE 2025'!$D$5:$D$94)))-'COMPTE DE RESULTAT'!C47</f>
        <v>0</v>
      </c>
      <c r="E9" s="15" t="n">
        <f aca="false">(SUMPRODUCT(((LEFT('BALANCE 2026'!$A$5:$A$94,2)="13"))*('BALANCE 2026'!$E$5:$E$94-'BALANCE 2026'!$D$5:$D$94)))-'COMPTE DE RESULTAT'!D47</f>
        <v>0</v>
      </c>
      <c r="F9" s="15" t="n">
        <f aca="false">(SUMPRODUCT(((LEFT('BALANCE 2027'!$A$5:$A$94,2)="13"))*('BALANCE 2027'!$E$5:$E$94-'BALANCE 2027'!$D$5:$D$94)))-'COMPTE DE RESULTAT'!E47</f>
        <v>0</v>
      </c>
      <c r="G9" s="15" t="n">
        <f aca="false">(SUMPRODUCT(((LEFT('BALANCE 2028'!$A$5:$A$94,2)="13"))*('BALANCE 2028'!$E$5:$E$94-'BALANCE 2028'!$D$5:$D$94)))-'COMPTE DE RESULTAT'!F47</f>
        <v>0</v>
      </c>
      <c r="H9" s="15" t="n">
        <f aca="false">(SUMPRODUCT(((LEFT('BALANCE 2029'!$A$5:$A$94,2)="13"))*('BALANCE 2029'!$E$5:$E$94-'BALANCE 2029'!$D$5:$D$94)))-'COMPTE DE RESULTAT'!G47</f>
        <v>0</v>
      </c>
    </row>
    <row r="10" customFormat="false" ht="15" hidden="false" customHeight="false" outlineLevel="0" collapsed="false">
      <c r="A10" s="13"/>
      <c r="B10" s="12" t="s">
        <v>554</v>
      </c>
      <c r="C10" s="15" t="n">
        <f aca="false">SUMPRODUCT(((LEFT('BALANCE 2024'!$A$5:$A$94,1)="2"))*('BALANCE 2024'!$H$5:$H$94-'BALANCE 2024'!$I$5:$I$94))-BILAN!C17</f>
        <v>0</v>
      </c>
      <c r="D10" s="15" t="n">
        <f aca="false">SUMPRODUCT(((LEFT('BALANCE 2025'!$A$5:$A$94,1)="2"))*('BALANCE 2025'!$H$5:$H$94-'BALANCE 2025'!$I$5:$I$94))-BILAN!D17</f>
        <v>0</v>
      </c>
      <c r="E10" s="15" t="n">
        <f aca="false">SUMPRODUCT(((LEFT('BALANCE 2026'!$A$5:$A$94,1)="2"))*('BALANCE 2026'!$H$5:$H$94-'BALANCE 2026'!$I$5:$I$94))-BILAN!E17</f>
        <v>0</v>
      </c>
      <c r="F10" s="15" t="n">
        <f aca="false">SUMPRODUCT(((LEFT('BALANCE 2027'!$A$5:$A$94,1)="2"))*('BALANCE 2027'!$H$5:$H$94-'BALANCE 2027'!$I$5:$I$94))-BILAN!F17</f>
        <v>0</v>
      </c>
      <c r="G10" s="15" t="n">
        <f aca="false">SUMPRODUCT(((LEFT('BALANCE 2028'!$A$5:$A$94,1)="2"))*('BALANCE 2028'!$H$5:$H$94-'BALANCE 2028'!$I$5:$I$94))-BILAN!G17</f>
        <v>0</v>
      </c>
      <c r="H10" s="15" t="n">
        <f aca="false">SUMPRODUCT(((LEFT('BALANCE 2029'!$A$5:$A$94,1)="2"))*('BALANCE 2029'!$H$5:$H$94-'BALANCE 2029'!$I$5:$I$94))-BILAN!H17</f>
        <v>0</v>
      </c>
    </row>
    <row r="11" customFormat="false" ht="15" hidden="false" customHeight="false" outlineLevel="0" collapsed="false">
      <c r="A11" s="13"/>
      <c r="B11" s="12" t="s">
        <v>555</v>
      </c>
      <c r="C11" s="15" t="n">
        <f aca="false">SUMPRODUCT(((LEFT('BALANCE 2024'!$A$5:$A$94,1)="3")+(LEFT('BALANCE 2024'!$A$5:$A$94,1)="4"))*('BALANCE 2024'!$H$5:$H$94-'BALANCE 2024'!$I$5:$I$94))-(BILAN!C24-BILAN!C55)</f>
        <v>0</v>
      </c>
      <c r="D11" s="15" t="n">
        <f aca="false">SUMPRODUCT(((LEFT('BALANCE 2025'!$A$5:$A$94,1)="3")+(LEFT('BALANCE 2025'!$A$5:$A$94,1)="4"))*('BALANCE 2025'!$H$5:$H$94-'BALANCE 2025'!$I$5:$I$94))-(BILAN!D24-BILAN!D55)</f>
        <v>0</v>
      </c>
      <c r="E11" s="15" t="n">
        <f aca="false">SUMPRODUCT(((LEFT('BALANCE 2026'!$A$5:$A$94,1)="3")+(LEFT('BALANCE 2026'!$A$5:$A$94,1)="4"))*('BALANCE 2026'!$H$5:$H$94-'BALANCE 2026'!$I$5:$I$94))-(BILAN!E24-BILAN!E55)</f>
        <v>0</v>
      </c>
      <c r="F11" s="15" t="n">
        <f aca="false">SUMPRODUCT(((LEFT('BALANCE 2027'!$A$5:$A$94,1)="3")+(LEFT('BALANCE 2027'!$A$5:$A$94,1)="4"))*('BALANCE 2027'!$H$5:$H$94-'BALANCE 2027'!$I$5:$I$94))-(BILAN!F24-BILAN!F55)</f>
        <v>0</v>
      </c>
      <c r="G11" s="15" t="n">
        <f aca="false">SUMPRODUCT(((LEFT('BALANCE 2028'!$A$5:$A$94,1)="3")+(LEFT('BALANCE 2028'!$A$5:$A$94,1)="4"))*('BALANCE 2028'!$H$5:$H$94-'BALANCE 2028'!$I$5:$I$94))-(BILAN!G24-BILAN!G55)</f>
        <v>0</v>
      </c>
      <c r="H11" s="15" t="n">
        <f aca="false">SUMPRODUCT(((LEFT('BALANCE 2029'!$A$5:$A$94,1)="3")+(LEFT('BALANCE 2029'!$A$5:$A$94,1)="4"))*('BALANCE 2029'!$H$5:$H$94-'BALANCE 2029'!$I$5:$I$94))-(BILAN!H24-BILAN!H55)</f>
        <v>0</v>
      </c>
    </row>
    <row r="12" customFormat="false" ht="15" hidden="false" customHeight="false" outlineLevel="0" collapsed="false">
      <c r="A12" s="13"/>
      <c r="B12" s="12" t="s">
        <v>556</v>
      </c>
      <c r="C12" s="15" t="n">
        <f aca="false">SUMPRODUCT(((LEFT('BALANCE 2024'!$A$5:$A$94,1)="5"))*('BALANCE 2024'!$H$5:$H$94-'BALANCE 2024'!$I$5:$I$94))-(BILAN!C28-BILAN!C58)</f>
        <v>0</v>
      </c>
      <c r="D12" s="15" t="n">
        <f aca="false">SUMPRODUCT(((LEFT('BALANCE 2025'!$A$5:$A$94,1)="5"))*('BALANCE 2025'!$H$5:$H$94-'BALANCE 2025'!$I$5:$I$94))-(BILAN!D28-BILAN!D58)</f>
        <v>0</v>
      </c>
      <c r="E12" s="15" t="n">
        <f aca="false">SUMPRODUCT(((LEFT('BALANCE 2026'!$A$5:$A$94,1)="5"))*('BALANCE 2026'!$H$5:$H$94-'BALANCE 2026'!$I$5:$I$94))-(BILAN!E28-BILAN!E58)</f>
        <v>0</v>
      </c>
      <c r="F12" s="15" t="n">
        <f aca="false">SUMPRODUCT(((LEFT('BALANCE 2027'!$A$5:$A$94,1)="5"))*('BALANCE 2027'!$H$5:$H$94-'BALANCE 2027'!$I$5:$I$94))-(BILAN!F28-BILAN!F58)</f>
        <v>0</v>
      </c>
      <c r="G12" s="15" t="n">
        <f aca="false">SUMPRODUCT(((LEFT('BALANCE 2028'!$A$5:$A$94,1)="5"))*('BALANCE 2028'!$H$5:$H$94-'BALANCE 2028'!$I$5:$I$94))-(BILAN!G28-BILAN!G58)</f>
        <v>0</v>
      </c>
      <c r="H12" s="15" t="n">
        <f aca="false">SUMPRODUCT(((LEFT('BALANCE 2029'!$A$5:$A$94,1)="5"))*('BALANCE 2029'!$H$5:$H$94-'BALANCE 2029'!$I$5:$I$94))-(BILAN!H28-BILAN!H58)</f>
        <v>0</v>
      </c>
    </row>
    <row r="13" customFormat="false" ht="15" hidden="false" customHeight="false" outlineLevel="0" collapsed="false">
      <c r="A13" s="13"/>
      <c r="B13" s="12" t="s">
        <v>557</v>
      </c>
      <c r="C13" s="15" t="n">
        <f aca="false">-(SUMPRODUCT(((LEFT('BALANCE 2024'!$A$5:$A$94,1)="1"))*('BALANCE 2024'!$H$5:$H$94-'BALANCE 2024'!$I$5:$I$94)))+'COMPTE DE RESULTAT'!C47-(BILAN!C43+BILAN!C47)</f>
        <v>0</v>
      </c>
      <c r="D13" s="15" t="n">
        <f aca="false">-(SUMPRODUCT(((LEFT('BALANCE 2025'!$A$5:$A$94,1)="1"))*('BALANCE 2025'!$H$5:$H$94-'BALANCE 2025'!$I$5:$I$94)))+'COMPTE DE RESULTAT'!D47-(BILAN!D43+BILAN!D47)</f>
        <v>0</v>
      </c>
      <c r="E13" s="15" t="n">
        <f aca="false">-(SUMPRODUCT(((LEFT('BALANCE 2026'!$A$5:$A$94,1)="1"))*('BALANCE 2026'!$H$5:$H$94-'BALANCE 2026'!$I$5:$I$94)))+'COMPTE DE RESULTAT'!E47-(BILAN!E43+BILAN!E47)</f>
        <v>0</v>
      </c>
      <c r="F13" s="15" t="n">
        <f aca="false">-(SUMPRODUCT(((LEFT('BALANCE 2027'!$A$5:$A$94,1)="1"))*('BALANCE 2027'!$H$5:$H$94-'BALANCE 2027'!$I$5:$I$94)))+'COMPTE DE RESULTAT'!F47-(BILAN!F43+BILAN!F47)</f>
        <v>0</v>
      </c>
      <c r="G13" s="15" t="n">
        <f aca="false">-(SUMPRODUCT(((LEFT('BALANCE 2028'!$A$5:$A$94,1)="1"))*('BALANCE 2028'!$H$5:$H$94-'BALANCE 2028'!$I$5:$I$94)))+'COMPTE DE RESULTAT'!G47-(BILAN!G43+BILAN!G47)</f>
        <v>0</v>
      </c>
      <c r="H13" s="15" t="n">
        <f aca="false">-(SUMPRODUCT(((LEFT('BALANCE 2029'!$A$5:$A$94,1)="1"))*('BALANCE 2029'!$H$5:$H$94-'BALANCE 2029'!$I$5:$I$94)))+'COMPTE DE RESULTAT'!H47-(BILAN!H43+BILAN!H47)</f>
        <v>0</v>
      </c>
    </row>
    <row r="14" customFormat="false" ht="15" hidden="false" customHeight="false" outlineLevel="0" collapsed="false">
      <c r="A14" s="13"/>
      <c r="B14" s="12" t="s">
        <v>558</v>
      </c>
      <c r="C14" s="15" t="n">
        <f aca="false">-(SUMPRODUCT(((LEFT('BALANCE 2024'!$A$5:$A$94,1)="6")+(LEFT('BALANCE 2024'!$A$5:$A$94,1)="7")+(LEFT('BALANCE 2024'!$A$5:$A$94,1)="8"))*('BALANCE 2024'!$H$5:$H$94-'BALANCE 2024'!$I$5:$I$94)))-'COMPTE DE RESULTAT'!C47</f>
        <v>0</v>
      </c>
      <c r="D14" s="15" t="n">
        <f aca="false">-(SUMPRODUCT(((LEFT('BALANCE 2025'!$A$5:$A$94,1)="6")+(LEFT('BALANCE 2025'!$A$5:$A$94,1)="7")+(LEFT('BALANCE 2025'!$A$5:$A$94,1)="8"))*('BALANCE 2025'!$H$5:$H$94-'BALANCE 2025'!$I$5:$I$94)))-'COMPTE DE RESULTAT'!D47</f>
        <v>0</v>
      </c>
      <c r="E14" s="15" t="n">
        <f aca="false">-(SUMPRODUCT(((LEFT('BALANCE 2026'!$A$5:$A$94,1)="6")+(LEFT('BALANCE 2026'!$A$5:$A$94,1)="7")+(LEFT('BALANCE 2026'!$A$5:$A$94,1)="8"))*('BALANCE 2026'!$H$5:$H$94-'BALANCE 2026'!$I$5:$I$94)))-'COMPTE DE RESULTAT'!E47</f>
        <v>0</v>
      </c>
      <c r="F14" s="15" t="n">
        <f aca="false">-(SUMPRODUCT(((LEFT('BALANCE 2027'!$A$5:$A$94,1)="6")+(LEFT('BALANCE 2027'!$A$5:$A$94,1)="7")+(LEFT('BALANCE 2027'!$A$5:$A$94,1)="8"))*('BALANCE 2027'!$H$5:$H$94-'BALANCE 2027'!$I$5:$I$94)))-'COMPTE DE RESULTAT'!F47</f>
        <v>0</v>
      </c>
      <c r="G14" s="15" t="n">
        <f aca="false">-(SUMPRODUCT(((LEFT('BALANCE 2028'!$A$5:$A$94,1)="6")+(LEFT('BALANCE 2028'!$A$5:$A$94,1)="7")+(LEFT('BALANCE 2028'!$A$5:$A$94,1)="8"))*('BALANCE 2028'!$H$5:$H$94-'BALANCE 2028'!$I$5:$I$94)))-'COMPTE DE RESULTAT'!G47</f>
        <v>0</v>
      </c>
      <c r="H14" s="15" t="n">
        <f aca="false">-(SUMPRODUCT(((LEFT('BALANCE 2029'!$A$5:$A$94,1)="6")+(LEFT('BALANCE 2029'!$A$5:$A$94,1)="7")+(LEFT('BALANCE 2029'!$A$5:$A$94,1)="8"))*('BALANCE 2029'!$H$5:$H$94-'BALANCE 2029'!$I$5:$I$94)))-'COMPTE DE RESULTAT'!H47</f>
        <v>0</v>
      </c>
    </row>
    <row r="15" customFormat="false" ht="15" hidden="false" customHeight="false" outlineLevel="0" collapsed="false">
      <c r="A15" s="13"/>
      <c r="B15" s="12" t="s">
        <v>559</v>
      </c>
      <c r="C15" s="15" t="n">
        <f aca="false">-(SUMPRODUCT(((LEFT('BALANCE 2024'!$A$5:$A$94,2)="70"))*('BALANCE 2024'!$H$5:$H$94-'BALANCE 2024'!$I$5:$I$94)))-'COMPTE DE RESULTAT'!C13</f>
        <v>0</v>
      </c>
      <c r="D15" s="15" t="n">
        <f aca="false">-(SUMPRODUCT(((LEFT('BALANCE 2025'!$A$5:$A$94,2)="70"))*('BALANCE 2025'!$H$5:$H$94-'BALANCE 2025'!$I$5:$I$94)))-'COMPTE DE RESULTAT'!D13</f>
        <v>0</v>
      </c>
      <c r="E15" s="15" t="n">
        <f aca="false">-(SUMPRODUCT(((LEFT('BALANCE 2026'!$A$5:$A$94,2)="70"))*('BALANCE 2026'!$H$5:$H$94-'BALANCE 2026'!$I$5:$I$94)))-'COMPTE DE RESULTAT'!E13</f>
        <v>0</v>
      </c>
      <c r="F15" s="15" t="n">
        <f aca="false">-(SUMPRODUCT(((LEFT('BALANCE 2027'!$A$5:$A$94,2)="70"))*('BALANCE 2027'!$H$5:$H$94-'BALANCE 2027'!$I$5:$I$94)))-'COMPTE DE RESULTAT'!F13</f>
        <v>0</v>
      </c>
      <c r="G15" s="15" t="n">
        <f aca="false">-(SUMPRODUCT(((LEFT('BALANCE 2028'!$A$5:$A$94,2)="70"))*('BALANCE 2028'!$H$5:$H$94-'BALANCE 2028'!$I$5:$I$94)))-'COMPTE DE RESULTAT'!G13</f>
        <v>0</v>
      </c>
      <c r="H15" s="15" t="n">
        <f aca="false">-(SUMPRODUCT(((LEFT('BALANCE 2029'!$A$5:$A$94,2)="70"))*('BALANCE 2029'!$H$5:$H$94-'BALANCE 2029'!$I$5:$I$94)))-'COMPTE DE RESULTAT'!H13</f>
        <v>0</v>
      </c>
    </row>
    <row r="16" customFormat="false" ht="15" hidden="false" customHeight="false" outlineLevel="0" collapsed="false">
      <c r="A16" s="13"/>
      <c r="B16" s="12" t="s">
        <v>560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561</v>
      </c>
      <c r="C17" s="15" t="n">
        <f aca="false">'COMPTE DE RESULTAT'!C47-HYPOTHESES!C56</f>
        <v>0</v>
      </c>
      <c r="D17" s="15" t="n">
        <f aca="false">'COMPTE DE RESULTAT'!D47-HYPOTHESES!D56</f>
        <v>0</v>
      </c>
      <c r="E17" s="15" t="n">
        <f aca="false">'COMPTE DE RESULTAT'!E47-HYPOTHESES!E56</f>
        <v>0</v>
      </c>
      <c r="F17" s="15" t="n">
        <f aca="false">'COMPTE DE RESULTAT'!F47-HYPOTHESES!F56</f>
        <v>0</v>
      </c>
      <c r="G17" s="15" t="n">
        <f aca="false">'COMPTE DE RESULTAT'!G47-HYPOTHESES!G56</f>
        <v>0</v>
      </c>
      <c r="H17" s="15" t="n">
        <f aca="false">'COMPTE DE RESULTAT'!H47-HYPOTHESES!H56</f>
        <v>0</v>
      </c>
    </row>
    <row r="18" customFormat="false" ht="15" hidden="false" customHeight="false" outlineLevel="0" collapsed="false">
      <c r="A18" s="13"/>
      <c r="B18" s="12" t="s">
        <v>562</v>
      </c>
      <c r="C18" s="41" t="s">
        <v>497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563</v>
      </c>
      <c r="C19" s="41" t="s">
        <v>497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564</v>
      </c>
      <c r="C20" s="41" t="s">
        <v>497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565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566</v>
      </c>
      <c r="C22" s="41" t="s">
        <v>497</v>
      </c>
      <c r="D22" s="15" t="n">
        <f aca="false">'INVEST ET FINANCEMENT'!D77-((BILAN!D48-BILAN!D17)-(BILAN!C48-BILAN!C17))</f>
        <v>0</v>
      </c>
      <c r="E22" s="15" t="n">
        <f aca="false">'INVEST ET FINANCEMENT'!E77-((BILAN!E48-BILAN!E17)-(BILAN!D48-BILAN!D17))</f>
        <v>0</v>
      </c>
      <c r="F22" s="15" t="n">
        <f aca="false">'INVEST ET FINANCEMENT'!F77-((BILAN!F48-BILAN!F17)-(BILAN!E48-BILAN!E17))</f>
        <v>0</v>
      </c>
      <c r="G22" s="15" t="n">
        <f aca="false">'INVEST ET FINANCEMENT'!G77-((BILAN!G48-BILAN!G17)-(BILAN!F48-BILAN!F17))</f>
        <v>0</v>
      </c>
      <c r="H22" s="15" t="n">
        <f aca="false">'INVEST ET FINANCEMENT'!H77-((BILAN!H48-BILAN!H17)-(BILAN!G48-BILAN!G17))</f>
        <v>0</v>
      </c>
    </row>
    <row r="23" customFormat="false" ht="15" hidden="false" customHeight="false" outlineLevel="0" collapsed="false">
      <c r="A23" s="13"/>
      <c r="B23" s="12" t="s">
        <v>567</v>
      </c>
      <c r="C23" s="42" t="n">
        <f aca="false">COUNTIF('BALANCE 2024'!F5:G94,"&lt;-0.5")</f>
        <v>0</v>
      </c>
      <c r="D23" s="42" t="n">
        <f aca="false">COUNTIF('BALANCE 2025'!F5:G94,"&lt;-0.5")</f>
        <v>0</v>
      </c>
      <c r="E23" s="42" t="n">
        <f aca="false">COUNTIF('BALANCE 2026'!F5:G94,"&lt;-0.5")</f>
        <v>0</v>
      </c>
      <c r="F23" s="42" t="n">
        <f aca="false">COUNTIF('BALANCE 2027'!F5:G94,"&lt;-0.5")</f>
        <v>0</v>
      </c>
      <c r="G23" s="42" t="n">
        <f aca="false">COUNTIF('BALANCE 2028'!F5:G94,"&lt;-0.5")</f>
        <v>0</v>
      </c>
      <c r="H23" s="42" t="n">
        <f aca="false">COUNTIF('BALANCE 2029'!F5:G94,"&lt;-0.5")</f>
        <v>0</v>
      </c>
    </row>
    <row r="24" customFormat="false" ht="15" hidden="false" customHeight="false" outlineLevel="0" collapsed="false">
      <c r="A24" s="13"/>
      <c r="B24" s="12" t="s">
        <v>568</v>
      </c>
      <c r="C24" s="42" t="n">
        <f aca="false">IF(OR(BILAN!C44&lt;-0.5,BILAN!C45&lt;-0.5),1,0)</f>
        <v>0</v>
      </c>
      <c r="D24" s="42" t="n">
        <f aca="false">IF(OR(BILAN!D44&lt;-0.5,BILAN!D45&lt;-0.5),1,0)</f>
        <v>0</v>
      </c>
      <c r="E24" s="42" t="n">
        <f aca="false">IF(OR(BILAN!E44&lt;-0.5,BILAN!E45&lt;-0.5),1,0)</f>
        <v>0</v>
      </c>
      <c r="F24" s="42" t="n">
        <f aca="false">IF(OR(BILAN!F44&lt;-0.5,BILAN!F45&lt;-0.5),1,0)</f>
        <v>0</v>
      </c>
      <c r="G24" s="42" t="n">
        <f aca="false">IF(OR(BILAN!G44&lt;-0.5,BILAN!G45&lt;-0.5),1,0)</f>
        <v>0</v>
      </c>
      <c r="H24" s="42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569</v>
      </c>
      <c r="C25" s="42" t="n">
        <f aca="false">IF(BILAN!C28-BILAN!C58&lt;0,1,0)</f>
        <v>0</v>
      </c>
      <c r="D25" s="42" t="n">
        <f aca="false">IF(BILAN!D28-BILAN!D58&lt;0,1,0)</f>
        <v>0</v>
      </c>
      <c r="E25" s="42" t="n">
        <f aca="false">IF(BILAN!E28-BILAN!E58&lt;0,1,0)</f>
        <v>0</v>
      </c>
      <c r="F25" s="42" t="n">
        <f aca="false">IF(BILAN!F28-BILAN!F58&lt;0,1,0)</f>
        <v>0</v>
      </c>
      <c r="G25" s="42" t="n">
        <f aca="false">IF(BILAN!G28-BILAN!G58&lt;0,1,0)</f>
        <v>0</v>
      </c>
      <c r="H25" s="42" t="n">
        <f aca="false">IF(BILAN!H28-BILAN!H58&lt;0,1,0)</f>
        <v>0</v>
      </c>
    </row>
    <row r="26" customFormat="false" ht="15" hidden="false" customHeight="false" outlineLevel="0" collapsed="false">
      <c r="A26" s="13"/>
      <c r="B26" s="12" t="s">
        <v>570</v>
      </c>
      <c r="C26" s="42" t="n">
        <f aca="false">IF(BILAN!C43&lt;BILAN!C33/2,1,0)</f>
        <v>0</v>
      </c>
      <c r="D26" s="42" t="n">
        <f aca="false">IF(BILAN!D43&lt;BILAN!D33/2,1,0)</f>
        <v>0</v>
      </c>
      <c r="E26" s="42" t="n">
        <f aca="false">IF(BILAN!E43&lt;BILAN!E33/2,1,0)</f>
        <v>0</v>
      </c>
      <c r="F26" s="42" t="n">
        <f aca="false">IF(BILAN!F43&lt;BILAN!F33/2,1,0)</f>
        <v>0</v>
      </c>
      <c r="G26" s="42" t="n">
        <f aca="false">IF(BILAN!G43&lt;BILAN!G33/2,1,0)</f>
        <v>0</v>
      </c>
      <c r="H26" s="42" t="n">
        <f aca="false">IF(BILAN!H43&lt;BILAN!H33/2,1,0)</f>
        <v>0</v>
      </c>
    </row>
    <row r="27" customFormat="false" ht="15" hidden="false" customHeight="false" outlineLevel="0" collapsed="false">
      <c r="B27" s="43" t="s">
        <v>571</v>
      </c>
      <c r="C27" s="44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</f>
        <v>0</v>
      </c>
      <c r="D27" s="44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</f>
        <v>0</v>
      </c>
      <c r="E27" s="44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</f>
        <v>0</v>
      </c>
      <c r="F27" s="44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</f>
        <v>0</v>
      </c>
      <c r="G27" s="44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</f>
        <v>0</v>
      </c>
      <c r="H27" s="44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</f>
        <v>0</v>
      </c>
      <c r="I27" s="43" t="str">
        <f aca="false">IF(SUM(C27:H27)=0,"OK","À VÉRIFIER")</f>
        <v>OK</v>
      </c>
    </row>
    <row r="29" customFormat="false" ht="15" hidden="false" customHeight="false" outlineLevel="0" collapsed="false">
      <c r="A29" s="27" t="s">
        <v>332</v>
      </c>
      <c r="B29" s="27" t="s">
        <v>572</v>
      </c>
      <c r="C29" s="27" t="str">
        <f aca="false">"Réel "&amp;HYPOTHESES!$C$5</f>
        <v>Réel 2024</v>
      </c>
      <c r="D29" s="38" t="n">
        <f aca="false">HYPOTHESES!$C$5+1</f>
        <v>2025</v>
      </c>
      <c r="E29" s="38" t="n">
        <f aca="false">HYPOTHESES!$C$5+2</f>
        <v>2026</v>
      </c>
      <c r="F29" s="38" t="n">
        <f aca="false">HYPOTHESES!$C$5+3</f>
        <v>2027</v>
      </c>
      <c r="G29" s="38" t="n">
        <f aca="false">HYPOTHESES!$C$5+4</f>
        <v>2028</v>
      </c>
      <c r="H29" s="38" t="n">
        <f aca="false">HYPOTHESES!$C$5+5</f>
        <v>2029</v>
      </c>
      <c r="I29" s="27"/>
    </row>
    <row r="30" customFormat="false" ht="15" hidden="false" customHeight="false" outlineLevel="0" collapsed="false">
      <c r="A30" s="13"/>
      <c r="B30" s="12" t="s">
        <v>573</v>
      </c>
      <c r="C30" s="45" t="str">
        <f aca="false">""</f>
        <v/>
      </c>
      <c r="D30" s="17" t="n">
        <f aca="false">IF('COMPTE DE RESULTAT'!C13=0,0,'COMPTE DE RESULTAT'!D13/'COMPTE DE RESULTAT'!C13-1)</f>
        <v>0.0700000000000001</v>
      </c>
      <c r="E30" s="17" t="n">
        <f aca="false">IF('COMPTE DE RESULTAT'!D13=0,0,'COMPTE DE RESULTAT'!E13/'COMPTE DE RESULTAT'!D13-1)</f>
        <v>0.05</v>
      </c>
      <c r="F30" s="17" t="n">
        <f aca="false">IF('COMPTE DE RESULTAT'!E13=0,0,'COMPTE DE RESULTAT'!F13/'COMPTE DE RESULTAT'!E13-1)</f>
        <v>0.05</v>
      </c>
      <c r="G30" s="17" t="n">
        <f aca="false">IF('COMPTE DE RESULTAT'!F13=0,0,'COMPTE DE RESULTAT'!G13/'COMPTE DE RESULTAT'!F13-1)</f>
        <v>0.05</v>
      </c>
      <c r="H30" s="17" t="n">
        <f aca="false">IF('COMPTE DE RESULTAT'!G13=0,0,'COMPTE DE RESULTAT'!H13/'COMPTE DE RESULTAT'!G13-1)</f>
        <v>0.05</v>
      </c>
    </row>
    <row r="31" customFormat="false" ht="15" hidden="false" customHeight="false" outlineLevel="0" collapsed="false">
      <c r="A31" s="13"/>
      <c r="B31" s="12" t="s">
        <v>574</v>
      </c>
      <c r="C31" s="17" t="n">
        <f aca="false">IF('COMPTE DE RESULTAT'!C13=0,0,'COMPTE DE RESULTAT'!C27/'COMPTE DE RESULTAT'!C13)</f>
        <v>0.422394255613904</v>
      </c>
      <c r="D31" s="17" t="n">
        <f aca="false">IF('COMPTE DE RESULTAT'!D13=0,0,'COMPTE DE RESULTAT'!D27/'COMPTE DE RESULTAT'!D13)</f>
        <v>0.4224</v>
      </c>
      <c r="E31" s="17" t="n">
        <f aca="false">IF('COMPTE DE RESULTAT'!E13=0,0,'COMPTE DE RESULTAT'!E27/'COMPTE DE RESULTAT'!E13)</f>
        <v>0.4224</v>
      </c>
      <c r="F31" s="17" t="n">
        <f aca="false">IF('COMPTE DE RESULTAT'!F13=0,0,'COMPTE DE RESULTAT'!F27/'COMPTE DE RESULTAT'!F13)</f>
        <v>0.4224</v>
      </c>
      <c r="G31" s="17" t="n">
        <f aca="false">IF('COMPTE DE RESULTAT'!G13=0,0,'COMPTE DE RESULTAT'!G27/'COMPTE DE RESULTAT'!G13)</f>
        <v>0.4224</v>
      </c>
      <c r="H31" s="17" t="n">
        <f aca="false">IF('COMPTE DE RESULTAT'!H13=0,0,'COMPTE DE RESULTAT'!H27/'COMPTE DE RESULTAT'!H13)</f>
        <v>0.4224</v>
      </c>
    </row>
    <row r="32" customFormat="false" ht="15" hidden="false" customHeight="false" outlineLevel="0" collapsed="false">
      <c r="A32" s="13"/>
      <c r="B32" s="12" t="s">
        <v>575</v>
      </c>
      <c r="C32" s="17" t="n">
        <f aca="false">IF('COMPTE DE RESULTAT'!C13=0,0,'COMPTE DE RESULTAT'!C29/'COMPTE DE RESULTAT'!C13)</f>
        <v>0.271151063655286</v>
      </c>
      <c r="D32" s="17" t="n">
        <f aca="false">IF('COMPTE DE RESULTAT'!D13=0,0,'COMPTE DE RESULTAT'!D29/'COMPTE DE RESULTAT'!D13)</f>
        <v>0.2712</v>
      </c>
      <c r="E32" s="17" t="n">
        <f aca="false">IF('COMPTE DE RESULTAT'!E13=0,0,'COMPTE DE RESULTAT'!E29/'COMPTE DE RESULTAT'!E13)</f>
        <v>0.2712</v>
      </c>
      <c r="F32" s="17" t="n">
        <f aca="false">IF('COMPTE DE RESULTAT'!F13=0,0,'COMPTE DE RESULTAT'!F29/'COMPTE DE RESULTAT'!F13)</f>
        <v>0.2712</v>
      </c>
      <c r="G32" s="17" t="n">
        <f aca="false">IF('COMPTE DE RESULTAT'!G13=0,0,'COMPTE DE RESULTAT'!G29/'COMPTE DE RESULTAT'!G13)</f>
        <v>0.2712</v>
      </c>
      <c r="H32" s="17" t="n">
        <f aca="false">IF('COMPTE DE RESULTAT'!H13=0,0,'COMPTE DE RESULTAT'!H29/'COMPTE DE RESULTAT'!H13)</f>
        <v>0.2712</v>
      </c>
    </row>
    <row r="33" customFormat="false" ht="15" hidden="false" customHeight="false" outlineLevel="0" collapsed="false">
      <c r="A33" s="13"/>
      <c r="B33" s="12" t="s">
        <v>576</v>
      </c>
      <c r="C33" s="17" t="n">
        <f aca="false">IF('COMPTE DE RESULTAT'!C13=0,0,'COMPTE DE RESULTAT'!C47/'COMPTE DE RESULTAT'!C13)</f>
        <v>0.103703436001107</v>
      </c>
      <c r="D33" s="17" t="n">
        <f aca="false">IF('COMPTE DE RESULTAT'!D13=0,0,'COMPTE DE RESULTAT'!D47/'COMPTE DE RESULTAT'!D13)</f>
        <v>0.123336948182156</v>
      </c>
      <c r="E33" s="17" t="n">
        <f aca="false">IF('COMPTE DE RESULTAT'!E13=0,0,'COMPTE DE RESULTAT'!E47/'COMPTE DE RESULTAT'!E13)</f>
        <v>0.109206635865224</v>
      </c>
      <c r="F33" s="17" t="n">
        <f aca="false">IF('COMPTE DE RESULTAT'!F13=0,0,'COMPTE DE RESULTAT'!F47/'COMPTE DE RESULTAT'!F13)</f>
        <v>0.110616858246087</v>
      </c>
      <c r="G33" s="17" t="n">
        <f aca="false">IF('COMPTE DE RESULTAT'!G13=0,0,'COMPTE DE RESULTAT'!G47/'COMPTE DE RESULTAT'!G13)</f>
        <v>0.116184521773867</v>
      </c>
      <c r="H33" s="17" t="n">
        <f aca="false">IF('COMPTE DE RESULTAT'!H13=0,0,'COMPTE DE RESULTAT'!H47/'COMPTE DE RESULTAT'!H13)</f>
        <v>0.118541489346438</v>
      </c>
    </row>
    <row r="34" customFormat="false" ht="15" hidden="false" customHeight="false" outlineLevel="0" collapsed="false">
      <c r="A34" s="13"/>
      <c r="B34" s="12" t="s">
        <v>577</v>
      </c>
      <c r="C34" s="15" t="n">
        <f aca="false">BILAN!C48-BILAN!C17</f>
        <v>268769832</v>
      </c>
      <c r="D34" s="15" t="n">
        <f aca="false">BILAN!D48-BILAN!D17</f>
        <v>372388409.67641</v>
      </c>
      <c r="E34" s="15" t="n">
        <f aca="false">BILAN!E48-BILAN!E17</f>
        <v>523164561.415141</v>
      </c>
      <c r="F34" s="15" t="n">
        <f aca="false">BILAN!F48-BILAN!F17</f>
        <v>682798347.415808</v>
      </c>
      <c r="G34" s="15" t="n">
        <f aca="false">BILAN!G48-BILAN!G17</f>
        <v>810509864.637342</v>
      </c>
      <c r="H34" s="15" t="n">
        <f aca="false">BILAN!H48-BILAN!H17</f>
        <v>987598206.690785</v>
      </c>
    </row>
    <row r="35" customFormat="false" ht="15" hidden="false" customHeight="false" outlineLevel="0" collapsed="false">
      <c r="A35" s="13"/>
      <c r="B35" s="12" t="s">
        <v>578</v>
      </c>
      <c r="C35" s="15" t="n">
        <f aca="false">BILAN!C24-BILAN!C55</f>
        <v>140635874</v>
      </c>
      <c r="D35" s="15" t="n">
        <f aca="false">BILAN!D24-BILAN!D55</f>
        <v>218062415.42489</v>
      </c>
      <c r="E35" s="15" t="n">
        <f aca="false">BILAN!E24-BILAN!E55</f>
        <v>298056487.84732</v>
      </c>
      <c r="F35" s="15" t="n">
        <f aca="false">BILAN!F24-BILAN!F55</f>
        <v>313207374.170241</v>
      </c>
      <c r="G35" s="15" t="n">
        <f aca="false">BILAN!G24-BILAN!G55</f>
        <v>313337464.499586</v>
      </c>
      <c r="H35" s="15" t="n">
        <f aca="false">BILAN!H24-BILAN!H55</f>
        <v>344208155.284288</v>
      </c>
    </row>
    <row r="36" customFormat="false" ht="15" hidden="false" customHeight="false" outlineLevel="0" collapsed="false">
      <c r="A36" s="35"/>
      <c r="B36" s="35" t="s">
        <v>579</v>
      </c>
      <c r="C36" s="36" t="n">
        <f aca="false">BILAN!C28-BILAN!C58</f>
        <v>128133958</v>
      </c>
      <c r="D36" s="36" t="n">
        <f aca="false">BILAN!D28-BILAN!D58</f>
        <v>154325994.25152</v>
      </c>
      <c r="E36" s="36" t="n">
        <f aca="false">BILAN!E28-BILAN!E58</f>
        <v>225108073.567822</v>
      </c>
      <c r="F36" s="36" t="n">
        <f aca="false">BILAN!F28-BILAN!F58</f>
        <v>369590973.245567</v>
      </c>
      <c r="G36" s="36" t="n">
        <f aca="false">BILAN!G28-BILAN!G58</f>
        <v>497172400.137755</v>
      </c>
      <c r="H36" s="36" t="n">
        <f aca="false">BILAN!H28-BILAN!H58</f>
        <v>643390051.406498</v>
      </c>
      <c r="I36" s="34"/>
    </row>
    <row r="37" customFormat="false" ht="15" hidden="false" customHeight="false" outlineLevel="0" collapsed="false">
      <c r="A37" s="13"/>
      <c r="B37" s="12" t="s">
        <v>580</v>
      </c>
      <c r="C37" s="18" t="n">
        <f aca="false">IF('COMPTE DE RESULTAT'!C13=0,0,C35/'COMPTE DE RESULTAT'!C13*360)</f>
        <v>72.2210937202613</v>
      </c>
      <c r="D37" s="18" t="n">
        <f aca="false">IF('COMPTE DE RESULTAT'!D13=0,0,D35/'COMPTE DE RESULTAT'!D13*360)</f>
        <v>104.656205673779</v>
      </c>
      <c r="E37" s="18" t="n">
        <f aca="false">IF('COMPTE DE RESULTAT'!E13=0,0,E35/'COMPTE DE RESULTAT'!E13*360)</f>
        <v>136.236490490134</v>
      </c>
      <c r="F37" s="18" t="n">
        <f aca="false">IF('COMPTE DE RESULTAT'!F13=0,0,F35/'COMPTE DE RESULTAT'!F13*360)</f>
        <v>136.344476050945</v>
      </c>
      <c r="G37" s="18" t="n">
        <f aca="false">IF('COMPTE DE RESULTAT'!G13=0,0,G35/'COMPTE DE RESULTAT'!G13*360)</f>
        <v>129.905815785887</v>
      </c>
      <c r="H37" s="18" t="n">
        <f aca="false">IF('COMPTE DE RESULTAT'!H13=0,0,H35/'COMPTE DE RESULTAT'!H13*360)</f>
        <v>135.908971661628</v>
      </c>
    </row>
    <row r="38" customFormat="false" ht="15" hidden="false" customHeight="false" outlineLevel="0" collapsed="false">
      <c r="A38" s="13"/>
      <c r="B38" s="12" t="s">
        <v>581</v>
      </c>
      <c r="C38" s="46" t="n">
        <f aca="false">IF(BILAN!C43=0,0,(BILAN!C44+BILAN!C45+BILAN!C58)/BILAN!C43)</f>
        <v>0.0587023942433689</v>
      </c>
      <c r="D38" s="46" t="n">
        <f aca="false">IF(BILAN!D43=0,0,(BILAN!D44+BILAN!D45+BILAN!D58)/BILAN!D43)</f>
        <v>0</v>
      </c>
      <c r="E38" s="46" t="n">
        <f aca="false">IF(BILAN!E43=0,0,(BILAN!E44+BILAN!E45+BILAN!E58)/BILAN!E43)</f>
        <v>0</v>
      </c>
      <c r="F38" s="46" t="n">
        <f aca="false">IF(BILAN!F43=0,0,(BILAN!F44+BILAN!F45+BILAN!F58)/BILAN!F43)</f>
        <v>0</v>
      </c>
      <c r="G38" s="46" t="n">
        <f aca="false">IF(BILAN!G43=0,0,(BILAN!G44+BILAN!G45+BILAN!G58)/BILAN!G43)</f>
        <v>0</v>
      </c>
      <c r="H38" s="46" t="n">
        <f aca="false">IF(BILAN!H43=0,0,(BILAN!H44+BILAN!H45+BILAN!H58)/BILAN!H43)</f>
        <v>0</v>
      </c>
    </row>
    <row r="39" customFormat="false" ht="15" hidden="false" customHeight="false" outlineLevel="0" collapsed="false">
      <c r="A39" s="13"/>
      <c r="B39" s="12" t="s">
        <v>582</v>
      </c>
      <c r="C39" s="17" t="n">
        <f aca="false">IF(BILAN!C43=0,0,'COMPTE DE RESULTAT'!C47/BILAN!C43)</f>
        <v>0.0848791418170092</v>
      </c>
      <c r="D39" s="17" t="n">
        <f aca="false">IF(BILAN!D43=0,0,'COMPTE DE RESULTAT'!D47/BILAN!D43)</f>
        <v>0.0974852922001292</v>
      </c>
      <c r="E39" s="17" t="n">
        <f aca="false">IF(BILAN!E43=0,0,'COMPTE DE RESULTAT'!E47/BILAN!E43)</f>
        <v>0.0831009081740251</v>
      </c>
      <c r="F39" s="17" t="n">
        <f aca="false">IF(BILAN!F43=0,0,'COMPTE DE RESULTAT'!F47/BILAN!F43)</f>
        <v>0.0812055518491815</v>
      </c>
      <c r="G39" s="17" t="n">
        <f aca="false">IF(BILAN!G43=0,0,'COMPTE DE RESULTAT'!G47/BILAN!G43)</f>
        <v>0.0821962152334047</v>
      </c>
      <c r="H39" s="17" t="n">
        <f aca="false">IF(BILAN!H43=0,0,'COMPTE DE RESULTAT'!H47/BILAN!H43)</f>
        <v>0.0809303895038061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2026-10-08T14:40:56Z</dcterms:created>
  <dc:creator>openpyxl</dc:creator>
  <dc:description/>
  <dc:language>en-US</dc:language>
  <cp:lastModifiedBy/>
  <dcterms:modified xsi:type="dcterms:W3CDTF">2026-10-08T14:40:57Z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