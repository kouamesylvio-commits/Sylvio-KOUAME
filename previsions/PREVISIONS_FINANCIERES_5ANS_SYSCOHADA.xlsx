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YPOTHESES" sheetId="1" state="visible" r:id="rId3"/>
    <sheet name="INVEST ET FINANCEMENT" sheetId="2" state="visible" r:id="rId4"/>
    <sheet name="BALANCES" sheetId="3" state="visible" r:id="rId5"/>
    <sheet name="BILAN" sheetId="4" state="visible" r:id="rId6"/>
    <sheet name="COMPTE DE RESULTAT" sheetId="5" state="visible" r:id="rId7"/>
    <sheet name="TFT" sheetId="6" state="visible" r:id="rId8"/>
    <sheet name="CONTROLE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5" authorId="0">
      <text>
        <r>
          <rPr>
            <sz val="10"/>
            <rFont val="Arial"/>
            <family val="2"/>
          </rPr>
          <t xml:space="preserve">Soldes réels repris de l'onglet « 2025 » (colonnes J/K, clôture 2024) du fichier source.</t>
        </r>
      </text>
    </comment>
  </commentList>
</comments>
</file>

<file path=xl/sharedStrings.xml><?xml version="1.0" encoding="utf-8"?>
<sst xmlns="http://schemas.openxmlformats.org/spreadsheetml/2006/main" count="770" uniqueCount="549">
  <si>
    <t xml:space="preserve">PRÉVISIONS FINANCIÈRES SUR 5 ANS : HYPOTHÈSES</t>
  </si>
  <si>
    <t xml:space="preserve">Référentiel : SYSCOHADA révisé (AUDCIF 2017) et CGI de Côte d'Ivoire. Montants en FCFA.</t>
  </si>
  <si>
    <t xml:space="preserve">Mode d'emploi : saisir uniquement les cellules sur fond JAUNE (texte bleu) de cet onglet et de l'onglet INVEST ET FINANCEMENT. Tout le reste (balances, bilan, compte de résultat, TFT) se recalcule automatiquement.</t>
  </si>
  <si>
    <t xml:space="preserve">Nom de l'entité</t>
  </si>
  <si>
    <t xml:space="preserve">MON ENTREPRISE</t>
  </si>
  <si>
    <t xml:space="preserve">Dernier exercice réel (année de base)</t>
  </si>
  <si>
    <t xml:space="preserve">Balance réelle reprise de l'onglet « 2025 » du fichier BALANCES_ET_PREVISIONS_TEST (soldes de clôture 31/12/2024).</t>
  </si>
  <si>
    <t xml:space="preserve">Rubrique</t>
  </si>
  <si>
    <t xml:space="preserve">Réf. / compte</t>
  </si>
  <si>
    <t xml:space="preserve">Commentaire / source</t>
  </si>
  <si>
    <t xml:space="preserve">1. ACTIVITÉ</t>
  </si>
  <si>
    <t xml:space="preserve">Taux de croissance du chiffre d'affaires</t>
  </si>
  <si>
    <t xml:space="preserve">%</t>
  </si>
  <si>
    <t xml:space="preserve">Hypothèse à ajuster selon le carnet de commandes / marchés attendus.</t>
  </si>
  <si>
    <t xml:space="preserve">Taux de TVA</t>
  </si>
  <si>
    <t xml:space="preserve">CGI CI art. 359 : taux normal 18 %.</t>
  </si>
  <si>
    <t xml:space="preserve">Revenus financiers</t>
  </si>
  <si>
    <t xml:space="preserve">77</t>
  </si>
  <si>
    <t xml:space="preserve">Défaut : niveau réel de l'année de base.</t>
  </si>
  <si>
    <t xml:space="preserve">2. CHARGES D'EXPLOITATION EN % DU CHIFFRE D'AFFAIRES (clé de répartition)</t>
  </si>
  <si>
    <t xml:space="preserve">Achats et autres approvisionnements</t>
  </si>
  <si>
    <t xml:space="preserve">604-605-608</t>
  </si>
  <si>
    <t xml:space="preserve">Défaut : ratio réel de l'année de base. Chaque compte de détail est ensuite réparti selon sa part dans la balance de base.</t>
  </si>
  <si>
    <t xml:space="preserve">Transports</t>
  </si>
  <si>
    <t xml:space="preserve">61</t>
  </si>
  <si>
    <t xml:space="preserve">Services extérieurs</t>
  </si>
  <si>
    <t xml:space="preserve">62-63</t>
  </si>
  <si>
    <t xml:space="preserve">Impôts et taxes</t>
  </si>
  <si>
    <t xml:space="preserve">64</t>
  </si>
  <si>
    <t xml:space="preserve">Autres charges</t>
  </si>
  <si>
    <t xml:space="preserve">65</t>
  </si>
  <si>
    <t xml:space="preserve">Charges de personnel</t>
  </si>
  <si>
    <t xml:space="preserve">66</t>
  </si>
  <si>
    <t xml:space="preserve">3. PROVISIONS</t>
  </si>
  <si>
    <t xml:space="preserve">Dotation aux provisions pour retraite (IFC)</t>
  </si>
  <si>
    <t xml:space="preserve">691 / 196</t>
  </si>
  <si>
    <t xml:space="preserve">Défaut : dotation réelle de l'année de base.</t>
  </si>
  <si>
    <t xml:space="preserve">4. BESOIN EN FONDS DE ROULEMENT</t>
  </si>
  <si>
    <t xml:space="preserve">Délai de paiement clients (jours de CA TTC)</t>
  </si>
  <si>
    <t xml:space="preserve">411</t>
  </si>
  <si>
    <t xml:space="preserve">Défaut : délai réel de l'année de base. Attention : délai légal max 60 j (AUDCG / directive UEMOA).</t>
  </si>
  <si>
    <t xml:space="preserve">Délai de paiement fournisseurs (jours d'achats et services TTC)</t>
  </si>
  <si>
    <t xml:space="preserve">401</t>
  </si>
  <si>
    <t xml:space="preserve">Base : achats (60) + transports (61) + services extérieurs (62-63).</t>
  </si>
  <si>
    <t xml:space="preserve">Délai de paiement des fournisseurs d'investissement (jours d'acquisitions HT)</t>
  </si>
  <si>
    <t xml:space="preserve">4812</t>
  </si>
  <si>
    <t xml:space="preserve">Dette de l'année sur les acquisitions de l'année = acquisitions x délai / 360. Défaut : délai réel 2024 (132,9 M / 364,9 M d'acquisitions).</t>
  </si>
  <si>
    <t xml:space="preserve">Règlement de la dette fournisseurs d'investissement du 31/12 de base (% de l'encours)</t>
  </si>
  <si>
    <t xml:space="preserve">Échéancier de l'encours 2024 (132,9 M) : non soldé en 2025. Le cumul ne doit pas dépasser 100 %.</t>
  </si>
  <si>
    <t xml:space="preserve">   Encours de base restant dû au 31/12</t>
  </si>
  <si>
    <t xml:space="preserve">   Dette sur acquisitions de l'année</t>
  </si>
  <si>
    <t xml:space="preserve">   Dette fournisseurs d'investissement au 31/12 (poste DH du bilan)</t>
  </si>
  <si>
    <t xml:space="preserve">Ajustement des autres dettes (+ augmentation / - diminution de l'année)</t>
  </si>
  <si>
    <t xml:space="preserve">4712</t>
  </si>
  <si>
    <t xml:space="preserve">Mouvement net saisi librement (créditeurs divers). Si le solde cumulé devient débiteur, il passe en autres créances (BJ).</t>
  </si>
  <si>
    <t xml:space="preserve">Les autres dettes fiscales et sociales évoluent comme leur charge de référence (66, 64) ; la TVA sur travaux en attente (4433, exigible à l'encaissement) suit les créances clients.</t>
  </si>
  <si>
    <t xml:space="preserve">5. FISCALITÉ (Côte d'Ivoire)</t>
  </si>
  <si>
    <t xml:space="preserve">Taux de l'impôt sur les bénéfices</t>
  </si>
  <si>
    <t xml:space="preserve">CGI art. 51 : 25 %.</t>
  </si>
  <si>
    <t xml:space="preserve">Taux de l'IMF (sur CA TTC)</t>
  </si>
  <si>
    <t xml:space="preserve">CGI art. 39 : 0,5 % du CA TTC.</t>
  </si>
  <si>
    <t xml:space="preserve">IMF minimum</t>
  </si>
  <si>
    <t xml:space="preserve">FCFA</t>
  </si>
  <si>
    <t xml:space="preserve">CGI art. 39.</t>
  </si>
  <si>
    <t xml:space="preserve">IMF maximum</t>
  </si>
  <si>
    <t xml:space="preserve">Réintégrations fiscales nettes (+) / déductions (-)</t>
  </si>
  <si>
    <t xml:space="preserve">Charges non déductibles (amendes, charges sans FNE, etc.) issues du tableau de passage.</t>
  </si>
  <si>
    <t xml:space="preserve">Dotation à la réserve légale (% du bénéfice)</t>
  </si>
  <si>
    <t xml:space="preserve">AUSCGIE art. 346 : 10 % jusqu'à 20 % du capital.</t>
  </si>
  <si>
    <t xml:space="preserve">Plafond de la réserve légale (% du capital)</t>
  </si>
  <si>
    <t xml:space="preserve">AUSCGIE art. 346.</t>
  </si>
  <si>
    <t xml:space="preserve">6. CALCULS DU RÉSULTAT ET DE L'IMPÔT (ne pas modifier)</t>
  </si>
  <si>
    <t xml:space="preserve">Chiffre d'affaires (travaux facturés)</t>
  </si>
  <si>
    <t xml:space="preserve">705</t>
  </si>
  <si>
    <t xml:space="preserve">Base achats TTC fournisseurs (60+61+62-63, HT)</t>
  </si>
  <si>
    <t xml:space="preserve">Dotations aux provisions (691)</t>
  </si>
  <si>
    <t xml:space="preserve">691</t>
  </si>
  <si>
    <t xml:space="preserve">Revenus financiers (77)</t>
  </si>
  <si>
    <t xml:space="preserve">Résultat avant impôt</t>
  </si>
  <si>
    <t xml:space="preserve">XG+XH</t>
  </si>
  <si>
    <t xml:space="preserve">Résultat fiscal (après réintégrations)</t>
  </si>
  <si>
    <t xml:space="preserve">IS théorique (25 %)</t>
  </si>
  <si>
    <t xml:space="preserve">IMF</t>
  </si>
  <si>
    <t xml:space="preserve">Impôt dû : le plus élevé de l'IS et de l'IMF</t>
  </si>
  <si>
    <t xml:space="preserve">891 / 895</t>
  </si>
  <si>
    <t xml:space="preserve">Résultat net de l'exercice</t>
  </si>
  <si>
    <t xml:space="preserve">XI</t>
  </si>
  <si>
    <t xml:space="preserve">Affectation N-1 : dotation à la réserve légale</t>
  </si>
  <si>
    <t xml:space="preserve">111</t>
  </si>
  <si>
    <t xml:space="preserve">Affectation N-1 : dividendes versés</t>
  </si>
  <si>
    <t xml:space="preserve">465 / 521</t>
  </si>
  <si>
    <t xml:space="preserve">Affectation N-1 : report à nouveau</t>
  </si>
  <si>
    <t xml:space="preserve">121</t>
  </si>
  <si>
    <t xml:space="preserve">HYPOTHÈSES D'INVESTISSEMENT ET DE FINANCEMENT</t>
  </si>
  <si>
    <t xml:space="preserve">Plan d'investissement, amortissements, endettement et plan de financement. Montants en FCFA.</t>
  </si>
  <si>
    <t xml:space="preserve">Mode d'emploi : saisir uniquement les cellules sur fond JAUNE (texte bleu). Les sections B, D et E se calculent automatiquement.</t>
  </si>
  <si>
    <t xml:space="preserve">A. PLAN D'INVESTISSEMENT (montants HT, acquisitions supposées au 1er janvier)</t>
  </si>
  <si>
    <t xml:space="preserve">Aménagements, agencements, installations</t>
  </si>
  <si>
    <t xml:space="preserve">2341 / 2834</t>
  </si>
  <si>
    <t xml:space="preserve">Colonne réel : acquisitions de l'année de base (mouvements débit 2024, hors location-acquisition 2456).</t>
  </si>
  <si>
    <t xml:space="preserve">Matériel et outillage industriel</t>
  </si>
  <si>
    <t xml:space="preserve">2411 / 2841</t>
  </si>
  <si>
    <t xml:space="preserve">Matériel de bureau et informatique</t>
  </si>
  <si>
    <t xml:space="preserve">2442 / 2844</t>
  </si>
  <si>
    <t xml:space="preserve">Matériel de transport</t>
  </si>
  <si>
    <t xml:space="preserve">2451 / 2845</t>
  </si>
  <si>
    <t xml:space="preserve">Nouveaux dépôts et cautionnements versés</t>
  </si>
  <si>
    <t xml:space="preserve">275</t>
  </si>
  <si>
    <t xml:space="preserve">Durée d'amortissement linéaire (années)</t>
  </si>
  <si>
    <t xml:space="preserve">   Aménagements, agencements, installations</t>
  </si>
  <si>
    <t xml:space="preserve">Durée d'utilité retenue (AUDCIF art. 45), fixée par l'entité.</t>
  </si>
  <si>
    <t xml:space="preserve">   Matériel et outillage industriel</t>
  </si>
  <si>
    <t xml:space="preserve">   Matériel de bureau et informatique</t>
  </si>
  <si>
    <t xml:space="preserve">   Matériel de transport</t>
  </si>
  <si>
    <t xml:space="preserve">Dotation annuelle sur les immobilisations existantes (plafonnée à la VNC restante)</t>
  </si>
  <si>
    <t xml:space="preserve">681</t>
  </si>
  <si>
    <t xml:space="preserve">   VNC au 31/12 de base des immo. existantes : aménagements, agencements, installations</t>
  </si>
  <si>
    <t xml:space="preserve">Brut moins amortissements de la balance de base.</t>
  </si>
  <si>
    <t xml:space="preserve">   VNC au 31/12 de base des immo. existantes : matériel et outillage industriel</t>
  </si>
  <si>
    <t xml:space="preserve">   VNC au 31/12 de base des immo. existantes : matériel de bureau et informatique</t>
  </si>
  <si>
    <t xml:space="preserve">   VNC au 31/12 de base des immo. existantes : matériel de transport</t>
  </si>
  <si>
    <t xml:space="preserve">B. AMORTISSEMENTS ET TABLEAU DES IMMOBILISATIONS CORPORELLES (calculé)</t>
  </si>
  <si>
    <t xml:space="preserve">Dotation sur existant : aménagements, agencements, installations</t>
  </si>
  <si>
    <t xml:space="preserve">Dotation sur acquisitions nouvelles : aménagements, agencements, installations</t>
  </si>
  <si>
    <t xml:space="preserve">Dotation totale : aménagements, agencements, installations</t>
  </si>
  <si>
    <t xml:space="preserve">Dotation sur existant : matériel et outillage industriel</t>
  </si>
  <si>
    <t xml:space="preserve">Dotation sur acquisitions nouvelles : matériel et outillage industriel</t>
  </si>
  <si>
    <t xml:space="preserve">Dotation totale : matériel et outillage industriel</t>
  </si>
  <si>
    <t xml:space="preserve">Dotation sur existant : matériel de bureau et informatique</t>
  </si>
  <si>
    <t xml:space="preserve">Dotation sur acquisitions nouvelles : matériel de bureau et informatique</t>
  </si>
  <si>
    <t xml:space="preserve">Dotation totale : matériel de bureau et informatique</t>
  </si>
  <si>
    <t xml:space="preserve">Dotation sur existant : matériel de transport</t>
  </si>
  <si>
    <t xml:space="preserve">Dotation sur acquisitions nouvelles : matériel de transport</t>
  </si>
  <si>
    <t xml:space="preserve">Dotation totale : matériel de transport</t>
  </si>
  <si>
    <t xml:space="preserve">Total investissements corporels</t>
  </si>
  <si>
    <t xml:space="preserve">Total dotations aux amortissements (681)</t>
  </si>
  <si>
    <t xml:space="preserve">Immobilisations corporelles brutes au 31/12</t>
  </si>
  <si>
    <t xml:space="preserve">22 à 24</t>
  </si>
  <si>
    <t xml:space="preserve">Amortissements cumulés au 31/12</t>
  </si>
  <si>
    <t xml:space="preserve">28</t>
  </si>
  <si>
    <t xml:space="preserve">Valeur nette comptable au 31/12 (= poste AI du bilan)</t>
  </si>
  <si>
    <t xml:space="preserve">AI</t>
  </si>
  <si>
    <t xml:space="preserve">C. HYPOTHÈSES DE FINANCEMENT ET DE CAPITAUX PROPRES</t>
  </si>
  <si>
    <t xml:space="preserve">Nouveaux emprunts</t>
  </si>
  <si>
    <t xml:space="preserve">162</t>
  </si>
  <si>
    <t xml:space="preserve">Remboursements d'emprunts</t>
  </si>
  <si>
    <t xml:space="preserve">Défaut : encours BNI (39,7 M) remboursé en 2 ans. À remplacer par l'échéancier bancaire.</t>
  </si>
  <si>
    <t xml:space="preserve">Remboursements de dettes de location-acquisition</t>
  </si>
  <si>
    <t xml:space="preserve">173</t>
  </si>
  <si>
    <t xml:space="preserve">Défaut : solde 10,6 M remboursé en année 1.</t>
  </si>
  <si>
    <t xml:space="preserve">Taux d'intérêt moyen sur dettes financières</t>
  </si>
  <si>
    <t xml:space="preserve">Appliqué à l'encours d'ouverture (671 emprunts, 672 location-acquisition).</t>
  </si>
  <si>
    <t xml:space="preserve">Augmentation de capital en numéraire</t>
  </si>
  <si>
    <t xml:space="preserve">101</t>
  </si>
  <si>
    <t xml:space="preserve">Dividendes distribués (% du bénéfice N-1 après réserve légale)</t>
  </si>
  <si>
    <t xml:space="preserve">Le solde est porté en report à nouveau (affectation votée en AG de l'année N).</t>
  </si>
  <si>
    <t xml:space="preserve">D. TABLEAU D'ENDETTEMENT (calculé)</t>
  </si>
  <si>
    <t xml:space="preserve">Emprunts : encours au 1er janvier</t>
  </si>
  <si>
    <t xml:space="preserve">   + Nouveaux emprunts</t>
  </si>
  <si>
    <t xml:space="preserve">   - Remboursements</t>
  </si>
  <si>
    <t xml:space="preserve">Emprunts : encours au 31 décembre</t>
  </si>
  <si>
    <t xml:space="preserve">DA</t>
  </si>
  <si>
    <t xml:space="preserve">Location-acquisition : encours au 1er janvier</t>
  </si>
  <si>
    <t xml:space="preserve">Location-acquisition : encours au 31 décembre</t>
  </si>
  <si>
    <t xml:space="preserve">DB</t>
  </si>
  <si>
    <t xml:space="preserve">Intérêts des emprunts (671)</t>
  </si>
  <si>
    <t xml:space="preserve">671</t>
  </si>
  <si>
    <t xml:space="preserve">Intérêts de location-acquisition (672)</t>
  </si>
  <si>
    <t xml:space="preserve">672</t>
  </si>
  <si>
    <t xml:space="preserve">Service de la dette (remboursements + intérêts)</t>
  </si>
  <si>
    <t xml:space="preserve">E. PLAN DE FINANCEMENT (calculé)</t>
  </si>
  <si>
    <t xml:space="preserve">Emplois : investissements corporels</t>
  </si>
  <si>
    <t xml:space="preserve">Emplois : immobilisations financières</t>
  </si>
  <si>
    <t xml:space="preserve">Emplois : remboursements de dettes financières</t>
  </si>
  <si>
    <t xml:space="preserve">Emplois : dividendes versés</t>
  </si>
  <si>
    <t xml:space="preserve">TOTAL EMPLOIS</t>
  </si>
  <si>
    <t xml:space="preserve">Ressources : capacité d'autofinancement globale (CAFG)</t>
  </si>
  <si>
    <t xml:space="preserve">FA</t>
  </si>
  <si>
    <t xml:space="preserve">Ressources : augmentation de capital</t>
  </si>
  <si>
    <t xml:space="preserve">Ressources : nouveaux emprunts</t>
  </si>
  <si>
    <t xml:space="preserve">TOTAL RESSOURCES</t>
  </si>
  <si>
    <t xml:space="preserve">Variation du fonds de roulement (ressources - emplois)</t>
  </si>
  <si>
    <t xml:space="preserve">Un solde négatif signifie que les investissements et remboursements sont financés en puisant dans la trésorerie.</t>
  </si>
  <si>
    <t xml:space="preserve">BALANCES GÉNÉRALES : RÉEL ET PRÉVISIONNEL (soldes après inventaire, avant clôture des classes 6 à 8)</t>
  </si>
  <si>
    <t xml:space="preserve">Colonnes de base = balance réelle ; colonnes suivantes = balances prévisionnelles calculées depuis l'onglet HYPOTHESES. Ne rien saisir ici.</t>
  </si>
  <si>
    <t xml:space="preserve">Compte</t>
  </si>
  <si>
    <t xml:space="preserve">Intitulé</t>
  </si>
  <si>
    <t xml:space="preserve">Poste</t>
  </si>
  <si>
    <t xml:space="preserve">Solde débiteur</t>
  </si>
  <si>
    <t xml:space="preserve">Solde créditeur</t>
  </si>
  <si>
    <t xml:space="preserve">Capital social</t>
  </si>
  <si>
    <t xml:space="preserve">CA</t>
  </si>
  <si>
    <t xml:space="preserve">Réserve légale</t>
  </si>
  <si>
    <t xml:space="preserve">CF</t>
  </si>
  <si>
    <t xml:space="preserve">Report à nouveau</t>
  </si>
  <si>
    <t xml:space="preserve">CH</t>
  </si>
  <si>
    <t xml:space="preserve">Emprunts auprès des établissements de crédit (BNI)</t>
  </si>
  <si>
    <t xml:space="preserve">Dettes de location-acquisition</t>
  </si>
  <si>
    <t xml:space="preserve">Provisions pour pensions et obligations similaires (IFC)</t>
  </si>
  <si>
    <t xml:space="preserve">DC</t>
  </si>
  <si>
    <t xml:space="preserve">Aménagements, agencements et installations techniques</t>
  </si>
  <si>
    <t xml:space="preserve">AL</t>
  </si>
  <si>
    <t xml:space="preserve">Matériel industriel</t>
  </si>
  <si>
    <t xml:space="preserve">AM</t>
  </si>
  <si>
    <t xml:space="preserve">Matériel de bureau</t>
  </si>
  <si>
    <t xml:space="preserve">Matériel informatique</t>
  </si>
  <si>
    <t xml:space="preserve">Matériel automobile</t>
  </si>
  <si>
    <t xml:space="preserve">AN</t>
  </si>
  <si>
    <t xml:space="preserve">Matériel de transport en location-acquisition</t>
  </si>
  <si>
    <t xml:space="preserve">Autres prêts et créances</t>
  </si>
  <si>
    <t xml:space="preserve">AS</t>
  </si>
  <si>
    <t xml:space="preserve">Dépôts et cautionnements versés</t>
  </si>
  <si>
    <t xml:space="preserve">Amortissements des aménagements, agencements</t>
  </si>
  <si>
    <t xml:space="preserve">Amortissements du matériel et outillage</t>
  </si>
  <si>
    <t xml:space="preserve">Amortissements du matériel de bureau et informatique</t>
  </si>
  <si>
    <t xml:space="preserve">Amortissements du matériel de transport</t>
  </si>
  <si>
    <t xml:space="preserve">Fournisseurs</t>
  </si>
  <si>
    <t xml:space="preserve">DJ</t>
  </si>
  <si>
    <t xml:space="preserve">Clients</t>
  </si>
  <si>
    <t xml:space="preserve">BI</t>
  </si>
  <si>
    <t xml:space="preserve">Personnel, rémunérations dues</t>
  </si>
  <si>
    <t xml:space="preserve">DK</t>
  </si>
  <si>
    <t xml:space="preserve">CNPS, retraite part employeur</t>
  </si>
  <si>
    <t xml:space="preserve">CNPS, retraite part salariale</t>
  </si>
  <si>
    <t xml:space="preserve">CMU, part salariale</t>
  </si>
  <si>
    <t xml:space="preserve">État, impôt sur les bénéfices</t>
  </si>
  <si>
    <t xml:space="preserve">Autres impôts et taxes</t>
  </si>
  <si>
    <t xml:space="preserve">FDFP, taxe d'apprentissage</t>
  </si>
  <si>
    <t xml:space="preserve">FDFP, formation continue</t>
  </si>
  <si>
    <t xml:space="preserve">FDFP, FPC à régulariser</t>
  </si>
  <si>
    <t xml:space="preserve">Impôt sur salaires, part patronale</t>
  </si>
  <si>
    <t xml:space="preserve">Patente</t>
  </si>
  <si>
    <t xml:space="preserve">État, TVA facturée sur travaux (en attente)</t>
  </si>
  <si>
    <t xml:space="preserve">Taxe spéciale d'équipement</t>
  </si>
  <si>
    <t xml:space="preserve">ITS retenu à la source</t>
  </si>
  <si>
    <t xml:space="preserve">Associés, comptes courants</t>
  </si>
  <si>
    <t xml:space="preserve">DM</t>
  </si>
  <si>
    <t xml:space="preserve">Créditeurs divers (ajustements des autres dettes)</t>
  </si>
  <si>
    <t xml:space="preserve">DMBJ</t>
  </si>
  <si>
    <t xml:space="preserve">Fournisseurs d'investissements</t>
  </si>
  <si>
    <t xml:space="preserve">DH</t>
  </si>
  <si>
    <t xml:space="preserve">Banque SGCI</t>
  </si>
  <si>
    <t xml:space="preserve">TRESO</t>
  </si>
  <si>
    <t xml:space="preserve">Caisse</t>
  </si>
  <si>
    <t xml:space="preserve">BS</t>
  </si>
  <si>
    <t xml:space="preserve">Produits d'entretien</t>
  </si>
  <si>
    <t xml:space="preserve">RE</t>
  </si>
  <si>
    <t xml:space="preserve">Eau</t>
  </si>
  <si>
    <t xml:space="preserve">Eléctricité</t>
  </si>
  <si>
    <t xml:space="preserve">Autres énergies</t>
  </si>
  <si>
    <t xml:space="preserve">Fournitures de bureau non stockable</t>
  </si>
  <si>
    <t xml:space="preserve">Achats de petit matériel et outilla</t>
  </si>
  <si>
    <t xml:space="preserve">Achats d'études et prestations de s</t>
  </si>
  <si>
    <t xml:space="preserve">Achats de materiels et equiepents</t>
  </si>
  <si>
    <t xml:space="preserve">Transports de plis</t>
  </si>
  <si>
    <t xml:space="preserve">RG</t>
  </si>
  <si>
    <t xml:space="preserve">Transports entre ‚tablissement ou c</t>
  </si>
  <si>
    <t xml:space="preserve">Transports administratifs</t>
  </si>
  <si>
    <t xml:space="preserve">Location de batiment</t>
  </si>
  <si>
    <t xml:space="preserve">RH</t>
  </si>
  <si>
    <t xml:space="preserve">Entretien et réparation des biens m</t>
  </si>
  <si>
    <t xml:space="preserve">Autres primes d'assurances</t>
  </si>
  <si>
    <t xml:space="preserve">Documentation techniques</t>
  </si>
  <si>
    <t xml:space="preserve">Frais de colloques, séminaires, con</t>
  </si>
  <si>
    <t xml:space="preserve">Autres frais de télécommunications</t>
  </si>
  <si>
    <t xml:space="preserve">Autres frais bancaires</t>
  </si>
  <si>
    <t xml:space="preserve">Divers frais</t>
  </si>
  <si>
    <t xml:space="preserve">Charges externes diverses</t>
  </si>
  <si>
    <t xml:space="preserve">Impot foncier</t>
  </si>
  <si>
    <t xml:space="preserve">RI</t>
  </si>
  <si>
    <t xml:space="preserve">Patente commerciale</t>
  </si>
  <si>
    <t xml:space="preserve">Patente transport</t>
  </si>
  <si>
    <t xml:space="preserve">Taxes sur appointements et salaires</t>
  </si>
  <si>
    <t xml:space="preserve">Taxes d'apprentissage</t>
  </si>
  <si>
    <t xml:space="preserve">Formation professionnelle continue</t>
  </si>
  <si>
    <t xml:space="preserve">Tse</t>
  </si>
  <si>
    <t xml:space="preserve">Droits de timbre</t>
  </si>
  <si>
    <t xml:space="preserve">Autres impots et taxes</t>
  </si>
  <si>
    <t xml:space="preserve">Autres charges diverses</t>
  </si>
  <si>
    <t xml:space="preserve">RJ</t>
  </si>
  <si>
    <t xml:space="preserve">Appointements salaires national</t>
  </si>
  <si>
    <t xml:space="preserve">RK</t>
  </si>
  <si>
    <t xml:space="preserve">Primes et gratifications</t>
  </si>
  <si>
    <t xml:space="preserve">Congés payés</t>
  </si>
  <si>
    <t xml:space="preserve">Indem.preavis&amp;licenc imposables</t>
  </si>
  <si>
    <t xml:space="preserve">Indemnités de transport</t>
  </si>
  <si>
    <t xml:space="preserve">Charges socialescr employeur</t>
  </si>
  <si>
    <t xml:space="preserve">Interet des emprunts ecobank</t>
  </si>
  <si>
    <t xml:space="preserve">RM</t>
  </si>
  <si>
    <t xml:space="preserve">Interet de credit bail bni -1</t>
  </si>
  <si>
    <t xml:space="preserve">Dotations aux amortissements : aménagements</t>
  </si>
  <si>
    <t xml:space="preserve">RL</t>
  </si>
  <si>
    <t xml:space="preserve">Dotations aux amortissements : matériel et outillage</t>
  </si>
  <si>
    <t xml:space="preserve">Dotations aux amortissements : bureau et informatique</t>
  </si>
  <si>
    <t xml:space="preserve">Dotations aux amortissements : transport</t>
  </si>
  <si>
    <t xml:space="preserve">Dotations aux provisions pour risques et charges</t>
  </si>
  <si>
    <t xml:space="preserve">Travaux facturés</t>
  </si>
  <si>
    <t xml:space="preserve">TC</t>
  </si>
  <si>
    <t xml:space="preserve">Intérêts des prêts</t>
  </si>
  <si>
    <t xml:space="preserve">TK</t>
  </si>
  <si>
    <t xml:space="preserve">Impôts sur les bénéfices</t>
  </si>
  <si>
    <t xml:space="preserve">RS</t>
  </si>
  <si>
    <t xml:space="preserve">Impôt minimum forfaitaire (IMF)</t>
  </si>
  <si>
    <t xml:space="preserve">TOTAL BALANCE</t>
  </si>
  <si>
    <t xml:space="preserve">Écart débit - crédit (doit être nul)</t>
  </si>
  <si>
    <t xml:space="preserve">Règles de projection : capitaux, emprunts, immobilisations et amortissements depuis HYPOTHESES (sections 3-4) ; clients et fournisseurs selon les délais ; dettes sociales et fiscales proportionnelles aux charges 66 et 64 ; charges de détail réparties selon leur poids dans la balance de base ; la banque est le solde de trésorerie qui équilibre la balance (si négative, elle passe au crédit = concours bancaire DR).</t>
  </si>
  <si>
    <t xml:space="preserve">BILAN PRÉVISIONNEL SUR 5 ANS (modèle SYSCOHADA révisé, système normal)</t>
  </si>
  <si>
    <t xml:space="preserve">Alimenté par l'onglet BALANCES. Valeurs nettes d'amortissements et de dépréciations. Montants en FCFA.</t>
  </si>
  <si>
    <t xml:space="preserve">Réf.</t>
  </si>
  <si>
    <t xml:space="preserve">BILAN : ACTIF (valeurs nettes)</t>
  </si>
  <si>
    <t xml:space="preserve">Var. moy. / an</t>
  </si>
  <si>
    <t xml:space="preserve">AD</t>
  </si>
  <si>
    <t xml:space="preserve">Immobilisations incorporelles</t>
  </si>
  <si>
    <t xml:space="preserve">AJ</t>
  </si>
  <si>
    <t xml:space="preserve">   Terrains</t>
  </si>
  <si>
    <t xml:space="preserve">AK</t>
  </si>
  <si>
    <t xml:space="preserve">   Bâtiments</t>
  </si>
  <si>
    <t xml:space="preserve">   Aménagements, agencements et installations</t>
  </si>
  <si>
    <t xml:space="preserve">   Matériel, mobilier et actifs biologiques</t>
  </si>
  <si>
    <t xml:space="preserve">Immobilisations corporelles</t>
  </si>
  <si>
    <t xml:space="preserve">AP</t>
  </si>
  <si>
    <t xml:space="preserve">Avances et acomptes versés sur immobilisations</t>
  </si>
  <si>
    <t xml:space="preserve">AR</t>
  </si>
  <si>
    <t xml:space="preserve">   Titres de participation</t>
  </si>
  <si>
    <t xml:space="preserve">   Autres immobilisations financières</t>
  </si>
  <si>
    <t xml:space="preserve">AQ</t>
  </si>
  <si>
    <t xml:space="preserve">Immobilisations financières</t>
  </si>
  <si>
    <t xml:space="preserve">AZ</t>
  </si>
  <si>
    <t xml:space="preserve">TOTAL ACTIF IMMOBILISÉ</t>
  </si>
  <si>
    <t xml:space="preserve">BA</t>
  </si>
  <si>
    <t xml:space="preserve">Actif circulant HAO</t>
  </si>
  <si>
    <t xml:space="preserve">BB</t>
  </si>
  <si>
    <t xml:space="preserve">Stocks et encours</t>
  </si>
  <si>
    <t xml:space="preserve">BH</t>
  </si>
  <si>
    <t xml:space="preserve">   Fournisseurs, avances versées</t>
  </si>
  <si>
    <t xml:space="preserve">   Clients</t>
  </si>
  <si>
    <t xml:space="preserve">BJ</t>
  </si>
  <si>
    <t xml:space="preserve">   Autres créances</t>
  </si>
  <si>
    <t xml:space="preserve">BG</t>
  </si>
  <si>
    <t xml:space="preserve">Créances et emplois assimilés</t>
  </si>
  <si>
    <t xml:space="preserve">BK</t>
  </si>
  <si>
    <t xml:space="preserve">TOTAL ACTIF CIRCULANT</t>
  </si>
  <si>
    <t xml:space="preserve">BQ</t>
  </si>
  <si>
    <t xml:space="preserve">Titres de placement</t>
  </si>
  <si>
    <t xml:space="preserve">BR</t>
  </si>
  <si>
    <t xml:space="preserve">Valeurs à encaisser</t>
  </si>
  <si>
    <t xml:space="preserve">Banques, chèques postaux, caisse et assimilés</t>
  </si>
  <si>
    <t xml:space="preserve">BT</t>
  </si>
  <si>
    <t xml:space="preserve">TOTAL TRÉSORERIE-ACTIF</t>
  </si>
  <si>
    <t xml:space="preserve">BU</t>
  </si>
  <si>
    <t xml:space="preserve">Écart de conversion-Actif</t>
  </si>
  <si>
    <t xml:space="preserve">BZ</t>
  </si>
  <si>
    <t xml:space="preserve">TOTAL GÉNÉRAL ACTIF</t>
  </si>
  <si>
    <t xml:space="preserve">BILAN : PASSIF</t>
  </si>
  <si>
    <t xml:space="preserve">Capital</t>
  </si>
  <si>
    <t xml:space="preserve">CB</t>
  </si>
  <si>
    <t xml:space="preserve">Apporteurs, capital non appelé (-)</t>
  </si>
  <si>
    <t xml:space="preserve">CD</t>
  </si>
  <si>
    <t xml:space="preserve">Primes liées au capital social</t>
  </si>
  <si>
    <t xml:space="preserve">CE</t>
  </si>
  <si>
    <t xml:space="preserve">Écarts de réévaluation</t>
  </si>
  <si>
    <t xml:space="preserve">Réserves indisponibles (dont réserve légale)</t>
  </si>
  <si>
    <t xml:space="preserve">CG</t>
  </si>
  <si>
    <t xml:space="preserve">Réserves libres</t>
  </si>
  <si>
    <t xml:space="preserve">Report à nouveau (+ ou -)</t>
  </si>
  <si>
    <t xml:space="preserve">CJ</t>
  </si>
  <si>
    <t xml:space="preserve">Résultat net de l'exercice (bénéfice + ou perte -)</t>
  </si>
  <si>
    <t xml:space="preserve">CL</t>
  </si>
  <si>
    <t xml:space="preserve">Subventions d'investissement</t>
  </si>
  <si>
    <t xml:space="preserve">CM</t>
  </si>
  <si>
    <t xml:space="preserve">Provisions réglementées</t>
  </si>
  <si>
    <t xml:space="preserve">CP</t>
  </si>
  <si>
    <t xml:space="preserve">TOTAL CAPITAUX PROPRES ET RESSOURCES ASSIMILÉES</t>
  </si>
  <si>
    <t xml:space="preserve">Emprunts et dettes financières diverses</t>
  </si>
  <si>
    <t xml:space="preserve">Provisions pour risques et charges</t>
  </si>
  <si>
    <t xml:space="preserve">DD</t>
  </si>
  <si>
    <t xml:space="preserve">TOTAL DETTES FINANCIÈRES ET RESSOURCES ASSIMILÉES</t>
  </si>
  <si>
    <t xml:space="preserve">DF</t>
  </si>
  <si>
    <t xml:space="preserve">TOTAL RESSOURCES STABLES</t>
  </si>
  <si>
    <t xml:space="preserve">Dettes circulantes HAO (fournisseurs d'investissement)</t>
  </si>
  <si>
    <t xml:space="preserve">DI</t>
  </si>
  <si>
    <t xml:space="preserve">Clients, avances reçues</t>
  </si>
  <si>
    <t xml:space="preserve">Fournisseurs d'exploitation</t>
  </si>
  <si>
    <t xml:space="preserve">Dettes fiscales et sociales</t>
  </si>
  <si>
    <t xml:space="preserve">Autres dettes</t>
  </si>
  <si>
    <t xml:space="preserve">DN</t>
  </si>
  <si>
    <t xml:space="preserve">Provisions pour risques à court terme</t>
  </si>
  <si>
    <t xml:space="preserve">DP</t>
  </si>
  <si>
    <t xml:space="preserve">TOTAL PASSIF CIRCULANT</t>
  </si>
  <si>
    <t xml:space="preserve">DQ</t>
  </si>
  <si>
    <t xml:space="preserve">Banques, crédits d'escompte</t>
  </si>
  <si>
    <t xml:space="preserve">DR</t>
  </si>
  <si>
    <t xml:space="preserve">Banques, établissements financiers et crédits de trésorerie</t>
  </si>
  <si>
    <t xml:space="preserve">DT</t>
  </si>
  <si>
    <t xml:space="preserve">TOTAL TRÉSORERIE-PASSIF</t>
  </si>
  <si>
    <t xml:space="preserve">DV</t>
  </si>
  <si>
    <t xml:space="preserve">Écart de conversion-Passif</t>
  </si>
  <si>
    <t xml:space="preserve">DZ</t>
  </si>
  <si>
    <t xml:space="preserve">TOTAL GÉNÉRAL PASSIF</t>
  </si>
  <si>
    <t xml:space="preserve">COMPTE DE RÉSULTAT PRÉVISIONNEL SUR 5 ANS (modèle SYSCOHADA révisé)</t>
  </si>
  <si>
    <t xml:space="preserve">Alimenté par l'onglet BALANCES. Charges présentées en négatif, soldes intermédiaires XA à XI. Montants en FCFA.</t>
  </si>
  <si>
    <t xml:space="preserve">COMPTE DE RÉSULTAT (charges en négatif)</t>
  </si>
  <si>
    <t xml:space="preserve">TA</t>
  </si>
  <si>
    <t xml:space="preserve">Ventes de marchandises</t>
  </si>
  <si>
    <t xml:space="preserve">RA</t>
  </si>
  <si>
    <t xml:space="preserve">Achats de marchandises</t>
  </si>
  <si>
    <t xml:space="preserve">RB</t>
  </si>
  <si>
    <t xml:space="preserve">Variation de stocks de marchandises</t>
  </si>
  <si>
    <t xml:space="preserve">XA</t>
  </si>
  <si>
    <t xml:space="preserve">MARGE COMMERCIALE</t>
  </si>
  <si>
    <t xml:space="preserve">TB</t>
  </si>
  <si>
    <t xml:space="preserve">Ventes de produits fabriqués</t>
  </si>
  <si>
    <t xml:space="preserve">Travaux, services vendus</t>
  </si>
  <si>
    <t xml:space="preserve">TD</t>
  </si>
  <si>
    <t xml:space="preserve">Produits accessoires</t>
  </si>
  <si>
    <t xml:space="preserve">XB</t>
  </si>
  <si>
    <t xml:space="preserve">CHIFFRE D'AFFAIRES</t>
  </si>
  <si>
    <t xml:space="preserve">TE</t>
  </si>
  <si>
    <t xml:space="preserve">Production stockée (ou déstockage)</t>
  </si>
  <si>
    <t xml:space="preserve">TF</t>
  </si>
  <si>
    <t xml:space="preserve">Production immobilisée</t>
  </si>
  <si>
    <t xml:space="preserve">TG</t>
  </si>
  <si>
    <t xml:space="preserve">Subventions d'exploitation</t>
  </si>
  <si>
    <t xml:space="preserve">TH</t>
  </si>
  <si>
    <t xml:space="preserve">Autres produits</t>
  </si>
  <si>
    <t xml:space="preserve">TI</t>
  </si>
  <si>
    <t xml:space="preserve">Transferts de charges d'exploitation</t>
  </si>
  <si>
    <t xml:space="preserve">RC</t>
  </si>
  <si>
    <t xml:space="preserve">Achats de matières premières et fournitures liées</t>
  </si>
  <si>
    <t xml:space="preserve">RD</t>
  </si>
  <si>
    <t xml:space="preserve">Variation de stocks de matières premières</t>
  </si>
  <si>
    <t xml:space="preserve">Autres achats</t>
  </si>
  <si>
    <t xml:space="preserve">RF</t>
  </si>
  <si>
    <t xml:space="preserve">Variation de stocks d'autres approvisionnements</t>
  </si>
  <si>
    <t xml:space="preserve">XC</t>
  </si>
  <si>
    <t xml:space="preserve">VALEUR AJOUTÉE</t>
  </si>
  <si>
    <t xml:space="preserve">XD</t>
  </si>
  <si>
    <t xml:space="preserve">EXCÉDENT BRUT D'EXPLOITATION</t>
  </si>
  <si>
    <t xml:space="preserve">TJ</t>
  </si>
  <si>
    <t xml:space="preserve">Reprises d'amortissements, provisions et dépréciations</t>
  </si>
  <si>
    <t xml:space="preserve">Dotations aux amortissements, provisions et dépréciations</t>
  </si>
  <si>
    <t xml:space="preserve">XE</t>
  </si>
  <si>
    <t xml:space="preserve">RÉSULTAT D'EXPLOITATION</t>
  </si>
  <si>
    <t xml:space="preserve">Revenus financiers et assimilés</t>
  </si>
  <si>
    <t xml:space="preserve">TL</t>
  </si>
  <si>
    <t xml:space="preserve">Reprises de provisions et dépréciations financières</t>
  </si>
  <si>
    <t xml:space="preserve">TM</t>
  </si>
  <si>
    <t xml:space="preserve">Transferts de charges financières</t>
  </si>
  <si>
    <t xml:space="preserve">Frais financiers et charges assimilées</t>
  </si>
  <si>
    <t xml:space="preserve">RN</t>
  </si>
  <si>
    <t xml:space="preserve">Dotations aux provisions et dépréciations financières</t>
  </si>
  <si>
    <t xml:space="preserve">XF</t>
  </si>
  <si>
    <t xml:space="preserve">RÉSULTAT FINANCIER</t>
  </si>
  <si>
    <t xml:space="preserve">XG</t>
  </si>
  <si>
    <t xml:space="preserve">RÉSULTAT DES ACTIVITÉS ORDINAIRES</t>
  </si>
  <si>
    <t xml:space="preserve">TN</t>
  </si>
  <si>
    <t xml:space="preserve">Produits des cessions d'immobilisations</t>
  </si>
  <si>
    <t xml:space="preserve">TO</t>
  </si>
  <si>
    <t xml:space="preserve">Autres produits HAO</t>
  </si>
  <si>
    <t xml:space="preserve">RO</t>
  </si>
  <si>
    <t xml:space="preserve">Valeurs comptables des cessions d'immobilisations</t>
  </si>
  <si>
    <t xml:space="preserve">RP</t>
  </si>
  <si>
    <t xml:space="preserve">Autres charges HAO</t>
  </si>
  <si>
    <t xml:space="preserve">XH</t>
  </si>
  <si>
    <t xml:space="preserve">RÉSULTAT HORS ACTIVITÉS ORDINAIRES</t>
  </si>
  <si>
    <t xml:space="preserve">RQ</t>
  </si>
  <si>
    <t xml:space="preserve">Participation des travailleurs</t>
  </si>
  <si>
    <t xml:space="preserve">Impôts sur le résultat</t>
  </si>
  <si>
    <t xml:space="preserve">RÉSULTAT NET</t>
  </si>
  <si>
    <t xml:space="preserve">TABLEAU DES FLUX DE TRÉSORERIE PRÉVISIONNEL SUR 5 ANS (modèle SYSCOHADA révisé)</t>
  </si>
  <si>
    <t xml:space="preserve">Méthode indirecte à partir de la CAFG, calculé par différence entre bilans successifs. Montants en FCFA.</t>
  </si>
  <si>
    <t xml:space="preserve">TABLEAU DES FLUX DE TRÉSORERIE</t>
  </si>
  <si>
    <t xml:space="preserve">ZA</t>
  </si>
  <si>
    <t xml:space="preserve">Trésorerie nette au 1er janvier (trésorerie actif N-1 - trésorerie passif N-1)</t>
  </si>
  <si>
    <t xml:space="preserve">n.d.</t>
  </si>
  <si>
    <t xml:space="preserve">Capacité d'autofinancement globale (CAFG)</t>
  </si>
  <si>
    <t xml:space="preserve">FB</t>
  </si>
  <si>
    <t xml:space="preserve">- Actif circulant HAO (variation)</t>
  </si>
  <si>
    <t xml:space="preserve">FC</t>
  </si>
  <si>
    <t xml:space="preserve">- Variation des stocks</t>
  </si>
  <si>
    <t xml:space="preserve">FD</t>
  </si>
  <si>
    <t xml:space="preserve">- Variation des créances</t>
  </si>
  <si>
    <t xml:space="preserve">FE</t>
  </si>
  <si>
    <t xml:space="preserve">+ Variation du passif circulant (hors dettes HAO)</t>
  </si>
  <si>
    <t xml:space="preserve">ZB</t>
  </si>
  <si>
    <t xml:space="preserve">FLUX DE TRÉSORERIE DES ACTIVITÉS OPÉRATIONNELLES</t>
  </si>
  <si>
    <t xml:space="preserve">FF</t>
  </si>
  <si>
    <t xml:space="preserve">Décaissements liés aux acquisitions d'immobilisations incorporelles</t>
  </si>
  <si>
    <t xml:space="preserve">FG</t>
  </si>
  <si>
    <t xml:space="preserve">Décaissements liés aux acquisitions d'immobilisations corporelles (nets des dettes 481)</t>
  </si>
  <si>
    <t xml:space="preserve">FH</t>
  </si>
  <si>
    <t xml:space="preserve">Décaissements liés aux acquisitions d'immobilisations financières</t>
  </si>
  <si>
    <t xml:space="preserve">FI</t>
  </si>
  <si>
    <t xml:space="preserve">Encaissements liés aux cessions d'immobilisations incorporelles et corporelles</t>
  </si>
  <si>
    <t xml:space="preserve">FJ</t>
  </si>
  <si>
    <t xml:space="preserve">Encaissements liés aux cessions d'immobilisations financières</t>
  </si>
  <si>
    <t xml:space="preserve">ZC</t>
  </si>
  <si>
    <t xml:space="preserve">FLUX DE TRÉSORERIE DES ACTIVITÉS D'INVESTISSEMENT</t>
  </si>
  <si>
    <t xml:space="preserve">FK</t>
  </si>
  <si>
    <t xml:space="preserve">+ Augmentations de capital par apports nouveaux</t>
  </si>
  <si>
    <t xml:space="preserve">FL</t>
  </si>
  <si>
    <t xml:space="preserve">+ Subventions d'investissement reçues</t>
  </si>
  <si>
    <t xml:space="preserve">FM</t>
  </si>
  <si>
    <t xml:space="preserve">- Prélèvements sur le capital</t>
  </si>
  <si>
    <t xml:space="preserve">FN</t>
  </si>
  <si>
    <t xml:space="preserve">- Dividendes versés</t>
  </si>
  <si>
    <t xml:space="preserve">ZD</t>
  </si>
  <si>
    <t xml:space="preserve">Flux de trésorerie provenant des capitaux propres</t>
  </si>
  <si>
    <t xml:space="preserve">FO</t>
  </si>
  <si>
    <t xml:space="preserve">+ Emprunts</t>
  </si>
  <si>
    <t xml:space="preserve">FP</t>
  </si>
  <si>
    <t xml:space="preserve">+ Autres dettes financières</t>
  </si>
  <si>
    <t xml:space="preserve">FQ</t>
  </si>
  <si>
    <t xml:space="preserve">- Remboursements des emprunts et autres dettes financières</t>
  </si>
  <si>
    <t xml:space="preserve">ZE</t>
  </si>
  <si>
    <t xml:space="preserve">Flux de trésorerie provenant des capitaux étrangers</t>
  </si>
  <si>
    <t xml:space="preserve">ZF</t>
  </si>
  <si>
    <t xml:space="preserve">FLUX DE TRÉSORERIE DES ACTIVITÉS DE FINANCEMENT (ZD + ZE)</t>
  </si>
  <si>
    <t xml:space="preserve">ZG</t>
  </si>
  <si>
    <t xml:space="preserve">VARIATION DE LA TRÉSORERIE NETTE DE LA PÉRIODE (ZB + ZC + ZF)</t>
  </si>
  <si>
    <t xml:space="preserve">ZH</t>
  </si>
  <si>
    <t xml:space="preserve">TRÉSORERIE NETTE AU 31 DÉCEMBRE (ZG + ZA)</t>
  </si>
  <si>
    <t xml:space="preserve">TFT de l'année de base non calculé : il nécessite le bilan de l'exercice précédent.</t>
  </si>
  <si>
    <t xml:space="preserve">CONTRÔLES DE COHÉRENCE ET INDICATEURS</t>
  </si>
  <si>
    <t xml:space="preserve">Vérifications croisées balances / bilan / compte de résultat / TFT. Toute valeur différente de 0 signale une anomalie.</t>
  </si>
  <si>
    <t xml:space="preserve">CONTRÔLES DE COHÉRENCE (tous doivent afficher 0)</t>
  </si>
  <si>
    <t xml:space="preserve">Statut</t>
  </si>
  <si>
    <t xml:space="preserve">Balance équilibrée : total débits - total crédits</t>
  </si>
  <si>
    <t xml:space="preserve">Bilan équilibré : BZ - DZ</t>
  </si>
  <si>
    <t xml:space="preserve">Résultat : XI du compte de résultat - résultat calculé (HYPOTHESES)</t>
  </si>
  <si>
    <t xml:space="preserve">TFT : ZH - (BT - DT) du bilan de clôture</t>
  </si>
  <si>
    <t xml:space="preserve">Capitaux propres : CP - (CP N-1 + XI - dividendes + apports + subventions)</t>
  </si>
  <si>
    <t xml:space="preserve">Trésorerie d'ouverture : ZA - trésorerie nette de clôture N-1</t>
  </si>
  <si>
    <t xml:space="preserve">Immobilisations : VNC (INVEST ET FINANCEMENT) - poste AI du bilan</t>
  </si>
  <si>
    <t xml:space="preserve">Plan de financement : variation du FR - (FR N - FR N-1) du bilan</t>
  </si>
  <si>
    <t xml:space="preserve">Alerte : trésorerie nette négative (1 = oui)</t>
  </si>
  <si>
    <t xml:space="preserve">Alerte : capitaux propres &lt; moitié du capital (AUSCGIE art. 664)</t>
  </si>
  <si>
    <t xml:space="preserve">Synthèse : nombre d'anomalies et d'alertes</t>
  </si>
  <si>
    <t xml:space="preserve">INDICATEURS DE GESTION</t>
  </si>
  <si>
    <t xml:space="preserve">Croissance du chiffre d'affaires</t>
  </si>
  <si>
    <t xml:space="preserve">Valeur ajoutée / CA</t>
  </si>
  <si>
    <t xml:space="preserve">EBE / CA</t>
  </si>
  <si>
    <t xml:space="preserve">Résultat net / CA</t>
  </si>
  <si>
    <t xml:space="preserve">Fonds de roulement (DF - AZ)</t>
  </si>
  <si>
    <t xml:space="preserve">Besoin en fonds de roulement (BK - DP)</t>
  </si>
  <si>
    <t xml:space="preserve">Trésorerie nette (FR - BFR = BT - DT)</t>
  </si>
  <si>
    <t xml:space="preserve">BFR en jours de CA</t>
  </si>
  <si>
    <t xml:space="preserve">Endettement financier / capitaux propres</t>
  </si>
  <si>
    <t xml:space="preserve">Rentabilité des capitaux propres (XI / CP)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</si>
</sst>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"/>
    <numFmt numFmtId="166" formatCode="0.0%;\(0.0%\);\-"/>
    <numFmt numFmtId="167" formatCode="#,##0;\(#,##0\);\-"/>
    <numFmt numFmtId="168" formatCode="0&quot; j&quot;;\(0&quot; j)&quot;;\-"/>
    <numFmt numFmtId="169" formatCode="0.00%"/>
    <numFmt numFmtId="170" formatCode="0.00\x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9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10"/>
      <name val="Arial"/>
      <family val="0"/>
      <charset val="1"/>
    </font>
    <font>
      <sz val="9"/>
      <color rgb="FF595959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name val="Arial"/>
      <family val="2"/>
    </font>
    <font>
      <i val="true"/>
      <sz val="9"/>
      <color rgb="FF80808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2F5597"/>
        <bgColor rgb="FF1F3864"/>
      </patternFill>
    </fill>
    <fill>
      <patternFill patternType="solid">
        <fgColor rgb="FFD9E1F2"/>
        <bgColor rgb="FFE2EFDA"/>
      </patternFill>
    </fill>
    <fill>
      <patternFill patternType="solid">
        <fgColor rgb="FFF2F2F2"/>
        <bgColor rgb="FFE2EFDA"/>
      </patternFill>
    </fill>
    <fill>
      <patternFill patternType="solid">
        <fgColor rgb="FFE2EFDA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95959"/>
      <rgbColor rgb="FF70AD47"/>
      <rgbColor rgb="FF1F3864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true"/>
  </sheetPr>
  <dimension ref="A1:I5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3"/>
    <col collapsed="false" customWidth="true" hidden="false" outlineLevel="0" max="8" min="3" style="0" width="15"/>
    <col collapsed="false" customWidth="true" hidden="false" outlineLevel="0" max="9" min="9" style="0" width="90"/>
  </cols>
  <sheetData>
    <row r="1" customFormat="false" ht="24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</row>
    <row r="4" customFormat="false" ht="15" hidden="false" customHeight="false" outlineLevel="0" collapsed="false">
      <c r="A4" s="4" t="s">
        <v>3</v>
      </c>
      <c r="C4" s="5" t="s">
        <v>4</v>
      </c>
    </row>
    <row r="5" customFormat="false" ht="15" hidden="false" customHeight="false" outlineLevel="0" collapsed="false">
      <c r="A5" s="4" t="s">
        <v>5</v>
      </c>
      <c r="C5" s="6" t="n">
        <v>2024</v>
      </c>
      <c r="I5" s="7" t="s">
        <v>6</v>
      </c>
    </row>
    <row r="7" customFormat="false" ht="15" hidden="false" customHeight="false" outlineLevel="0" collapsed="false">
      <c r="A7" s="8" t="s">
        <v>7</v>
      </c>
      <c r="B7" s="8" t="s">
        <v>8</v>
      </c>
      <c r="C7" s="8" t="str">
        <f aca="false">"Réel "&amp;$C$5</f>
        <v>Réel 2024</v>
      </c>
      <c r="D7" s="9" t="n">
        <f aca="false">$C$5+1</f>
        <v>2025</v>
      </c>
      <c r="E7" s="9" t="n">
        <f aca="false">$C$5+2</f>
        <v>2026</v>
      </c>
      <c r="F7" s="9" t="n">
        <f aca="false">$C$5+3</f>
        <v>2027</v>
      </c>
      <c r="G7" s="9" t="n">
        <f aca="false">$C$5+4</f>
        <v>2028</v>
      </c>
      <c r="H7" s="9" t="n">
        <f aca="false">$C$5+5</f>
        <v>2029</v>
      </c>
      <c r="I7" s="8" t="s">
        <v>9</v>
      </c>
    </row>
    <row r="8" customFormat="false" ht="15" hidden="false" customHeight="false" outlineLevel="0" collapsed="false">
      <c r="A8" s="10" t="s">
        <v>10</v>
      </c>
      <c r="B8" s="11"/>
      <c r="C8" s="11"/>
      <c r="D8" s="11"/>
      <c r="E8" s="11"/>
      <c r="F8" s="11"/>
      <c r="G8" s="11"/>
      <c r="H8" s="11"/>
      <c r="I8" s="11"/>
    </row>
    <row r="9" customFormat="false" ht="15" hidden="false" customHeight="false" outlineLevel="0" collapsed="false">
      <c r="A9" s="12" t="s">
        <v>11</v>
      </c>
      <c r="B9" s="13" t="s">
        <v>12</v>
      </c>
      <c r="D9" s="14" t="n">
        <v>0.05</v>
      </c>
      <c r="E9" s="14" t="n">
        <v>0.05</v>
      </c>
      <c r="F9" s="14" t="n">
        <v>0.05</v>
      </c>
      <c r="G9" s="14" t="n">
        <v>0.05</v>
      </c>
      <c r="H9" s="14" t="n">
        <v>0.05</v>
      </c>
      <c r="I9" s="7" t="s">
        <v>13</v>
      </c>
    </row>
    <row r="10" customFormat="false" ht="15" hidden="false" customHeight="false" outlineLevel="0" collapsed="false">
      <c r="A10" s="12" t="s">
        <v>14</v>
      </c>
      <c r="B10" s="13" t="s">
        <v>12</v>
      </c>
      <c r="D10" s="14" t="n">
        <v>0.18</v>
      </c>
      <c r="E10" s="14" t="n">
        <v>0.18</v>
      </c>
      <c r="F10" s="14" t="n">
        <v>0.18</v>
      </c>
      <c r="G10" s="14" t="n">
        <v>0.18</v>
      </c>
      <c r="H10" s="14" t="n">
        <v>0.18</v>
      </c>
      <c r="I10" s="7" t="s">
        <v>15</v>
      </c>
    </row>
    <row r="11" customFormat="false" ht="15" hidden="false" customHeight="false" outlineLevel="0" collapsed="false">
      <c r="A11" s="12" t="s">
        <v>16</v>
      </c>
      <c r="B11" s="13" t="s">
        <v>17</v>
      </c>
      <c r="C11" s="15" t="n">
        <f aca="false">SUMIFS(BALANCES!$E:$E,BALANCES!$C:$C,"TK")</f>
        <v>848594</v>
      </c>
      <c r="D11" s="16" t="n">
        <v>848594</v>
      </c>
      <c r="E11" s="16" t="n">
        <v>848594</v>
      </c>
      <c r="F11" s="16" t="n">
        <v>848594</v>
      </c>
      <c r="G11" s="16" t="n">
        <v>848594</v>
      </c>
      <c r="H11" s="16" t="n">
        <v>848594</v>
      </c>
      <c r="I11" s="7" t="s">
        <v>18</v>
      </c>
    </row>
    <row r="12" customFormat="false" ht="15" hidden="false" customHeight="false" outlineLevel="0" collapsed="false">
      <c r="A12" s="10" t="s">
        <v>19</v>
      </c>
      <c r="B12" s="11"/>
      <c r="C12" s="11"/>
      <c r="D12" s="11"/>
      <c r="E12" s="11"/>
      <c r="F12" s="11"/>
      <c r="G12" s="11"/>
      <c r="H12" s="11"/>
      <c r="I12" s="11"/>
    </row>
    <row r="13" customFormat="false" ht="15" hidden="false" customHeight="false" outlineLevel="0" collapsed="false">
      <c r="A13" s="12" t="s">
        <v>20</v>
      </c>
      <c r="B13" s="13" t="s">
        <v>21</v>
      </c>
      <c r="C13" s="17" t="n">
        <f aca="false">IF(SUMIFS(BALANCES!$E:$E,BALANCES!$C:$C,"TC")=0,0,SUMIFS(BALANCES!$D:$D,BALANCES!$C:$C,"RE")/SUMIFS(BALANCES!$E:$E,BALANCES!$C:$C,"TC"))</f>
        <v>0.396763013425616</v>
      </c>
      <c r="D13" s="14" t="n">
        <v>0.3968</v>
      </c>
      <c r="E13" s="14" t="n">
        <v>0.3968</v>
      </c>
      <c r="F13" s="14" t="n">
        <v>0.3968</v>
      </c>
      <c r="G13" s="14" t="n">
        <v>0.3968</v>
      </c>
      <c r="H13" s="14" t="n">
        <v>0.3968</v>
      </c>
      <c r="I13" s="7" t="s">
        <v>22</v>
      </c>
    </row>
    <row r="14" customFormat="false" ht="15" hidden="false" customHeight="false" outlineLevel="0" collapsed="false">
      <c r="A14" s="12" t="s">
        <v>23</v>
      </c>
      <c r="B14" s="13" t="s">
        <v>24</v>
      </c>
      <c r="C14" s="17" t="n">
        <f aca="false">IF(SUMIFS(BALANCES!$E:$E,BALANCES!$C:$C,"TC")=0,0,SUMIFS(BALANCES!$D:$D,BALANCES!$C:$C,"RG")/SUMIFS(BALANCES!$E:$E,BALANCES!$C:$C,"TC"))</f>
        <v>0.00544929034407171</v>
      </c>
      <c r="D14" s="14" t="n">
        <v>0.0054</v>
      </c>
      <c r="E14" s="14" t="n">
        <v>0.0054</v>
      </c>
      <c r="F14" s="14" t="n">
        <v>0.0054</v>
      </c>
      <c r="G14" s="14" t="n">
        <v>0.0054</v>
      </c>
      <c r="H14" s="14" t="n">
        <v>0.0054</v>
      </c>
      <c r="I14" s="7" t="s">
        <v>22</v>
      </c>
    </row>
    <row r="15" customFormat="false" ht="15" hidden="false" customHeight="false" outlineLevel="0" collapsed="false">
      <c r="A15" s="12" t="s">
        <v>25</v>
      </c>
      <c r="B15" s="13" t="s">
        <v>26</v>
      </c>
      <c r="C15" s="17" t="n">
        <f aca="false">IF(SUMIFS(BALANCES!$E:$E,BALANCES!$C:$C,"TC")=0,0,SUMIFS(BALANCES!$D:$D,BALANCES!$C:$C,"RH")/SUMIFS(BALANCES!$E:$E,BALANCES!$C:$C,"TC"))</f>
        <v>0.152303876245397</v>
      </c>
      <c r="D15" s="14" t="n">
        <v>0.1523</v>
      </c>
      <c r="E15" s="14" t="n">
        <v>0.1523</v>
      </c>
      <c r="F15" s="14" t="n">
        <v>0.1523</v>
      </c>
      <c r="G15" s="14" t="n">
        <v>0.1523</v>
      </c>
      <c r="H15" s="14" t="n">
        <v>0.1523</v>
      </c>
      <c r="I15" s="7" t="s">
        <v>22</v>
      </c>
    </row>
    <row r="16" customFormat="false" ht="15" hidden="false" customHeight="false" outlineLevel="0" collapsed="false">
      <c r="A16" s="12" t="s">
        <v>27</v>
      </c>
      <c r="B16" s="13" t="s">
        <v>28</v>
      </c>
      <c r="C16" s="17" t="n">
        <f aca="false">IF(SUMIFS(BALANCES!$E:$E,BALANCES!$C:$C,"TC")=0,0,SUMIFS(BALANCES!$D:$D,BALANCES!$C:$C,"RI")/SUMIFS(BALANCES!$E:$E,BALANCES!$C:$C,"TC"))</f>
        <v>0.021211274985755</v>
      </c>
      <c r="D16" s="14" t="n">
        <v>0.0212</v>
      </c>
      <c r="E16" s="14" t="n">
        <v>0.0212</v>
      </c>
      <c r="F16" s="14" t="n">
        <v>0.0212</v>
      </c>
      <c r="G16" s="14" t="n">
        <v>0.0212</v>
      </c>
      <c r="H16" s="14" t="n">
        <v>0.0212</v>
      </c>
      <c r="I16" s="7" t="s">
        <v>22</v>
      </c>
    </row>
    <row r="17" customFormat="false" ht="15" hidden="false" customHeight="false" outlineLevel="0" collapsed="false">
      <c r="A17" s="12" t="s">
        <v>29</v>
      </c>
      <c r="B17" s="13" t="s">
        <v>30</v>
      </c>
      <c r="C17" s="17" t="n">
        <f aca="false">IF(SUMIFS(BALANCES!$E:$E,BALANCES!$C:$C,"TC")=0,0,SUMIFS(BALANCES!$D:$D,BALANCES!$C:$C,"RJ")/SUMIFS(BALANCES!$E:$E,BALANCES!$C:$C,"TC"))</f>
        <v>0.00187828938525658</v>
      </c>
      <c r="D17" s="14" t="n">
        <v>0.0019</v>
      </c>
      <c r="E17" s="14" t="n">
        <v>0.0019</v>
      </c>
      <c r="F17" s="14" t="n">
        <v>0.0019</v>
      </c>
      <c r="G17" s="14" t="n">
        <v>0.0019</v>
      </c>
      <c r="H17" s="14" t="n">
        <v>0.0019</v>
      </c>
      <c r="I17" s="7" t="s">
        <v>22</v>
      </c>
    </row>
    <row r="18" customFormat="false" ht="15" hidden="false" customHeight="false" outlineLevel="0" collapsed="false">
      <c r="A18" s="12" t="s">
        <v>31</v>
      </c>
      <c r="B18" s="13" t="s">
        <v>32</v>
      </c>
      <c r="C18" s="17" t="n">
        <f aca="false">IF(SUMIFS(BALANCES!$E:$E,BALANCES!$C:$C,"TC")=0,0,SUMIFS(BALANCES!$D:$D,BALANCES!$C:$C,"RK")/SUMIFS(BALANCES!$E:$E,BALANCES!$C:$C,"TC"))</f>
        <v>0.151243191958617</v>
      </c>
      <c r="D18" s="14" t="n">
        <v>0.1512</v>
      </c>
      <c r="E18" s="14" t="n">
        <v>0.1512</v>
      </c>
      <c r="F18" s="14" t="n">
        <v>0.1512</v>
      </c>
      <c r="G18" s="14" t="n">
        <v>0.1512</v>
      </c>
      <c r="H18" s="14" t="n">
        <v>0.1512</v>
      </c>
      <c r="I18" s="7" t="s">
        <v>22</v>
      </c>
    </row>
    <row r="19" customFormat="false" ht="15" hidden="false" customHeight="false" outlineLevel="0" collapsed="false">
      <c r="A19" s="10" t="s">
        <v>33</v>
      </c>
      <c r="B19" s="11"/>
      <c r="C19" s="11"/>
      <c r="D19" s="11"/>
      <c r="E19" s="11"/>
      <c r="F19" s="11"/>
      <c r="G19" s="11"/>
      <c r="H19" s="11"/>
      <c r="I19" s="11"/>
    </row>
    <row r="20" customFormat="false" ht="15" hidden="false" customHeight="false" outlineLevel="0" collapsed="false">
      <c r="A20" s="12" t="s">
        <v>34</v>
      </c>
      <c r="B20" s="13" t="s">
        <v>35</v>
      </c>
      <c r="D20" s="16" t="n">
        <v>6059296</v>
      </c>
      <c r="E20" s="16" t="n">
        <v>6059296</v>
      </c>
      <c r="F20" s="16" t="n">
        <v>6059296</v>
      </c>
      <c r="G20" s="16" t="n">
        <v>6059296</v>
      </c>
      <c r="H20" s="16" t="n">
        <v>6059296</v>
      </c>
      <c r="I20" s="7" t="s">
        <v>36</v>
      </c>
    </row>
    <row r="21" customFormat="false" ht="15" hidden="false" customHeight="false" outlineLevel="0" collapsed="false">
      <c r="A21" s="10" t="s">
        <v>37</v>
      </c>
      <c r="B21" s="11"/>
      <c r="C21" s="11"/>
      <c r="D21" s="11"/>
      <c r="E21" s="11"/>
      <c r="F21" s="11"/>
      <c r="G21" s="11"/>
      <c r="H21" s="11"/>
      <c r="I21" s="11"/>
    </row>
    <row r="22" customFormat="false" ht="15" hidden="false" customHeight="false" outlineLevel="0" collapsed="false">
      <c r="A22" s="12" t="s">
        <v>38</v>
      </c>
      <c r="B22" s="13" t="s">
        <v>39</v>
      </c>
      <c r="C22" s="18" t="n">
        <f aca="false">IF(C40=0,0,SUMIFS(BALANCES!$D:$D,BALANCES!$C:$C,"BI")/(C40*(1+D10))*360)</f>
        <v>196.827174840192</v>
      </c>
      <c r="D22" s="19" t="n">
        <v>197</v>
      </c>
      <c r="E22" s="19" t="n">
        <v>197</v>
      </c>
      <c r="F22" s="19" t="n">
        <v>197</v>
      </c>
      <c r="G22" s="19" t="n">
        <v>197</v>
      </c>
      <c r="H22" s="19" t="n">
        <v>197</v>
      </c>
      <c r="I22" s="7" t="s">
        <v>40</v>
      </c>
    </row>
    <row r="23" customFormat="false" ht="15" hidden="false" customHeight="false" outlineLevel="0" collapsed="false">
      <c r="A23" s="12" t="s">
        <v>41</v>
      </c>
      <c r="B23" s="13" t="s">
        <v>42</v>
      </c>
      <c r="C23" s="18" t="n">
        <f aca="false">IF(C47=0,0,SUMIFS(BALANCES!$E:$E,BALANCES!$C:$C,"DJ")/(C47*(1+D10))*360)</f>
        <v>57.2511620547497</v>
      </c>
      <c r="D23" s="19" t="n">
        <v>57</v>
      </c>
      <c r="E23" s="19" t="n">
        <v>57</v>
      </c>
      <c r="F23" s="19" t="n">
        <v>57</v>
      </c>
      <c r="G23" s="19" t="n">
        <v>57</v>
      </c>
      <c r="H23" s="19" t="n">
        <v>57</v>
      </c>
      <c r="I23" s="7" t="s">
        <v>43</v>
      </c>
    </row>
    <row r="24" customFormat="false" ht="15" hidden="false" customHeight="false" outlineLevel="0" collapsed="false">
      <c r="A24" s="12" t="s">
        <v>44</v>
      </c>
      <c r="B24" s="13" t="s">
        <v>45</v>
      </c>
      <c r="C24" s="18" t="n">
        <f aca="false">IF('INVEST ET FINANCEMENT'!C41=0,0,SUMIFS(BALANCES!$E:$E,BALANCES!$C:$C,"DH")/'INVEST ET FINANCEMENT'!C41*360)</f>
        <v>131.098002937034</v>
      </c>
      <c r="D24" s="19" t="n">
        <v>131</v>
      </c>
      <c r="E24" s="19" t="n">
        <v>131</v>
      </c>
      <c r="F24" s="19" t="n">
        <v>131</v>
      </c>
      <c r="G24" s="19" t="n">
        <v>131</v>
      </c>
      <c r="H24" s="19" t="n">
        <v>131</v>
      </c>
      <c r="I24" s="7" t="s">
        <v>46</v>
      </c>
    </row>
    <row r="25" customFormat="false" ht="15" hidden="false" customHeight="false" outlineLevel="0" collapsed="false">
      <c r="A25" s="12" t="s">
        <v>47</v>
      </c>
      <c r="B25" s="13" t="s">
        <v>45</v>
      </c>
      <c r="D25" s="14" t="n">
        <v>0.6</v>
      </c>
      <c r="E25" s="14" t="n">
        <v>0.4</v>
      </c>
      <c r="F25" s="14" t="n">
        <v>0</v>
      </c>
      <c r="G25" s="14" t="n">
        <v>0</v>
      </c>
      <c r="H25" s="14" t="n">
        <v>0</v>
      </c>
      <c r="I25" s="7" t="s">
        <v>48</v>
      </c>
    </row>
    <row r="26" customFormat="false" ht="15" hidden="false" customHeight="false" outlineLevel="0" collapsed="false">
      <c r="A26" s="12" t="s">
        <v>49</v>
      </c>
      <c r="B26" s="13" t="s">
        <v>45</v>
      </c>
      <c r="C26" s="15" t="n">
        <f aca="false">SUMIFS(BALANCES!$E:$E,BALANCES!$C:$C,"DH")</f>
        <v>132896547</v>
      </c>
      <c r="D26" s="20" t="n">
        <f aca="false">$C26*MAX(0,1-SUM($D25:D25))</f>
        <v>53158618.8</v>
      </c>
      <c r="E26" s="20" t="n">
        <f aca="false">$C26*MAX(0,1-SUM($D25:E25))</f>
        <v>0</v>
      </c>
      <c r="F26" s="20" t="n">
        <f aca="false">$C26*MAX(0,1-SUM($D25:F25))</f>
        <v>0</v>
      </c>
      <c r="G26" s="20" t="n">
        <f aca="false">$C26*MAX(0,1-SUM($D25:G25))</f>
        <v>0</v>
      </c>
      <c r="H26" s="20" t="n">
        <f aca="false">$C26*MAX(0,1-SUM($D25:H25))</f>
        <v>0</v>
      </c>
    </row>
    <row r="27" customFormat="false" ht="15" hidden="false" customHeight="false" outlineLevel="0" collapsed="false">
      <c r="A27" s="12" t="s">
        <v>50</v>
      </c>
      <c r="B27" s="13" t="s">
        <v>45</v>
      </c>
      <c r="D27" s="20" t="n">
        <f aca="false">'INVEST ET FINANCEMENT'!D41*D24/360</f>
        <v>27291666.6666667</v>
      </c>
      <c r="E27" s="20" t="n">
        <f aca="false">'INVEST ET FINANCEMENT'!E41*E24/360</f>
        <v>12736111.1111111</v>
      </c>
      <c r="F27" s="20" t="n">
        <f aca="false">'INVEST ET FINANCEMENT'!F41*F24/360</f>
        <v>12736111.1111111</v>
      </c>
      <c r="G27" s="20" t="n">
        <f aca="false">'INVEST ET FINANCEMENT'!G41*G24/360</f>
        <v>27291666.6666667</v>
      </c>
      <c r="H27" s="20" t="n">
        <f aca="false">'INVEST ET FINANCEMENT'!H41*H24/360</f>
        <v>12736111.1111111</v>
      </c>
    </row>
    <row r="28" customFormat="false" ht="15" hidden="false" customHeight="false" outlineLevel="0" collapsed="false">
      <c r="A28" s="4" t="s">
        <v>51</v>
      </c>
      <c r="B28" s="13" t="s">
        <v>45</v>
      </c>
      <c r="C28" s="21" t="n">
        <f aca="false">C26</f>
        <v>132896547</v>
      </c>
      <c r="D28" s="21" t="n">
        <f aca="false">D26+D27</f>
        <v>80450285.4666667</v>
      </c>
      <c r="E28" s="21" t="n">
        <f aca="false">E26+E27</f>
        <v>12736111.1111111</v>
      </c>
      <c r="F28" s="21" t="n">
        <f aca="false">F26+F27</f>
        <v>12736111.1111111</v>
      </c>
      <c r="G28" s="21" t="n">
        <f aca="false">G26+G27</f>
        <v>27291666.6666667</v>
      </c>
      <c r="H28" s="21" t="n">
        <f aca="false">H26+H27</f>
        <v>12736111.1111111</v>
      </c>
    </row>
    <row r="29" customFormat="false" ht="15" hidden="false" customHeight="false" outlineLevel="0" collapsed="false">
      <c r="A29" s="12" t="s">
        <v>52</v>
      </c>
      <c r="B29" s="13" t="s">
        <v>53</v>
      </c>
      <c r="D29" s="16" t="n">
        <v>0</v>
      </c>
      <c r="E29" s="16" t="n">
        <v>0</v>
      </c>
      <c r="F29" s="16" t="n">
        <v>0</v>
      </c>
      <c r="G29" s="16" t="n">
        <v>0</v>
      </c>
      <c r="H29" s="16" t="n">
        <v>0</v>
      </c>
      <c r="I29" s="7" t="s">
        <v>54</v>
      </c>
    </row>
    <row r="30" customFormat="false" ht="15" hidden="false" customHeight="false" outlineLevel="0" collapsed="false">
      <c r="I30" s="7" t="s">
        <v>55</v>
      </c>
    </row>
    <row r="31" customFormat="false" ht="15" hidden="false" customHeight="false" outlineLevel="0" collapsed="false">
      <c r="A31" s="10" t="s">
        <v>56</v>
      </c>
      <c r="B31" s="11"/>
      <c r="C31" s="11"/>
      <c r="D31" s="11"/>
      <c r="E31" s="11"/>
      <c r="F31" s="11"/>
      <c r="G31" s="11"/>
      <c r="H31" s="11"/>
      <c r="I31" s="11"/>
    </row>
    <row r="32" customFormat="false" ht="15" hidden="false" customHeight="false" outlineLevel="0" collapsed="false">
      <c r="A32" s="12" t="s">
        <v>57</v>
      </c>
      <c r="B32" s="13" t="s">
        <v>12</v>
      </c>
      <c r="D32" s="14" t="n">
        <v>0.25</v>
      </c>
      <c r="E32" s="14" t="n">
        <v>0.25</v>
      </c>
      <c r="F32" s="14" t="n">
        <v>0.25</v>
      </c>
      <c r="G32" s="14" t="n">
        <v>0.25</v>
      </c>
      <c r="H32" s="14" t="n">
        <v>0.25</v>
      </c>
      <c r="I32" s="7" t="s">
        <v>58</v>
      </c>
    </row>
    <row r="33" customFormat="false" ht="15" hidden="false" customHeight="false" outlineLevel="0" collapsed="false">
      <c r="A33" s="12" t="s">
        <v>59</v>
      </c>
      <c r="B33" s="13" t="s">
        <v>12</v>
      </c>
      <c r="D33" s="22" t="n">
        <v>0.005</v>
      </c>
      <c r="E33" s="22" t="n">
        <v>0.005</v>
      </c>
      <c r="F33" s="22" t="n">
        <v>0.005</v>
      </c>
      <c r="G33" s="22" t="n">
        <v>0.005</v>
      </c>
      <c r="H33" s="22" t="n">
        <v>0.005</v>
      </c>
      <c r="I33" s="7" t="s">
        <v>60</v>
      </c>
    </row>
    <row r="34" customFormat="false" ht="15" hidden="false" customHeight="false" outlineLevel="0" collapsed="false">
      <c r="A34" s="12" t="s">
        <v>61</v>
      </c>
      <c r="B34" s="13" t="s">
        <v>62</v>
      </c>
      <c r="D34" s="16" t="n">
        <v>3000000</v>
      </c>
      <c r="E34" s="16" t="n">
        <v>3000000</v>
      </c>
      <c r="F34" s="16" t="n">
        <v>3000000</v>
      </c>
      <c r="G34" s="16" t="n">
        <v>3000000</v>
      </c>
      <c r="H34" s="16" t="n">
        <v>3000000</v>
      </c>
      <c r="I34" s="7" t="s">
        <v>63</v>
      </c>
    </row>
    <row r="35" customFormat="false" ht="15" hidden="false" customHeight="false" outlineLevel="0" collapsed="false">
      <c r="A35" s="12" t="s">
        <v>64</v>
      </c>
      <c r="B35" s="13" t="s">
        <v>62</v>
      </c>
      <c r="D35" s="16" t="n">
        <v>35000000</v>
      </c>
      <c r="E35" s="16" t="n">
        <v>35000000</v>
      </c>
      <c r="F35" s="16" t="n">
        <v>35000000</v>
      </c>
      <c r="G35" s="16" t="n">
        <v>35000000</v>
      </c>
      <c r="H35" s="16" t="n">
        <v>35000000</v>
      </c>
      <c r="I35" s="7" t="s">
        <v>63</v>
      </c>
    </row>
    <row r="36" customFormat="false" ht="15" hidden="false" customHeight="false" outlineLevel="0" collapsed="false">
      <c r="A36" s="12" t="s">
        <v>65</v>
      </c>
      <c r="B36" s="13" t="s">
        <v>62</v>
      </c>
      <c r="D36" s="16" t="n">
        <v>0</v>
      </c>
      <c r="E36" s="16" t="n">
        <v>0</v>
      </c>
      <c r="F36" s="16" t="n">
        <v>0</v>
      </c>
      <c r="G36" s="16" t="n">
        <v>0</v>
      </c>
      <c r="H36" s="16" t="n">
        <v>0</v>
      </c>
      <c r="I36" s="7" t="s">
        <v>66</v>
      </c>
    </row>
    <row r="37" customFormat="false" ht="15" hidden="false" customHeight="false" outlineLevel="0" collapsed="false">
      <c r="A37" s="12" t="s">
        <v>67</v>
      </c>
      <c r="B37" s="13" t="s">
        <v>12</v>
      </c>
      <c r="D37" s="14" t="n">
        <v>0.1</v>
      </c>
      <c r="E37" s="14" t="n">
        <v>0.1</v>
      </c>
      <c r="F37" s="14" t="n">
        <v>0.1</v>
      </c>
      <c r="G37" s="14" t="n">
        <v>0.1</v>
      </c>
      <c r="H37" s="14" t="n">
        <v>0.1</v>
      </c>
      <c r="I37" s="7" t="s">
        <v>68</v>
      </c>
    </row>
    <row r="38" customFormat="false" ht="15" hidden="false" customHeight="false" outlineLevel="0" collapsed="false">
      <c r="A38" s="12" t="s">
        <v>69</v>
      </c>
      <c r="B38" s="13" t="s">
        <v>12</v>
      </c>
      <c r="D38" s="14" t="n">
        <v>0.2</v>
      </c>
      <c r="E38" s="14" t="n">
        <v>0.2</v>
      </c>
      <c r="F38" s="14" t="n">
        <v>0.2</v>
      </c>
      <c r="G38" s="14" t="n">
        <v>0.2</v>
      </c>
      <c r="H38" s="14" t="n">
        <v>0.2</v>
      </c>
      <c r="I38" s="7" t="s">
        <v>70</v>
      </c>
    </row>
    <row r="39" customFormat="false" ht="15" hidden="false" customHeight="false" outlineLevel="0" collapsed="false">
      <c r="A39" s="10" t="s">
        <v>71</v>
      </c>
      <c r="B39" s="11"/>
      <c r="C39" s="11"/>
      <c r="D39" s="11"/>
      <c r="E39" s="11"/>
      <c r="F39" s="11"/>
      <c r="G39" s="11"/>
      <c r="H39" s="11"/>
      <c r="I39" s="11"/>
    </row>
    <row r="40" customFormat="false" ht="15" hidden="false" customHeight="false" outlineLevel="0" collapsed="false">
      <c r="A40" s="4" t="s">
        <v>72</v>
      </c>
      <c r="B40" s="13" t="s">
        <v>73</v>
      </c>
      <c r="C40" s="23" t="n">
        <f aca="false">SUMIFS(BALANCES!$E:$E,BALANCES!$C:$C,"TC")</f>
        <v>701026695</v>
      </c>
      <c r="D40" s="21" t="n">
        <f aca="false">C40*(1+D9)</f>
        <v>736078029.75</v>
      </c>
      <c r="E40" s="21" t="n">
        <f aca="false">D40*(1+E9)</f>
        <v>772881931.2375</v>
      </c>
      <c r="F40" s="21" t="n">
        <f aca="false">E40*(1+F9)</f>
        <v>811526027.799375</v>
      </c>
      <c r="G40" s="21" t="n">
        <f aca="false">F40*(1+G9)</f>
        <v>852102329.189344</v>
      </c>
      <c r="H40" s="21" t="n">
        <f aca="false">G40*(1+H9)</f>
        <v>894707445.648811</v>
      </c>
    </row>
    <row r="41" customFormat="false" ht="15" hidden="false" customHeight="false" outlineLevel="0" collapsed="false">
      <c r="A41" s="12" t="s">
        <v>20</v>
      </c>
      <c r="B41" s="13" t="s">
        <v>21</v>
      </c>
      <c r="C41" s="15" t="n">
        <f aca="false">SUMIFS(BALANCES!$D:$D,BALANCES!$C:$C,"RE")</f>
        <v>278141464</v>
      </c>
      <c r="D41" s="20" t="n">
        <f aca="false">D40*D13</f>
        <v>292075762.2048</v>
      </c>
      <c r="E41" s="20" t="n">
        <f aca="false">E40*E13</f>
        <v>306679550.31504</v>
      </c>
      <c r="F41" s="20" t="n">
        <f aca="false">F40*F13</f>
        <v>322013527.830792</v>
      </c>
      <c r="G41" s="20" t="n">
        <f aca="false">G40*G13</f>
        <v>338114204.222332</v>
      </c>
      <c r="H41" s="20" t="n">
        <f aca="false">H40*H13</f>
        <v>355019914.433448</v>
      </c>
    </row>
    <row r="42" customFormat="false" ht="15" hidden="false" customHeight="false" outlineLevel="0" collapsed="false">
      <c r="A42" s="12" t="s">
        <v>23</v>
      </c>
      <c r="B42" s="13" t="s">
        <v>24</v>
      </c>
      <c r="C42" s="15" t="n">
        <f aca="false">SUMIFS(BALANCES!$D:$D,BALANCES!$C:$C,"RG")</f>
        <v>3820098</v>
      </c>
      <c r="D42" s="20" t="n">
        <f aca="false">D40*D14</f>
        <v>3974821.36065</v>
      </c>
      <c r="E42" s="20" t="n">
        <f aca="false">E40*E14</f>
        <v>4173562.4286825</v>
      </c>
      <c r="F42" s="20" t="n">
        <f aca="false">F40*F14</f>
        <v>4382240.55011663</v>
      </c>
      <c r="G42" s="20" t="n">
        <f aca="false">G40*G14</f>
        <v>4601352.57762246</v>
      </c>
      <c r="H42" s="20" t="n">
        <f aca="false">H40*H14</f>
        <v>4831420.20650358</v>
      </c>
    </row>
    <row r="43" customFormat="false" ht="15" hidden="false" customHeight="false" outlineLevel="0" collapsed="false">
      <c r="A43" s="12" t="s">
        <v>25</v>
      </c>
      <c r="B43" s="13" t="s">
        <v>26</v>
      </c>
      <c r="C43" s="15" t="n">
        <f aca="false">SUMIFS(BALANCES!$D:$D,BALANCES!$C:$C,"RH")</f>
        <v>106769083</v>
      </c>
      <c r="D43" s="20" t="n">
        <f aca="false">D40*D15</f>
        <v>112104683.930925</v>
      </c>
      <c r="E43" s="20" t="n">
        <f aca="false">E40*E15</f>
        <v>117709918.127471</v>
      </c>
      <c r="F43" s="20" t="n">
        <f aca="false">F40*F15</f>
        <v>123595414.033845</v>
      </c>
      <c r="G43" s="20" t="n">
        <f aca="false">G40*G15</f>
        <v>129775184.735537</v>
      </c>
      <c r="H43" s="20" t="n">
        <f aca="false">H40*H15</f>
        <v>136263943.972314</v>
      </c>
    </row>
    <row r="44" customFormat="false" ht="15" hidden="false" customHeight="false" outlineLevel="0" collapsed="false">
      <c r="A44" s="12" t="s">
        <v>27</v>
      </c>
      <c r="B44" s="13" t="s">
        <v>28</v>
      </c>
      <c r="C44" s="15" t="n">
        <f aca="false">SUMIFS(BALANCES!$D:$D,BALANCES!$C:$C,"RI")</f>
        <v>14869670</v>
      </c>
      <c r="D44" s="20" t="n">
        <f aca="false">D40*D16</f>
        <v>15604854.2307</v>
      </c>
      <c r="E44" s="20" t="n">
        <f aca="false">E40*E16</f>
        <v>16385096.942235</v>
      </c>
      <c r="F44" s="20" t="n">
        <f aca="false">F40*F16</f>
        <v>17204351.7893468</v>
      </c>
      <c r="G44" s="20" t="n">
        <f aca="false">G40*G16</f>
        <v>18064569.3788141</v>
      </c>
      <c r="H44" s="20" t="n">
        <f aca="false">H40*H16</f>
        <v>18967797.8477548</v>
      </c>
    </row>
    <row r="45" customFormat="false" ht="15" hidden="false" customHeight="false" outlineLevel="0" collapsed="false">
      <c r="A45" s="12" t="s">
        <v>29</v>
      </c>
      <c r="B45" s="13" t="s">
        <v>30</v>
      </c>
      <c r="C45" s="15" t="n">
        <f aca="false">SUMIFS(BALANCES!$D:$D,BALANCES!$C:$C,"RJ")</f>
        <v>1316731</v>
      </c>
      <c r="D45" s="20" t="n">
        <f aca="false">D40*D17</f>
        <v>1398548.256525</v>
      </c>
      <c r="E45" s="20" t="n">
        <f aca="false">E40*E17</f>
        <v>1468475.66935125</v>
      </c>
      <c r="F45" s="20" t="n">
        <f aca="false">F40*F17</f>
        <v>1541899.45281881</v>
      </c>
      <c r="G45" s="20" t="n">
        <f aca="false">G40*G17</f>
        <v>1618994.42545975</v>
      </c>
      <c r="H45" s="20" t="n">
        <f aca="false">H40*H17</f>
        <v>1699944.14673274</v>
      </c>
    </row>
    <row r="46" customFormat="false" ht="15" hidden="false" customHeight="false" outlineLevel="0" collapsed="false">
      <c r="A46" s="12" t="s">
        <v>31</v>
      </c>
      <c r="B46" s="13" t="s">
        <v>32</v>
      </c>
      <c r="C46" s="15" t="n">
        <f aca="false">SUMIFS(BALANCES!$D:$D,BALANCES!$C:$C,"RK")</f>
        <v>106025515</v>
      </c>
      <c r="D46" s="20" t="n">
        <f aca="false">D40*D18</f>
        <v>111294998.0982</v>
      </c>
      <c r="E46" s="20" t="n">
        <f aca="false">E40*E18</f>
        <v>116859748.00311</v>
      </c>
      <c r="F46" s="20" t="n">
        <f aca="false">F40*F18</f>
        <v>122702735.403266</v>
      </c>
      <c r="G46" s="20" t="n">
        <f aca="false">G40*G18</f>
        <v>128837872.173429</v>
      </c>
      <c r="H46" s="20" t="n">
        <f aca="false">H40*H18</f>
        <v>135279765.7821</v>
      </c>
    </row>
    <row r="47" customFormat="false" ht="15" hidden="false" customHeight="false" outlineLevel="0" collapsed="false">
      <c r="A47" s="12" t="s">
        <v>74</v>
      </c>
      <c r="B47" s="13"/>
      <c r="C47" s="20" t="n">
        <f aca="false">C41+C42+C43</f>
        <v>388730645</v>
      </c>
      <c r="D47" s="20" t="n">
        <f aca="false">D41+D42+D43</f>
        <v>408155267.496375</v>
      </c>
      <c r="E47" s="20" t="n">
        <f aca="false">E41+E42+E43</f>
        <v>428563030.871194</v>
      </c>
      <c r="F47" s="20" t="n">
        <f aca="false">F41+F42+F43</f>
        <v>449991182.414753</v>
      </c>
      <c r="G47" s="20" t="n">
        <f aca="false">G41+G42+G43</f>
        <v>472490741.535491</v>
      </c>
      <c r="H47" s="20" t="n">
        <f aca="false">H41+H42+H43</f>
        <v>496115278.612266</v>
      </c>
    </row>
    <row r="48" customFormat="false" ht="15" hidden="false" customHeight="false" outlineLevel="0" collapsed="false">
      <c r="A48" s="12" t="s">
        <v>75</v>
      </c>
      <c r="B48" s="13" t="s">
        <v>76</v>
      </c>
      <c r="C48" s="15" t="n">
        <f aca="false">SUMIFS(BALANCES!$D:$D,BALANCES!$A:$A,"&gt;=691000",BALANCES!$A:$A,"&lt;692000")</f>
        <v>6059296</v>
      </c>
      <c r="D48" s="20" t="n">
        <f aca="false">D20</f>
        <v>6059296</v>
      </c>
      <c r="E48" s="20" t="n">
        <f aca="false">E20</f>
        <v>6059296</v>
      </c>
      <c r="F48" s="20" t="n">
        <f aca="false">F20</f>
        <v>6059296</v>
      </c>
      <c r="G48" s="20" t="n">
        <f aca="false">G20</f>
        <v>6059296</v>
      </c>
      <c r="H48" s="20" t="n">
        <f aca="false">H20</f>
        <v>6059296</v>
      </c>
    </row>
    <row r="49" customFormat="false" ht="15" hidden="false" customHeight="false" outlineLevel="0" collapsed="false">
      <c r="A49" s="12" t="s">
        <v>77</v>
      </c>
      <c r="B49" s="13" t="s">
        <v>17</v>
      </c>
      <c r="C49" s="20" t="n">
        <f aca="false">C11</f>
        <v>848594</v>
      </c>
      <c r="D49" s="20" t="n">
        <f aca="false">D11</f>
        <v>848594</v>
      </c>
      <c r="E49" s="20" t="n">
        <f aca="false">E11</f>
        <v>848594</v>
      </c>
      <c r="F49" s="20" t="n">
        <f aca="false">F11</f>
        <v>848594</v>
      </c>
      <c r="G49" s="20" t="n">
        <f aca="false">G11</f>
        <v>848594</v>
      </c>
      <c r="H49" s="20" t="n">
        <f aca="false">H11</f>
        <v>848594</v>
      </c>
    </row>
    <row r="50" customFormat="false" ht="15" hidden="false" customHeight="false" outlineLevel="0" collapsed="false">
      <c r="A50" s="4" t="s">
        <v>78</v>
      </c>
      <c r="B50" s="13" t="s">
        <v>79</v>
      </c>
      <c r="C50" s="21" t="n">
        <f aca="false">C40+C49-C41-C42-C43-C44-C45-C46-'INVEST ET FINANCEMENT'!C42-C48-'INVEST ET FINANCEMENT'!C61-'INVEST ET FINANCEMENT'!C62</f>
        <v>96931836</v>
      </c>
      <c r="D50" s="21" t="n">
        <f aca="false">D40+D49-D41-D42-D43-D44-D45-D46-'INVEST ET FINANCEMENT'!D42-D48-'INVEST ET FINANCEMENT'!D61-'INVEST ET FINANCEMENT'!D62</f>
        <v>88724745.2548666</v>
      </c>
      <c r="E50" s="21" t="n">
        <f aca="false">E40+E49-E41-E42-E43-E44-E45-E46-'INVEST ET FINANCEMENT'!E42-E48-'INVEST ET FINANCEMENT'!E61-'INVEST ET FINANCEMENT'!E62</f>
        <v>92932603.1382767</v>
      </c>
      <c r="F50" s="21" t="n">
        <f aca="false">F40+F49-F41-F42-F43-F44-F45-F46-'INVEST ET FINANCEMENT'!F42-F48-'INVEST ET FINANCEMENT'!F61-'INVEST ET FINANCEMENT'!F62</f>
        <v>103643408.405857</v>
      </c>
      <c r="G50" s="21" t="n">
        <f aca="false">G40+G49-G41-G42-G43-G44-G45-G46-'INVEST ET FINANCEMENT'!G42-G48-'INVEST ET FINANCEMENT'!G61-'INVEST ET FINANCEMENT'!G62</f>
        <v>124114065.342817</v>
      </c>
      <c r="H50" s="21" t="n">
        <f aca="false">H40+H49-H41-H42-H43-H44-H45-H46-'INVEST ET FINANCEMENT'!H42-H48-'INVEST ET FINANCEMENT'!H61-'INVEST ET FINANCEMENT'!H62</f>
        <v>133485053.926624</v>
      </c>
    </row>
    <row r="51" customFormat="false" ht="15" hidden="false" customHeight="false" outlineLevel="0" collapsed="false">
      <c r="A51" s="12" t="s">
        <v>80</v>
      </c>
      <c r="B51" s="13"/>
      <c r="D51" s="20" t="n">
        <f aca="false">D50+D36</f>
        <v>88724745.2548666</v>
      </c>
      <c r="E51" s="20" t="n">
        <f aca="false">E50+E36</f>
        <v>92932603.1382767</v>
      </c>
      <c r="F51" s="20" t="n">
        <f aca="false">F50+F36</f>
        <v>103643408.405857</v>
      </c>
      <c r="G51" s="20" t="n">
        <f aca="false">G50+G36</f>
        <v>124114065.342817</v>
      </c>
      <c r="H51" s="20" t="n">
        <f aca="false">H50+H36</f>
        <v>133485053.926624</v>
      </c>
    </row>
    <row r="52" customFormat="false" ht="15" hidden="false" customHeight="false" outlineLevel="0" collapsed="false">
      <c r="A52" s="12" t="s">
        <v>81</v>
      </c>
      <c r="B52" s="13"/>
      <c r="D52" s="20" t="n">
        <f aca="false">MAX(0,D51)*D32</f>
        <v>22181186.3137167</v>
      </c>
      <c r="E52" s="20" t="n">
        <f aca="false">MAX(0,E51)*E32</f>
        <v>23233150.7845692</v>
      </c>
      <c r="F52" s="20" t="n">
        <f aca="false">MAX(0,F51)*F32</f>
        <v>25910852.1014643</v>
      </c>
      <c r="G52" s="20" t="n">
        <f aca="false">MAX(0,G51)*G32</f>
        <v>31028516.3357042</v>
      </c>
      <c r="H52" s="20" t="n">
        <f aca="false">MAX(0,H51)*H32</f>
        <v>33371263.481656</v>
      </c>
    </row>
    <row r="53" customFormat="false" ht="15" hidden="false" customHeight="false" outlineLevel="0" collapsed="false">
      <c r="A53" s="12" t="s">
        <v>82</v>
      </c>
      <c r="B53" s="13"/>
      <c r="D53" s="20" t="n">
        <f aca="false">MIN(D35,MAX(D34,D33*(D40*(1+D10)+D49)))</f>
        <v>4347103.345525</v>
      </c>
      <c r="E53" s="20" t="n">
        <f aca="false">MIN(E35,MAX(E34,E33*(E40*(1+E10)+E49)))</f>
        <v>4564246.36430125</v>
      </c>
      <c r="F53" s="20" t="n">
        <f aca="false">MIN(F35,MAX(F34,F33*(F40*(1+F10)+F49)))</f>
        <v>4792246.53401631</v>
      </c>
      <c r="G53" s="20" t="n">
        <f aca="false">MIN(G35,MAX(G34,G33*(G40*(1+G10)+G49)))</f>
        <v>5031646.71221713</v>
      </c>
      <c r="H53" s="20" t="n">
        <f aca="false">MIN(H35,MAX(H34,H33*(H40*(1+H10)+H49)))</f>
        <v>5283016.89932799</v>
      </c>
    </row>
    <row r="54" customFormat="false" ht="15" hidden="false" customHeight="false" outlineLevel="0" collapsed="false">
      <c r="A54" s="4" t="s">
        <v>83</v>
      </c>
      <c r="B54" s="13" t="s">
        <v>84</v>
      </c>
      <c r="C54" s="23" t="n">
        <f aca="false">SUMIFS(BALANCES!$D:$D,BALANCES!$C:$C,"RS")</f>
        <v>24232959</v>
      </c>
      <c r="D54" s="21" t="n">
        <f aca="false">MAX(D52,D53)</f>
        <v>22181186.3137167</v>
      </c>
      <c r="E54" s="21" t="n">
        <f aca="false">MAX(E52,E53)</f>
        <v>23233150.7845692</v>
      </c>
      <c r="F54" s="21" t="n">
        <f aca="false">MAX(F52,F53)</f>
        <v>25910852.1014643</v>
      </c>
      <c r="G54" s="21" t="n">
        <f aca="false">MAX(G52,G53)</f>
        <v>31028516.3357042</v>
      </c>
      <c r="H54" s="21" t="n">
        <f aca="false">MAX(H52,H53)</f>
        <v>33371263.481656</v>
      </c>
    </row>
    <row r="55" customFormat="false" ht="15" hidden="false" customHeight="false" outlineLevel="0" collapsed="false">
      <c r="A55" s="4" t="s">
        <v>85</v>
      </c>
      <c r="B55" s="13" t="s">
        <v>86</v>
      </c>
      <c r="C55" s="21" t="n">
        <f aca="false">C50-C54</f>
        <v>72698877</v>
      </c>
      <c r="D55" s="21" t="n">
        <f aca="false">D50-D54</f>
        <v>66543558.94115</v>
      </c>
      <c r="E55" s="21" t="n">
        <f aca="false">E50-E54</f>
        <v>69699452.3537075</v>
      </c>
      <c r="F55" s="21" t="n">
        <f aca="false">F50-F54</f>
        <v>77732556.3043929</v>
      </c>
      <c r="G55" s="21" t="n">
        <f aca="false">G50-G54</f>
        <v>93085549.0071126</v>
      </c>
      <c r="H55" s="21" t="n">
        <f aca="false">H50-H54</f>
        <v>100113790.444968</v>
      </c>
    </row>
    <row r="56" customFormat="false" ht="15" hidden="false" customHeight="false" outlineLevel="0" collapsed="false">
      <c r="A56" s="12" t="s">
        <v>87</v>
      </c>
      <c r="B56" s="13" t="s">
        <v>88</v>
      </c>
      <c r="D56" s="15" t="n">
        <f aca="false">MIN(D37*MAX(0,C55),MAX(0,D38*BALANCES!E5-BALANCES!E6))</f>
        <v>2000000</v>
      </c>
      <c r="E56" s="15" t="n">
        <f aca="false">MIN(E37*MAX(0,D55),MAX(0,E38*BALANCES!G5-BALANCES!G6))</f>
        <v>0</v>
      </c>
      <c r="F56" s="15" t="n">
        <f aca="false">MIN(F37*MAX(0,E55),MAX(0,F38*BALANCES!I5-BALANCES!I6))</f>
        <v>0</v>
      </c>
      <c r="G56" s="15" t="n">
        <f aca="false">MIN(G37*MAX(0,F55),MAX(0,G38*BALANCES!K5-BALANCES!K6))</f>
        <v>0</v>
      </c>
      <c r="H56" s="15" t="n">
        <f aca="false">MIN(H37*MAX(0,G55),MAX(0,H38*BALANCES!M5-BALANCES!M6))</f>
        <v>0</v>
      </c>
    </row>
    <row r="57" customFormat="false" ht="15" hidden="false" customHeight="false" outlineLevel="0" collapsed="false">
      <c r="A57" s="12" t="s">
        <v>89</v>
      </c>
      <c r="B57" s="13" t="s">
        <v>90</v>
      </c>
      <c r="D57" s="20" t="n">
        <f aca="false">MAX(0,C55-D56)*'INVEST ET FINANCEMENT'!D52</f>
        <v>0</v>
      </c>
      <c r="E57" s="20" t="n">
        <f aca="false">MAX(0,D55-E56)*'INVEST ET FINANCEMENT'!E52</f>
        <v>0</v>
      </c>
      <c r="F57" s="20" t="n">
        <f aca="false">MAX(0,E55-F56)*'INVEST ET FINANCEMENT'!F52</f>
        <v>0</v>
      </c>
      <c r="G57" s="20" t="n">
        <f aca="false">MAX(0,F55-G56)*'INVEST ET FINANCEMENT'!G52</f>
        <v>0</v>
      </c>
      <c r="H57" s="20" t="n">
        <f aca="false">MAX(0,G55-H56)*'INVEST ET FINANCEMENT'!H52</f>
        <v>0</v>
      </c>
    </row>
    <row r="58" customFormat="false" ht="15" hidden="false" customHeight="false" outlineLevel="0" collapsed="false">
      <c r="A58" s="12" t="s">
        <v>91</v>
      </c>
      <c r="B58" s="13" t="s">
        <v>92</v>
      </c>
      <c r="D58" s="20" t="n">
        <f aca="false">C55-D56-D57</f>
        <v>70698877</v>
      </c>
      <c r="E58" s="20" t="n">
        <f aca="false">D55-E56-E57</f>
        <v>66543558.94115</v>
      </c>
      <c r="F58" s="20" t="n">
        <f aca="false">E55-F56-F57</f>
        <v>69699452.3537075</v>
      </c>
      <c r="G58" s="20" t="n">
        <f aca="false">F55-G56-G57</f>
        <v>77732556.3043929</v>
      </c>
      <c r="H58" s="20" t="n">
        <f aca="false">G55-H56-H57</f>
        <v>93085549.0071126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true"/>
  </sheetPr>
  <dimension ref="A1:I7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3"/>
    <col collapsed="false" customWidth="true" hidden="false" outlineLevel="0" max="8" min="3" style="0" width="15"/>
    <col collapsed="false" customWidth="true" hidden="false" outlineLevel="0" max="9" min="9" style="0" width="90"/>
  </cols>
  <sheetData>
    <row r="1" customFormat="false" ht="24" hidden="false" customHeight="true" outlineLevel="0" collapsed="false">
      <c r="A1" s="1" t="s">
        <v>93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94</v>
      </c>
    </row>
    <row r="3" customFormat="false" ht="15" hidden="false" customHeight="false" outlineLevel="0" collapsed="false">
      <c r="A3" s="3" t="s">
        <v>95</v>
      </c>
    </row>
    <row r="4" customFormat="false" ht="15" hidden="false" customHeight="false" outlineLevel="0" collapsed="false">
      <c r="A4" s="4" t="str">
        <f aca="false">"Entité : "&amp;HYPOTHESES!$C$4</f>
        <v>Entité : MON ENTREPRISE</v>
      </c>
    </row>
    <row r="7" customFormat="false" ht="15" hidden="false" customHeight="false" outlineLevel="0" collapsed="false">
      <c r="A7" s="8" t="s">
        <v>7</v>
      </c>
      <c r="B7" s="8" t="s">
        <v>8</v>
      </c>
      <c r="C7" s="8" t="str">
        <f aca="false">"Réel "&amp;HYPOTHESES!$C$5</f>
        <v>Réel 2024</v>
      </c>
      <c r="D7" s="9" t="n">
        <f aca="false">HYPOTHESES!$C$5+1</f>
        <v>2025</v>
      </c>
      <c r="E7" s="9" t="n">
        <f aca="false">HYPOTHESES!$C$5+2</f>
        <v>2026</v>
      </c>
      <c r="F7" s="9" t="n">
        <f aca="false">HYPOTHESES!$C$5+3</f>
        <v>2027</v>
      </c>
      <c r="G7" s="9" t="n">
        <f aca="false">HYPOTHESES!$C$5+4</f>
        <v>2028</v>
      </c>
      <c r="H7" s="9" t="n">
        <f aca="false">HYPOTHESES!$C$5+5</f>
        <v>2029</v>
      </c>
      <c r="I7" s="8" t="s">
        <v>9</v>
      </c>
    </row>
    <row r="8" customFormat="false" ht="15" hidden="false" customHeight="false" outlineLevel="0" collapsed="false">
      <c r="A8" s="10" t="s">
        <v>96</v>
      </c>
      <c r="B8" s="11"/>
      <c r="C8" s="11"/>
      <c r="D8" s="11"/>
      <c r="E8" s="11"/>
      <c r="F8" s="11"/>
      <c r="G8" s="11"/>
      <c r="H8" s="11"/>
      <c r="I8" s="11"/>
    </row>
    <row r="9" customFormat="false" ht="15" hidden="false" customHeight="false" outlineLevel="0" collapsed="false">
      <c r="A9" s="12" t="s">
        <v>97</v>
      </c>
      <c r="B9" s="13" t="s">
        <v>98</v>
      </c>
      <c r="C9" s="24" t="n">
        <v>0</v>
      </c>
      <c r="D9" s="16" t="n">
        <v>0</v>
      </c>
      <c r="E9" s="16" t="n">
        <v>0</v>
      </c>
      <c r="F9" s="16" t="n">
        <v>0</v>
      </c>
      <c r="G9" s="16" t="n">
        <v>0</v>
      </c>
      <c r="H9" s="16" t="n">
        <v>0</v>
      </c>
      <c r="I9" s="7" t="s">
        <v>99</v>
      </c>
    </row>
    <row r="10" customFormat="false" ht="15" hidden="false" customHeight="false" outlineLevel="0" collapsed="false">
      <c r="A10" s="12" t="s">
        <v>100</v>
      </c>
      <c r="B10" s="13" t="s">
        <v>101</v>
      </c>
      <c r="C10" s="24" t="n">
        <v>294528381</v>
      </c>
      <c r="D10" s="16" t="n">
        <v>30000000</v>
      </c>
      <c r="E10" s="16" t="n">
        <v>30000000</v>
      </c>
      <c r="F10" s="16" t="n">
        <v>30000000</v>
      </c>
      <c r="G10" s="16" t="n">
        <v>30000000</v>
      </c>
      <c r="H10" s="16" t="n">
        <v>30000000</v>
      </c>
      <c r="I10" s="7" t="s">
        <v>99</v>
      </c>
    </row>
    <row r="11" customFormat="false" ht="15" hidden="false" customHeight="false" outlineLevel="0" collapsed="false">
      <c r="A11" s="12" t="s">
        <v>102</v>
      </c>
      <c r="B11" s="13" t="s">
        <v>103</v>
      </c>
      <c r="C11" s="24" t="n">
        <v>14513941</v>
      </c>
      <c r="D11" s="16" t="n">
        <v>5000000</v>
      </c>
      <c r="E11" s="16" t="n">
        <v>5000000</v>
      </c>
      <c r="F11" s="16" t="n">
        <v>5000000</v>
      </c>
      <c r="G11" s="16" t="n">
        <v>5000000</v>
      </c>
      <c r="H11" s="16" t="n">
        <v>5000000</v>
      </c>
      <c r="I11" s="7" t="s">
        <v>99</v>
      </c>
    </row>
    <row r="12" customFormat="false" ht="15" hidden="false" customHeight="false" outlineLevel="0" collapsed="false">
      <c r="A12" s="12" t="s">
        <v>104</v>
      </c>
      <c r="B12" s="13" t="s">
        <v>105</v>
      </c>
      <c r="C12" s="24" t="n">
        <v>55896547</v>
      </c>
      <c r="D12" s="16" t="n">
        <v>40000000</v>
      </c>
      <c r="E12" s="16" t="n">
        <v>0</v>
      </c>
      <c r="F12" s="16" t="n">
        <v>0</v>
      </c>
      <c r="G12" s="16" t="n">
        <v>40000000</v>
      </c>
      <c r="H12" s="16" t="n">
        <v>0</v>
      </c>
      <c r="I12" s="7" t="s">
        <v>99</v>
      </c>
    </row>
    <row r="13" customFormat="false" ht="15" hidden="false" customHeight="false" outlineLevel="0" collapsed="false">
      <c r="A13" s="12" t="s">
        <v>106</v>
      </c>
      <c r="B13" s="13" t="s">
        <v>107</v>
      </c>
      <c r="D13" s="16" t="n">
        <v>0</v>
      </c>
      <c r="E13" s="16" t="n">
        <v>0</v>
      </c>
      <c r="F13" s="16" t="n">
        <v>0</v>
      </c>
      <c r="G13" s="16" t="n">
        <v>0</v>
      </c>
      <c r="H13" s="16" t="n">
        <v>0</v>
      </c>
    </row>
    <row r="14" customFormat="false" ht="15" hidden="false" customHeight="false" outlineLevel="0" collapsed="false">
      <c r="A14" s="4" t="s">
        <v>108</v>
      </c>
    </row>
    <row r="15" customFormat="false" ht="15" hidden="false" customHeight="false" outlineLevel="0" collapsed="false">
      <c r="A15" s="12" t="s">
        <v>109</v>
      </c>
      <c r="C15" s="6" t="n">
        <v>10</v>
      </c>
      <c r="I15" s="7" t="s">
        <v>110</v>
      </c>
    </row>
    <row r="16" customFormat="false" ht="15" hidden="false" customHeight="false" outlineLevel="0" collapsed="false">
      <c r="A16" s="12" t="s">
        <v>111</v>
      </c>
      <c r="C16" s="6" t="n">
        <v>5</v>
      </c>
      <c r="I16" s="7" t="s">
        <v>110</v>
      </c>
    </row>
    <row r="17" customFormat="false" ht="15" hidden="false" customHeight="false" outlineLevel="0" collapsed="false">
      <c r="A17" s="12" t="s">
        <v>112</v>
      </c>
      <c r="C17" s="6" t="n">
        <v>2</v>
      </c>
      <c r="I17" s="7" t="s">
        <v>110</v>
      </c>
    </row>
    <row r="18" customFormat="false" ht="15" hidden="false" customHeight="false" outlineLevel="0" collapsed="false">
      <c r="A18" s="12" t="s">
        <v>113</v>
      </c>
      <c r="C18" s="6" t="n">
        <v>3</v>
      </c>
      <c r="I18" s="7" t="s">
        <v>110</v>
      </c>
    </row>
    <row r="19" customFormat="false" ht="15" hidden="false" customHeight="false" outlineLevel="0" collapsed="false">
      <c r="A19" s="4" t="s">
        <v>114</v>
      </c>
    </row>
    <row r="20" customFormat="false" ht="15" hidden="false" customHeight="false" outlineLevel="0" collapsed="false">
      <c r="A20" s="12" t="s">
        <v>109</v>
      </c>
      <c r="B20" s="13" t="s">
        <v>115</v>
      </c>
      <c r="D20" s="16" t="n">
        <v>19282845</v>
      </c>
      <c r="E20" s="16" t="n">
        <v>19282845</v>
      </c>
      <c r="F20" s="16" t="n">
        <v>19282845</v>
      </c>
      <c r="G20" s="16" t="n">
        <v>19282845</v>
      </c>
      <c r="H20" s="16" t="n">
        <v>19282845</v>
      </c>
      <c r="I20" s="7" t="s">
        <v>36</v>
      </c>
    </row>
    <row r="21" customFormat="false" ht="15" hidden="false" customHeight="false" outlineLevel="0" collapsed="false">
      <c r="A21" s="12" t="s">
        <v>111</v>
      </c>
      <c r="B21" s="13" t="s">
        <v>115</v>
      </c>
      <c r="D21" s="16" t="n">
        <v>44854932</v>
      </c>
      <c r="E21" s="16" t="n">
        <v>44854932</v>
      </c>
      <c r="F21" s="16" t="n">
        <v>44854932</v>
      </c>
      <c r="G21" s="16" t="n">
        <v>44854932</v>
      </c>
      <c r="H21" s="16" t="n">
        <v>44854932</v>
      </c>
      <c r="I21" s="7" t="s">
        <v>36</v>
      </c>
    </row>
    <row r="22" customFormat="false" ht="15" hidden="false" customHeight="false" outlineLevel="0" collapsed="false">
      <c r="A22" s="12" t="s">
        <v>112</v>
      </c>
      <c r="B22" s="13" t="s">
        <v>115</v>
      </c>
      <c r="D22" s="16" t="n">
        <v>4934884</v>
      </c>
      <c r="E22" s="16" t="n">
        <v>4934884</v>
      </c>
      <c r="F22" s="16" t="n">
        <v>4934884</v>
      </c>
      <c r="G22" s="16" t="n">
        <v>4934884</v>
      </c>
      <c r="H22" s="16" t="n">
        <v>4934884</v>
      </c>
      <c r="I22" s="7" t="s">
        <v>36</v>
      </c>
    </row>
    <row r="23" customFormat="false" ht="15" hidden="false" customHeight="false" outlineLevel="0" collapsed="false">
      <c r="A23" s="12" t="s">
        <v>113</v>
      </c>
      <c r="B23" s="13" t="s">
        <v>115</v>
      </c>
      <c r="D23" s="16" t="n">
        <v>10760638</v>
      </c>
      <c r="E23" s="16" t="n">
        <v>10760638</v>
      </c>
      <c r="F23" s="16" t="n">
        <v>10760638</v>
      </c>
      <c r="G23" s="16" t="n">
        <v>10760638</v>
      </c>
      <c r="H23" s="16" t="n">
        <v>10760638</v>
      </c>
      <c r="I23" s="7" t="s">
        <v>36</v>
      </c>
    </row>
    <row r="24" customFormat="false" ht="15" hidden="false" customHeight="false" outlineLevel="0" collapsed="false">
      <c r="A24" s="12" t="s">
        <v>116</v>
      </c>
      <c r="B24" s="13" t="s">
        <v>98</v>
      </c>
      <c r="C24" s="20" t="n">
        <v>61665016</v>
      </c>
      <c r="I24" s="7" t="s">
        <v>117</v>
      </c>
    </row>
    <row r="25" customFormat="false" ht="15" hidden="false" customHeight="false" outlineLevel="0" collapsed="false">
      <c r="A25" s="12" t="s">
        <v>118</v>
      </c>
      <c r="B25" s="13" t="s">
        <v>101</v>
      </c>
      <c r="C25" s="20" t="n">
        <v>257861504</v>
      </c>
      <c r="I25" s="7" t="s">
        <v>117</v>
      </c>
    </row>
    <row r="26" customFormat="false" ht="15" hidden="false" customHeight="false" outlineLevel="0" collapsed="false">
      <c r="A26" s="12" t="s">
        <v>119</v>
      </c>
      <c r="B26" s="13" t="s">
        <v>103</v>
      </c>
      <c r="C26" s="20" t="n">
        <v>9579057</v>
      </c>
      <c r="I26" s="7" t="s">
        <v>117</v>
      </c>
    </row>
    <row r="27" customFormat="false" ht="15" hidden="false" customHeight="false" outlineLevel="0" collapsed="false">
      <c r="A27" s="12" t="s">
        <v>120</v>
      </c>
      <c r="B27" s="13" t="s">
        <v>105</v>
      </c>
      <c r="C27" s="20" t="n">
        <v>73755603</v>
      </c>
      <c r="I27" s="7" t="s">
        <v>117</v>
      </c>
    </row>
    <row r="28" customFormat="false" ht="15" hidden="false" customHeight="false" outlineLevel="0" collapsed="false">
      <c r="A28" s="10" t="s">
        <v>121</v>
      </c>
      <c r="B28" s="11"/>
      <c r="C28" s="11"/>
      <c r="D28" s="11"/>
      <c r="E28" s="11"/>
      <c r="F28" s="11"/>
      <c r="G28" s="11"/>
      <c r="H28" s="11"/>
      <c r="I28" s="11"/>
    </row>
    <row r="29" customFormat="false" ht="15" hidden="false" customHeight="false" outlineLevel="0" collapsed="false">
      <c r="A29" s="12" t="s">
        <v>122</v>
      </c>
      <c r="B29" s="13" t="s">
        <v>115</v>
      </c>
      <c r="D29" s="20" t="n">
        <f aca="false">MIN(D20,$C24)</f>
        <v>19282845</v>
      </c>
      <c r="E29" s="20" t="n">
        <f aca="false">MIN(E20,$C24-SUM($D29:D29))</f>
        <v>19282845</v>
      </c>
      <c r="F29" s="20" t="n">
        <f aca="false">MIN(F20,$C24-SUM($D29:E29))</f>
        <v>19282845</v>
      </c>
      <c r="G29" s="20" t="n">
        <f aca="false">MIN(G20,$C24-SUM($D29:F29))</f>
        <v>3816481</v>
      </c>
      <c r="H29" s="20" t="n">
        <f aca="false">MIN(H20,$C24-SUM($D29:G29))</f>
        <v>0</v>
      </c>
    </row>
    <row r="30" customFormat="false" ht="15" hidden="false" customHeight="false" outlineLevel="0" collapsed="false">
      <c r="A30" s="12" t="s">
        <v>123</v>
      </c>
      <c r="B30" s="13" t="s">
        <v>115</v>
      </c>
      <c r="D30" s="20" t="n">
        <f aca="false">SUMPRODUCT($D9:D9/$C15*((D$7-$D$7:D$7)&lt;$C15))</f>
        <v>0</v>
      </c>
      <c r="E30" s="20" t="n">
        <f aca="false">SUMPRODUCT($D9:E9/$C15*((E$7-$D$7:E$7)&lt;$C15))</f>
        <v>0</v>
      </c>
      <c r="F30" s="20" t="n">
        <f aca="false">SUMPRODUCT($D9:F9/$C15*((F$7-$D$7:F$7)&lt;$C15))</f>
        <v>0</v>
      </c>
      <c r="G30" s="20" t="n">
        <f aca="false">SUMPRODUCT($D9:G9/$C15*((G$7-$D$7:G$7)&lt;$C15))</f>
        <v>0</v>
      </c>
      <c r="H30" s="20" t="n">
        <f aca="false">SUMPRODUCT($D9:H9/$C15*((H$7-$D$7:H$7)&lt;$C15))</f>
        <v>0</v>
      </c>
    </row>
    <row r="31" customFormat="false" ht="15" hidden="false" customHeight="false" outlineLevel="0" collapsed="false">
      <c r="A31" s="12" t="s">
        <v>124</v>
      </c>
      <c r="B31" s="13" t="s">
        <v>115</v>
      </c>
      <c r="D31" s="20" t="n">
        <f aca="false">D29+D30</f>
        <v>19282845</v>
      </c>
      <c r="E31" s="20" t="n">
        <f aca="false">E29+E30</f>
        <v>19282845</v>
      </c>
      <c r="F31" s="20" t="n">
        <f aca="false">F29+F30</f>
        <v>19282845</v>
      </c>
      <c r="G31" s="20" t="n">
        <f aca="false">G29+G30</f>
        <v>3816481</v>
      </c>
      <c r="H31" s="20" t="n">
        <f aca="false">H29+H30</f>
        <v>0</v>
      </c>
    </row>
    <row r="32" customFormat="false" ht="15" hidden="false" customHeight="false" outlineLevel="0" collapsed="false">
      <c r="A32" s="12" t="s">
        <v>125</v>
      </c>
      <c r="B32" s="13" t="s">
        <v>115</v>
      </c>
      <c r="D32" s="20" t="n">
        <f aca="false">MIN(D21,$C25)</f>
        <v>44854932</v>
      </c>
      <c r="E32" s="20" t="n">
        <f aca="false">MIN(E21,$C25-SUM($D32:D32))</f>
        <v>44854932</v>
      </c>
      <c r="F32" s="20" t="n">
        <f aca="false">MIN(F21,$C25-SUM($D32:E32))</f>
        <v>44854932</v>
      </c>
      <c r="G32" s="20" t="n">
        <f aca="false">MIN(G21,$C25-SUM($D32:F32))</f>
        <v>44854932</v>
      </c>
      <c r="H32" s="20" t="n">
        <f aca="false">MIN(H21,$C25-SUM($D32:G32))</f>
        <v>44854932</v>
      </c>
    </row>
    <row r="33" customFormat="false" ht="15" hidden="false" customHeight="false" outlineLevel="0" collapsed="false">
      <c r="A33" s="12" t="s">
        <v>126</v>
      </c>
      <c r="B33" s="13" t="s">
        <v>115</v>
      </c>
      <c r="D33" s="20" t="n">
        <f aca="false">SUMPRODUCT($D10:D10/$C16*((D$7-$D$7:D$7)&lt;$C16))</f>
        <v>6000000</v>
      </c>
      <c r="E33" s="20" t="n">
        <f aca="false">SUMPRODUCT($D10:E10/$C16*((E$7-$D$7:E$7)&lt;$C16))</f>
        <v>12000000</v>
      </c>
      <c r="F33" s="20" t="n">
        <f aca="false">SUMPRODUCT($D10:F10/$C16*((F$7-$D$7:F$7)&lt;$C16))</f>
        <v>18000000</v>
      </c>
      <c r="G33" s="20" t="n">
        <f aca="false">SUMPRODUCT($D10:G10/$C16*((G$7-$D$7:G$7)&lt;$C16))</f>
        <v>24000000</v>
      </c>
      <c r="H33" s="20" t="n">
        <f aca="false">SUMPRODUCT($D10:H10/$C16*((H$7-$D$7:H$7)&lt;$C16))</f>
        <v>30000000</v>
      </c>
    </row>
    <row r="34" customFormat="false" ht="15" hidden="false" customHeight="false" outlineLevel="0" collapsed="false">
      <c r="A34" s="12" t="s">
        <v>127</v>
      </c>
      <c r="B34" s="13" t="s">
        <v>115</v>
      </c>
      <c r="D34" s="20" t="n">
        <f aca="false">D32+D33</f>
        <v>50854932</v>
      </c>
      <c r="E34" s="20" t="n">
        <f aca="false">E32+E33</f>
        <v>56854932</v>
      </c>
      <c r="F34" s="20" t="n">
        <f aca="false">F32+F33</f>
        <v>62854932</v>
      </c>
      <c r="G34" s="20" t="n">
        <f aca="false">G32+G33</f>
        <v>68854932</v>
      </c>
      <c r="H34" s="20" t="n">
        <f aca="false">H32+H33</f>
        <v>74854932</v>
      </c>
    </row>
    <row r="35" customFormat="false" ht="15" hidden="false" customHeight="false" outlineLevel="0" collapsed="false">
      <c r="A35" s="12" t="s">
        <v>128</v>
      </c>
      <c r="B35" s="13" t="s">
        <v>115</v>
      </c>
      <c r="D35" s="20" t="n">
        <f aca="false">MIN(D22,$C26)</f>
        <v>4934884</v>
      </c>
      <c r="E35" s="20" t="n">
        <f aca="false">MIN(E22,$C26-SUM($D35:D35))</f>
        <v>4644173</v>
      </c>
      <c r="F35" s="20" t="n">
        <f aca="false">MIN(F22,$C26-SUM($D35:E35))</f>
        <v>0</v>
      </c>
      <c r="G35" s="20" t="n">
        <f aca="false">MIN(G22,$C26-SUM($D35:F35))</f>
        <v>0</v>
      </c>
      <c r="H35" s="20" t="n">
        <f aca="false">MIN(H22,$C26-SUM($D35:G35))</f>
        <v>0</v>
      </c>
    </row>
    <row r="36" customFormat="false" ht="15" hidden="false" customHeight="false" outlineLevel="0" collapsed="false">
      <c r="A36" s="12" t="s">
        <v>129</v>
      </c>
      <c r="B36" s="13" t="s">
        <v>115</v>
      </c>
      <c r="D36" s="20" t="n">
        <f aca="false">SUMPRODUCT($D11:D11/$C17*((D$7-$D$7:D$7)&lt;$C17))</f>
        <v>2500000</v>
      </c>
      <c r="E36" s="20" t="n">
        <f aca="false">SUMPRODUCT($D11:E11/$C17*((E$7-$D$7:E$7)&lt;$C17))</f>
        <v>5000000</v>
      </c>
      <c r="F36" s="20" t="n">
        <f aca="false">SUMPRODUCT($D11:F11/$C17*((F$7-$D$7:F$7)&lt;$C17))</f>
        <v>5000000</v>
      </c>
      <c r="G36" s="20" t="n">
        <f aca="false">SUMPRODUCT($D11:G11/$C17*((G$7-$D$7:G$7)&lt;$C17))</f>
        <v>5000000</v>
      </c>
      <c r="H36" s="20" t="n">
        <f aca="false">SUMPRODUCT($D11:H11/$C17*((H$7-$D$7:H$7)&lt;$C17))</f>
        <v>5000000</v>
      </c>
    </row>
    <row r="37" customFormat="false" ht="15" hidden="false" customHeight="false" outlineLevel="0" collapsed="false">
      <c r="A37" s="12" t="s">
        <v>130</v>
      </c>
      <c r="B37" s="13" t="s">
        <v>115</v>
      </c>
      <c r="D37" s="20" t="n">
        <f aca="false">D35+D36</f>
        <v>7434884</v>
      </c>
      <c r="E37" s="20" t="n">
        <f aca="false">E35+E36</f>
        <v>9644173</v>
      </c>
      <c r="F37" s="20" t="n">
        <f aca="false">F35+F36</f>
        <v>5000000</v>
      </c>
      <c r="G37" s="20" t="n">
        <f aca="false">G35+G36</f>
        <v>5000000</v>
      </c>
      <c r="H37" s="20" t="n">
        <f aca="false">H35+H36</f>
        <v>5000000</v>
      </c>
    </row>
    <row r="38" customFormat="false" ht="15" hidden="false" customHeight="false" outlineLevel="0" collapsed="false">
      <c r="A38" s="12" t="s">
        <v>131</v>
      </c>
      <c r="B38" s="13" t="s">
        <v>115</v>
      </c>
      <c r="D38" s="20" t="n">
        <f aca="false">MIN(D23,$C27)</f>
        <v>10760638</v>
      </c>
      <c r="E38" s="20" t="n">
        <f aca="false">MIN(E23,$C27-SUM($D38:D38))</f>
        <v>10760638</v>
      </c>
      <c r="F38" s="20" t="n">
        <f aca="false">MIN(F23,$C27-SUM($D38:E38))</f>
        <v>10760638</v>
      </c>
      <c r="G38" s="20" t="n">
        <f aca="false">MIN(G23,$C27-SUM($D38:F38))</f>
        <v>10760638</v>
      </c>
      <c r="H38" s="20" t="n">
        <f aca="false">MIN(H23,$C27-SUM($D38:G38))</f>
        <v>10760638</v>
      </c>
    </row>
    <row r="39" customFormat="false" ht="15" hidden="false" customHeight="false" outlineLevel="0" collapsed="false">
      <c r="A39" s="12" t="s">
        <v>132</v>
      </c>
      <c r="B39" s="13" t="s">
        <v>115</v>
      </c>
      <c r="D39" s="20" t="n">
        <f aca="false">SUMPRODUCT($D12:D12/$C18*((D$7-$D$7:D$7)&lt;$C18))</f>
        <v>13333333.3333333</v>
      </c>
      <c r="E39" s="20" t="n">
        <f aca="false">SUMPRODUCT($D12:E12/$C18*((E$7-$D$7:E$7)&lt;$C18))</f>
        <v>13333333.3333333</v>
      </c>
      <c r="F39" s="20" t="n">
        <f aca="false">SUMPRODUCT($D12:F12/$C18*((F$7-$D$7:F$7)&lt;$C18))</f>
        <v>13333333.3333333</v>
      </c>
      <c r="G39" s="20" t="n">
        <f aca="false">SUMPRODUCT($D12:G12/$C18*((G$7-$D$7:G$7)&lt;$C18))</f>
        <v>13333333.3333333</v>
      </c>
      <c r="H39" s="20" t="n">
        <f aca="false">SUMPRODUCT($D12:H12/$C18*((H$7-$D$7:H$7)&lt;$C18))</f>
        <v>13333333.3333333</v>
      </c>
    </row>
    <row r="40" customFormat="false" ht="15" hidden="false" customHeight="false" outlineLevel="0" collapsed="false">
      <c r="A40" s="12" t="s">
        <v>133</v>
      </c>
      <c r="B40" s="13" t="s">
        <v>115</v>
      </c>
      <c r="D40" s="20" t="n">
        <f aca="false">D38+D39</f>
        <v>24093971.3333333</v>
      </c>
      <c r="E40" s="20" t="n">
        <f aca="false">E38+E39</f>
        <v>24093971.3333333</v>
      </c>
      <c r="F40" s="20" t="n">
        <f aca="false">F38+F39</f>
        <v>24093971.3333333</v>
      </c>
      <c r="G40" s="20" t="n">
        <f aca="false">G38+G39</f>
        <v>24093971.3333333</v>
      </c>
      <c r="H40" s="20" t="n">
        <f aca="false">H38+H39</f>
        <v>24093971.3333333</v>
      </c>
    </row>
    <row r="41" customFormat="false" ht="15" hidden="false" customHeight="false" outlineLevel="0" collapsed="false">
      <c r="A41" s="4" t="s">
        <v>134</v>
      </c>
      <c r="B41" s="13"/>
      <c r="C41" s="21" t="n">
        <f aca="false">C9+C10+C11+C12</f>
        <v>364938869</v>
      </c>
      <c r="D41" s="21" t="n">
        <f aca="false">D9+D10+D11+D12</f>
        <v>75000000</v>
      </c>
      <c r="E41" s="21" t="n">
        <f aca="false">E9+E10+E11+E12</f>
        <v>35000000</v>
      </c>
      <c r="F41" s="21" t="n">
        <f aca="false">F9+F10+F11+F12</f>
        <v>35000000</v>
      </c>
      <c r="G41" s="21" t="n">
        <f aca="false">G9+G10+G11+G12</f>
        <v>75000000</v>
      </c>
      <c r="H41" s="21" t="n">
        <f aca="false">H9+H10+H11+H12</f>
        <v>35000000</v>
      </c>
    </row>
    <row r="42" customFormat="false" ht="15" hidden="false" customHeight="false" outlineLevel="0" collapsed="false">
      <c r="A42" s="4" t="s">
        <v>135</v>
      </c>
      <c r="B42" s="13" t="s">
        <v>115</v>
      </c>
      <c r="C42" s="23" t="n">
        <f aca="false">SUMIFS(BALANCES!$D:$D,BALANCES!$A:$A,"&gt;=681000",BALANCES!$A:$A,"&lt;682000")</f>
        <v>79833299</v>
      </c>
      <c r="D42" s="21" t="n">
        <f aca="false">D31+D34+D37+D40</f>
        <v>101666632.333333</v>
      </c>
      <c r="E42" s="21" t="n">
        <f aca="false">E31+E34+E37+E40</f>
        <v>109875921.333333</v>
      </c>
      <c r="F42" s="21" t="n">
        <f aca="false">F31+F34+F37+F40</f>
        <v>111231748.333333</v>
      </c>
      <c r="G42" s="21" t="n">
        <f aca="false">G31+G34+G37+G40</f>
        <v>101765384.333333</v>
      </c>
      <c r="H42" s="21" t="n">
        <f aca="false">H31+H34+H37+H40</f>
        <v>103948903.333333</v>
      </c>
    </row>
    <row r="43" customFormat="false" ht="15" hidden="false" customHeight="false" outlineLevel="0" collapsed="false">
      <c r="A43" s="12" t="s">
        <v>136</v>
      </c>
      <c r="B43" s="13" t="s">
        <v>137</v>
      </c>
      <c r="C43" s="15" t="n">
        <f aca="false">SUMIFS(BALANCES!$D:$D,BALANCES!$C:$C,"AJ")+SUMIFS(BALANCES!$D:$D,BALANCES!$C:$C,"AK")+SUMIFS(BALANCES!$D:$D,BALANCES!$C:$C,"AL")+SUMIFS(BALANCES!$D:$D,BALANCES!$C:$C,"AM")+SUMIFS(BALANCES!$D:$D,BALANCES!$C:$C,"AN")</f>
        <v>876398854</v>
      </c>
      <c r="D43" s="20" t="n">
        <f aca="false">C43+D41</f>
        <v>951398854</v>
      </c>
      <c r="E43" s="20" t="n">
        <f aca="false">D43+E41</f>
        <v>986398854</v>
      </c>
      <c r="F43" s="20" t="n">
        <f aca="false">E43+F41</f>
        <v>1021398854</v>
      </c>
      <c r="G43" s="20" t="n">
        <f aca="false">F43+G41</f>
        <v>1096398854</v>
      </c>
      <c r="H43" s="20" t="n">
        <f aca="false">G43+H41</f>
        <v>1131398854</v>
      </c>
    </row>
    <row r="44" customFormat="false" ht="15" hidden="false" customHeight="false" outlineLevel="0" collapsed="false">
      <c r="A44" s="12" t="s">
        <v>138</v>
      </c>
      <c r="B44" s="13" t="s">
        <v>139</v>
      </c>
      <c r="C44" s="15" t="n">
        <f aca="false">SUMIFS(BALANCES!$E:$E,BALANCES!$C:$C,"AJ")+SUMIFS(BALANCES!$E:$E,BALANCES!$C:$C,"AK")+SUMIFS(BALANCES!$E:$E,BALANCES!$C:$C,"AL")+SUMIFS(BALANCES!$E:$E,BALANCES!$C:$C,"AM")+SUMIFS(BALANCES!$E:$E,BALANCES!$C:$C,"AN")</f>
        <v>473537674</v>
      </c>
      <c r="D44" s="20" t="n">
        <f aca="false">C44+D42</f>
        <v>575204306.333333</v>
      </c>
      <c r="E44" s="20" t="n">
        <f aca="false">D44+E42</f>
        <v>685080227.666667</v>
      </c>
      <c r="F44" s="20" t="n">
        <f aca="false">E44+F42</f>
        <v>796311976</v>
      </c>
      <c r="G44" s="20" t="n">
        <f aca="false">F44+G42</f>
        <v>898077360.333334</v>
      </c>
      <c r="H44" s="20" t="n">
        <f aca="false">G44+H42</f>
        <v>1002026263.66667</v>
      </c>
    </row>
    <row r="45" customFormat="false" ht="15" hidden="false" customHeight="false" outlineLevel="0" collapsed="false">
      <c r="A45" s="4" t="s">
        <v>140</v>
      </c>
      <c r="B45" s="13" t="s">
        <v>141</v>
      </c>
      <c r="C45" s="21" t="n">
        <f aca="false">C43-C44</f>
        <v>402861180</v>
      </c>
      <c r="D45" s="21" t="n">
        <f aca="false">D43-D44</f>
        <v>376194547.666667</v>
      </c>
      <c r="E45" s="21" t="n">
        <f aca="false">E43-E44</f>
        <v>301318626.333333</v>
      </c>
      <c r="F45" s="21" t="n">
        <f aca="false">F43-F44</f>
        <v>225086878</v>
      </c>
      <c r="G45" s="21" t="n">
        <f aca="false">G43-G44</f>
        <v>198321493.666667</v>
      </c>
      <c r="H45" s="21" t="n">
        <f aca="false">H43-H44</f>
        <v>129372590.333333</v>
      </c>
    </row>
    <row r="46" customFormat="false" ht="15" hidden="false" customHeight="false" outlineLevel="0" collapsed="false">
      <c r="A46" s="10" t="s">
        <v>142</v>
      </c>
      <c r="B46" s="11"/>
      <c r="C46" s="11"/>
      <c r="D46" s="11"/>
      <c r="E46" s="11"/>
      <c r="F46" s="11"/>
      <c r="G46" s="11"/>
      <c r="H46" s="11"/>
      <c r="I46" s="11"/>
    </row>
    <row r="47" customFormat="false" ht="15" hidden="false" customHeight="false" outlineLevel="0" collapsed="false">
      <c r="A47" s="12" t="s">
        <v>143</v>
      </c>
      <c r="B47" s="13" t="s">
        <v>144</v>
      </c>
      <c r="D47" s="16" t="n">
        <v>0</v>
      </c>
      <c r="E47" s="16" t="n">
        <v>0</v>
      </c>
      <c r="F47" s="16" t="n">
        <v>0</v>
      </c>
      <c r="G47" s="16" t="n">
        <v>0</v>
      </c>
      <c r="H47" s="16" t="n">
        <v>0</v>
      </c>
    </row>
    <row r="48" customFormat="false" ht="15" hidden="false" customHeight="false" outlineLevel="0" collapsed="false">
      <c r="A48" s="12" t="s">
        <v>145</v>
      </c>
      <c r="B48" s="13" t="s">
        <v>144</v>
      </c>
      <c r="D48" s="16" t="n">
        <v>19829416</v>
      </c>
      <c r="E48" s="16" t="n">
        <v>19829416</v>
      </c>
      <c r="F48" s="16" t="n">
        <v>0</v>
      </c>
      <c r="G48" s="16" t="n">
        <v>0</v>
      </c>
      <c r="H48" s="16" t="n">
        <v>0</v>
      </c>
      <c r="I48" s="7" t="s">
        <v>146</v>
      </c>
    </row>
    <row r="49" customFormat="false" ht="15" hidden="false" customHeight="false" outlineLevel="0" collapsed="false">
      <c r="A49" s="12" t="s">
        <v>147</v>
      </c>
      <c r="B49" s="13" t="s">
        <v>148</v>
      </c>
      <c r="D49" s="16" t="n">
        <v>10619694</v>
      </c>
      <c r="E49" s="16" t="n">
        <v>0</v>
      </c>
      <c r="F49" s="16" t="n">
        <v>0</v>
      </c>
      <c r="G49" s="16" t="n">
        <v>0</v>
      </c>
      <c r="H49" s="16" t="n">
        <v>0</v>
      </c>
      <c r="I49" s="7" t="s">
        <v>149</v>
      </c>
    </row>
    <row r="50" customFormat="false" ht="15" hidden="false" customHeight="false" outlineLevel="0" collapsed="false">
      <c r="A50" s="12" t="s">
        <v>150</v>
      </c>
      <c r="B50" s="13" t="s">
        <v>12</v>
      </c>
      <c r="D50" s="14" t="n">
        <v>0.08</v>
      </c>
      <c r="E50" s="14" t="n">
        <v>0.08</v>
      </c>
      <c r="F50" s="14" t="n">
        <v>0.08</v>
      </c>
      <c r="G50" s="14" t="n">
        <v>0.08</v>
      </c>
      <c r="H50" s="14" t="n">
        <v>0.08</v>
      </c>
      <c r="I50" s="7" t="s">
        <v>151</v>
      </c>
    </row>
    <row r="51" customFormat="false" ht="15" hidden="false" customHeight="false" outlineLevel="0" collapsed="false">
      <c r="A51" s="12" t="s">
        <v>152</v>
      </c>
      <c r="B51" s="13" t="s">
        <v>153</v>
      </c>
      <c r="D51" s="16" t="n">
        <v>0</v>
      </c>
      <c r="E51" s="16" t="n">
        <v>0</v>
      </c>
      <c r="F51" s="16" t="n">
        <v>0</v>
      </c>
      <c r="G51" s="16" t="n">
        <v>0</v>
      </c>
      <c r="H51" s="16" t="n">
        <v>0</v>
      </c>
    </row>
    <row r="52" customFormat="false" ht="15" hidden="false" customHeight="false" outlineLevel="0" collapsed="false">
      <c r="A52" s="12" t="s">
        <v>154</v>
      </c>
      <c r="B52" s="13" t="s">
        <v>12</v>
      </c>
      <c r="D52" s="14" t="n">
        <v>0</v>
      </c>
      <c r="E52" s="14" t="n">
        <v>0</v>
      </c>
      <c r="F52" s="14" t="n">
        <v>0</v>
      </c>
      <c r="G52" s="14" t="n">
        <v>0</v>
      </c>
      <c r="H52" s="14" t="n">
        <v>0</v>
      </c>
      <c r="I52" s="7" t="s">
        <v>155</v>
      </c>
    </row>
    <row r="53" customFormat="false" ht="15" hidden="false" customHeight="false" outlineLevel="0" collapsed="false">
      <c r="A53" s="10" t="s">
        <v>156</v>
      </c>
      <c r="B53" s="11"/>
      <c r="C53" s="11"/>
      <c r="D53" s="11"/>
      <c r="E53" s="11"/>
      <c r="F53" s="11"/>
      <c r="G53" s="11"/>
      <c r="H53" s="11"/>
      <c r="I53" s="11"/>
    </row>
    <row r="54" customFormat="false" ht="15" hidden="false" customHeight="false" outlineLevel="0" collapsed="false">
      <c r="A54" s="12" t="s">
        <v>157</v>
      </c>
      <c r="B54" s="13" t="s">
        <v>144</v>
      </c>
      <c r="D54" s="15" t="n">
        <f aca="false">BALANCES!E8</f>
        <v>39658832</v>
      </c>
      <c r="E54" s="15" t="n">
        <f aca="false">BALANCES!G8</f>
        <v>19829416</v>
      </c>
      <c r="F54" s="15" t="n">
        <f aca="false">BALANCES!I8</f>
        <v>0</v>
      </c>
      <c r="G54" s="15" t="n">
        <f aca="false">BALANCES!K8</f>
        <v>0</v>
      </c>
      <c r="H54" s="15" t="n">
        <f aca="false">BALANCES!M8</f>
        <v>0</v>
      </c>
    </row>
    <row r="55" customFormat="false" ht="15" hidden="false" customHeight="false" outlineLevel="0" collapsed="false">
      <c r="A55" s="12" t="s">
        <v>158</v>
      </c>
      <c r="B55" s="13" t="s">
        <v>144</v>
      </c>
      <c r="D55" s="20" t="n">
        <f aca="false">D47</f>
        <v>0</v>
      </c>
      <c r="E55" s="20" t="n">
        <f aca="false">E47</f>
        <v>0</v>
      </c>
      <c r="F55" s="20" t="n">
        <f aca="false">F47</f>
        <v>0</v>
      </c>
      <c r="G55" s="20" t="n">
        <f aca="false">G47</f>
        <v>0</v>
      </c>
      <c r="H55" s="20" t="n">
        <f aca="false">H47</f>
        <v>0</v>
      </c>
    </row>
    <row r="56" customFormat="false" ht="15" hidden="false" customHeight="false" outlineLevel="0" collapsed="false">
      <c r="A56" s="12" t="s">
        <v>159</v>
      </c>
      <c r="B56" s="13" t="s">
        <v>144</v>
      </c>
      <c r="D56" s="20" t="n">
        <f aca="false">-D48</f>
        <v>-19829416</v>
      </c>
      <c r="E56" s="20" t="n">
        <f aca="false">-E48</f>
        <v>-19829416</v>
      </c>
      <c r="F56" s="20" t="n">
        <f aca="false">-F48</f>
        <v>-0</v>
      </c>
      <c r="G56" s="20" t="n">
        <f aca="false">-G48</f>
        <v>-0</v>
      </c>
      <c r="H56" s="20" t="n">
        <f aca="false">-H48</f>
        <v>-0</v>
      </c>
    </row>
    <row r="57" customFormat="false" ht="15" hidden="false" customHeight="false" outlineLevel="0" collapsed="false">
      <c r="A57" s="4" t="s">
        <v>160</v>
      </c>
      <c r="B57" s="13" t="s">
        <v>161</v>
      </c>
      <c r="C57" s="23" t="n">
        <f aca="false">SUMIFS(BALANCES!$E:$E,BALANCES!$C:$C,"DA")</f>
        <v>39658832</v>
      </c>
      <c r="D57" s="21" t="n">
        <f aca="false">D54+D55+D56</f>
        <v>19829416</v>
      </c>
      <c r="E57" s="21" t="n">
        <f aca="false">E54+E55+E56</f>
        <v>0</v>
      </c>
      <c r="F57" s="21" t="n">
        <f aca="false">F54+F55+F56</f>
        <v>0</v>
      </c>
      <c r="G57" s="21" t="n">
        <f aca="false">G54+G55+G56</f>
        <v>0</v>
      </c>
      <c r="H57" s="21" t="n">
        <f aca="false">H54+H55+H56</f>
        <v>0</v>
      </c>
    </row>
    <row r="58" customFormat="false" ht="15" hidden="false" customHeight="false" outlineLevel="0" collapsed="false">
      <c r="A58" s="12" t="s">
        <v>162</v>
      </c>
      <c r="B58" s="13" t="s">
        <v>148</v>
      </c>
      <c r="D58" s="15" t="n">
        <f aca="false">BALANCES!E9</f>
        <v>10619694</v>
      </c>
      <c r="E58" s="15" t="n">
        <f aca="false">BALANCES!G9</f>
        <v>0</v>
      </c>
      <c r="F58" s="15" t="n">
        <f aca="false">BALANCES!I9</f>
        <v>0</v>
      </c>
      <c r="G58" s="15" t="n">
        <f aca="false">BALANCES!K9</f>
        <v>0</v>
      </c>
      <c r="H58" s="15" t="n">
        <f aca="false">BALANCES!M9</f>
        <v>0</v>
      </c>
    </row>
    <row r="59" customFormat="false" ht="15" hidden="false" customHeight="false" outlineLevel="0" collapsed="false">
      <c r="A59" s="12" t="s">
        <v>159</v>
      </c>
      <c r="B59" s="13" t="s">
        <v>148</v>
      </c>
      <c r="D59" s="20" t="n">
        <f aca="false">-D49</f>
        <v>-10619694</v>
      </c>
      <c r="E59" s="20" t="n">
        <f aca="false">-E49</f>
        <v>-0</v>
      </c>
      <c r="F59" s="20" t="n">
        <f aca="false">-F49</f>
        <v>-0</v>
      </c>
      <c r="G59" s="20" t="n">
        <f aca="false">-G49</f>
        <v>-0</v>
      </c>
      <c r="H59" s="20" t="n">
        <f aca="false">-H49</f>
        <v>-0</v>
      </c>
    </row>
    <row r="60" customFormat="false" ht="15" hidden="false" customHeight="false" outlineLevel="0" collapsed="false">
      <c r="A60" s="4" t="s">
        <v>163</v>
      </c>
      <c r="B60" s="13" t="s">
        <v>164</v>
      </c>
      <c r="C60" s="23" t="n">
        <f aca="false">SUMIFS(BALANCES!$E:$E,BALANCES!$C:$C,"DB")</f>
        <v>10619694</v>
      </c>
      <c r="D60" s="21" t="n">
        <f aca="false">D58+D59</f>
        <v>0</v>
      </c>
      <c r="E60" s="21" t="n">
        <f aca="false">E58+E59</f>
        <v>0</v>
      </c>
      <c r="F60" s="21" t="n">
        <f aca="false">F58+F59</f>
        <v>0</v>
      </c>
      <c r="G60" s="21" t="n">
        <f aca="false">G58+G59</f>
        <v>0</v>
      </c>
      <c r="H60" s="21" t="n">
        <f aca="false">H58+H59</f>
        <v>0</v>
      </c>
    </row>
    <row r="61" customFormat="false" ht="15" hidden="false" customHeight="false" outlineLevel="0" collapsed="false">
      <c r="A61" s="12" t="s">
        <v>165</v>
      </c>
      <c r="B61" s="13" t="s">
        <v>166</v>
      </c>
      <c r="C61" s="15" t="n">
        <f aca="false">SUMIFS(BALANCES!$D:$D,BALANCES!$A:$A,"&gt;=671000",BALANCES!$A:$A,"&lt;672000")</f>
        <v>4142819</v>
      </c>
      <c r="D61" s="15" t="n">
        <f aca="false">D50*BALANCES!E8</f>
        <v>3172706.56</v>
      </c>
      <c r="E61" s="15" t="n">
        <f aca="false">E50*BALANCES!G8</f>
        <v>1586353.28</v>
      </c>
      <c r="F61" s="15" t="n">
        <f aca="false">F50*BALANCES!I8</f>
        <v>0</v>
      </c>
      <c r="G61" s="15" t="n">
        <f aca="false">G50*BALANCES!K8</f>
        <v>0</v>
      </c>
      <c r="H61" s="15" t="n">
        <f aca="false">H50*BALANCES!M8</f>
        <v>0</v>
      </c>
    </row>
    <row r="62" customFormat="false" ht="15" hidden="false" customHeight="false" outlineLevel="0" collapsed="false">
      <c r="A62" s="12" t="s">
        <v>167</v>
      </c>
      <c r="B62" s="13" t="s">
        <v>168</v>
      </c>
      <c r="C62" s="15" t="n">
        <f aca="false">SUMIFS(BALANCES!$D:$D,BALANCES!$A:$A,"&gt;=672000",BALANCES!$A:$A,"&lt;673000")</f>
        <v>3965478</v>
      </c>
      <c r="D62" s="15" t="n">
        <f aca="false">D50*BALANCES!E9</f>
        <v>849575.52</v>
      </c>
      <c r="E62" s="15" t="n">
        <f aca="false">E50*BALANCES!G9</f>
        <v>0</v>
      </c>
      <c r="F62" s="15" t="n">
        <f aca="false">F50*BALANCES!I9</f>
        <v>0</v>
      </c>
      <c r="G62" s="15" t="n">
        <f aca="false">G50*BALANCES!K9</f>
        <v>0</v>
      </c>
      <c r="H62" s="15" t="n">
        <f aca="false">H50*BALANCES!M9</f>
        <v>0</v>
      </c>
    </row>
    <row r="63" customFormat="false" ht="15" hidden="false" customHeight="false" outlineLevel="0" collapsed="false">
      <c r="A63" s="4" t="s">
        <v>169</v>
      </c>
      <c r="B63" s="13"/>
      <c r="D63" s="21" t="n">
        <f aca="false">D48+D49+D61+D62</f>
        <v>34471392.08</v>
      </c>
      <c r="E63" s="21" t="n">
        <f aca="false">E48+E49+E61+E62</f>
        <v>21415769.28</v>
      </c>
      <c r="F63" s="21" t="n">
        <f aca="false">F48+F49+F61+F62</f>
        <v>0</v>
      </c>
      <c r="G63" s="21" t="n">
        <f aca="false">G48+G49+G61+G62</f>
        <v>0</v>
      </c>
      <c r="H63" s="21" t="n">
        <f aca="false">H48+H49+H61+H62</f>
        <v>0</v>
      </c>
    </row>
    <row r="64" customFormat="false" ht="15" hidden="false" customHeight="false" outlineLevel="0" collapsed="false">
      <c r="A64" s="10" t="s">
        <v>170</v>
      </c>
      <c r="B64" s="11"/>
      <c r="C64" s="11"/>
      <c r="D64" s="11"/>
      <c r="E64" s="11"/>
      <c r="F64" s="11"/>
      <c r="G64" s="11"/>
      <c r="H64" s="11"/>
      <c r="I64" s="11"/>
    </row>
    <row r="65" customFormat="false" ht="15" hidden="false" customHeight="false" outlineLevel="0" collapsed="false">
      <c r="A65" s="12" t="s">
        <v>171</v>
      </c>
      <c r="B65" s="13"/>
      <c r="D65" s="20" t="n">
        <f aca="false">D41</f>
        <v>75000000</v>
      </c>
      <c r="E65" s="20" t="n">
        <f aca="false">E41</f>
        <v>35000000</v>
      </c>
      <c r="F65" s="20" t="n">
        <f aca="false">F41</f>
        <v>35000000</v>
      </c>
      <c r="G65" s="20" t="n">
        <f aca="false">G41</f>
        <v>75000000</v>
      </c>
      <c r="H65" s="20" t="n">
        <f aca="false">H41</f>
        <v>35000000</v>
      </c>
    </row>
    <row r="66" customFormat="false" ht="15" hidden="false" customHeight="false" outlineLevel="0" collapsed="false">
      <c r="A66" s="12" t="s">
        <v>172</v>
      </c>
      <c r="B66" s="13"/>
      <c r="D66" s="20" t="n">
        <f aca="false">D13</f>
        <v>0</v>
      </c>
      <c r="E66" s="20" t="n">
        <f aca="false">E13</f>
        <v>0</v>
      </c>
      <c r="F66" s="20" t="n">
        <f aca="false">F13</f>
        <v>0</v>
      </c>
      <c r="G66" s="20" t="n">
        <f aca="false">G13</f>
        <v>0</v>
      </c>
      <c r="H66" s="20" t="n">
        <f aca="false">H13</f>
        <v>0</v>
      </c>
    </row>
    <row r="67" customFormat="false" ht="15" hidden="false" customHeight="false" outlineLevel="0" collapsed="false">
      <c r="A67" s="12" t="s">
        <v>173</v>
      </c>
      <c r="B67" s="13"/>
      <c r="D67" s="20" t="n">
        <f aca="false">D48+D49</f>
        <v>30449110</v>
      </c>
      <c r="E67" s="20" t="n">
        <f aca="false">E48+E49</f>
        <v>19829416</v>
      </c>
      <c r="F67" s="20" t="n">
        <f aca="false">F48+F49</f>
        <v>0</v>
      </c>
      <c r="G67" s="20" t="n">
        <f aca="false">G48+G49</f>
        <v>0</v>
      </c>
      <c r="H67" s="20" t="n">
        <f aca="false">H48+H49</f>
        <v>0</v>
      </c>
    </row>
    <row r="68" customFormat="false" ht="15" hidden="false" customHeight="false" outlineLevel="0" collapsed="false">
      <c r="A68" s="12" t="s">
        <v>174</v>
      </c>
      <c r="B68" s="13"/>
      <c r="D68" s="20" t="n">
        <f aca="false">HYPOTHESES!D57</f>
        <v>0</v>
      </c>
      <c r="E68" s="20" t="n">
        <f aca="false">HYPOTHESES!E57</f>
        <v>0</v>
      </c>
      <c r="F68" s="20" t="n">
        <f aca="false">HYPOTHESES!F57</f>
        <v>0</v>
      </c>
      <c r="G68" s="20" t="n">
        <f aca="false">HYPOTHESES!G57</f>
        <v>0</v>
      </c>
      <c r="H68" s="20" t="n">
        <f aca="false">HYPOTHESES!H57</f>
        <v>0</v>
      </c>
    </row>
    <row r="69" customFormat="false" ht="15" hidden="false" customHeight="false" outlineLevel="0" collapsed="false">
      <c r="A69" s="4" t="s">
        <v>175</v>
      </c>
      <c r="B69" s="13"/>
      <c r="D69" s="21" t="n">
        <f aca="false">SUM(D65:D68)</f>
        <v>105449110</v>
      </c>
      <c r="E69" s="21" t="n">
        <f aca="false">SUM(E65:E68)</f>
        <v>54829416</v>
      </c>
      <c r="F69" s="21" t="n">
        <f aca="false">SUM(F65:F68)</f>
        <v>35000000</v>
      </c>
      <c r="G69" s="21" t="n">
        <f aca="false">SUM(G65:G68)</f>
        <v>75000000</v>
      </c>
      <c r="H69" s="21" t="n">
        <f aca="false">SUM(H65:H68)</f>
        <v>35000000</v>
      </c>
    </row>
    <row r="70" customFormat="false" ht="15" hidden="false" customHeight="false" outlineLevel="0" collapsed="false">
      <c r="A70" s="12" t="s">
        <v>176</v>
      </c>
      <c r="B70" s="13" t="s">
        <v>177</v>
      </c>
      <c r="D70" s="20" t="n">
        <f aca="false">HYPOTHESES!D55+D42+HYPOTHESES!D48</f>
        <v>174269487.274483</v>
      </c>
      <c r="E70" s="20" t="n">
        <f aca="false">HYPOTHESES!E55+E42+HYPOTHESES!E48</f>
        <v>185634669.687041</v>
      </c>
      <c r="F70" s="20" t="n">
        <f aca="false">HYPOTHESES!F55+F42+HYPOTHESES!F48</f>
        <v>195023600.637726</v>
      </c>
      <c r="G70" s="20" t="n">
        <f aca="false">HYPOTHESES!G55+G42+HYPOTHESES!G48</f>
        <v>200910229.340446</v>
      </c>
      <c r="H70" s="20" t="n">
        <f aca="false">HYPOTHESES!H55+H42+HYPOTHESES!H48</f>
        <v>210121989.778301</v>
      </c>
    </row>
    <row r="71" customFormat="false" ht="15" hidden="false" customHeight="false" outlineLevel="0" collapsed="false">
      <c r="A71" s="12" t="s">
        <v>178</v>
      </c>
      <c r="B71" s="13"/>
      <c r="D71" s="20" t="n">
        <f aca="false">D51</f>
        <v>0</v>
      </c>
      <c r="E71" s="20" t="n">
        <f aca="false">E51</f>
        <v>0</v>
      </c>
      <c r="F71" s="20" t="n">
        <f aca="false">F51</f>
        <v>0</v>
      </c>
      <c r="G71" s="20" t="n">
        <f aca="false">G51</f>
        <v>0</v>
      </c>
      <c r="H71" s="20" t="n">
        <f aca="false">H51</f>
        <v>0</v>
      </c>
    </row>
    <row r="72" customFormat="false" ht="15" hidden="false" customHeight="false" outlineLevel="0" collapsed="false">
      <c r="A72" s="12" t="s">
        <v>179</v>
      </c>
      <c r="B72" s="13"/>
      <c r="D72" s="20" t="n">
        <f aca="false">D47</f>
        <v>0</v>
      </c>
      <c r="E72" s="20" t="n">
        <f aca="false">E47</f>
        <v>0</v>
      </c>
      <c r="F72" s="20" t="n">
        <f aca="false">F47</f>
        <v>0</v>
      </c>
      <c r="G72" s="20" t="n">
        <f aca="false">G47</f>
        <v>0</v>
      </c>
      <c r="H72" s="20" t="n">
        <f aca="false">H47</f>
        <v>0</v>
      </c>
    </row>
    <row r="73" customFormat="false" ht="15" hidden="false" customHeight="false" outlineLevel="0" collapsed="false">
      <c r="A73" s="4" t="s">
        <v>180</v>
      </c>
      <c r="B73" s="13"/>
      <c r="D73" s="21" t="n">
        <f aca="false">SUM(D70:D72)</f>
        <v>174269487.274483</v>
      </c>
      <c r="E73" s="21" t="n">
        <f aca="false">SUM(E70:E72)</f>
        <v>185634669.687041</v>
      </c>
      <c r="F73" s="21" t="n">
        <f aca="false">SUM(F70:F72)</f>
        <v>195023600.637726</v>
      </c>
      <c r="G73" s="21" t="n">
        <f aca="false">SUM(G70:G72)</f>
        <v>200910229.340446</v>
      </c>
      <c r="H73" s="21" t="n">
        <f aca="false">SUM(H70:H72)</f>
        <v>210121989.778301</v>
      </c>
    </row>
    <row r="74" customFormat="false" ht="15" hidden="false" customHeight="false" outlineLevel="0" collapsed="false">
      <c r="A74" s="4" t="s">
        <v>181</v>
      </c>
      <c r="B74" s="13"/>
      <c r="D74" s="21" t="n">
        <f aca="false">D73-D69</f>
        <v>68820377.2744833</v>
      </c>
      <c r="E74" s="21" t="n">
        <f aca="false">E73-E69</f>
        <v>130805253.687041</v>
      </c>
      <c r="F74" s="21" t="n">
        <f aca="false">F73-F69</f>
        <v>160023600.637726</v>
      </c>
      <c r="G74" s="21" t="n">
        <f aca="false">G73-G69</f>
        <v>125910229.340446</v>
      </c>
      <c r="H74" s="21" t="n">
        <f aca="false">H73-H69</f>
        <v>175121989.778301</v>
      </c>
      <c r="I74" s="7" t="s">
        <v>182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O9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6"/>
    <col collapsed="false" customWidth="true" hidden="false" outlineLevel="0" max="3" min="3" style="0" width="7"/>
    <col collapsed="false" customWidth="true" hidden="false" outlineLevel="0" max="15" min="4" style="0" width="15"/>
  </cols>
  <sheetData>
    <row r="1" customFormat="false" ht="24" hidden="false" customHeight="true" outlineLevel="0" collapsed="false">
      <c r="A1" s="1" t="s">
        <v>183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5" hidden="false" customHeight="false" outlineLevel="0" collapsed="false">
      <c r="A2" s="2" t="s">
        <v>184</v>
      </c>
    </row>
    <row r="3" customFormat="false" ht="15" hidden="false" customHeight="false" outlineLevel="0" collapsed="false">
      <c r="A3" s="25"/>
      <c r="B3" s="25"/>
      <c r="C3" s="25"/>
      <c r="D3" s="26" t="str">
        <f aca="false">"Réel 31/12/"&amp;HYPOTHESES!$C$5</f>
        <v>Réel 31/12/2024</v>
      </c>
      <c r="E3" s="26"/>
      <c r="F3" s="26" t="str">
        <f aca="false">"Prévision 31/12/"&amp;(HYPOTHESES!$C$5+1)</f>
        <v>Prévision 31/12/2025</v>
      </c>
      <c r="G3" s="26"/>
      <c r="H3" s="26" t="str">
        <f aca="false">"Prévision 31/12/"&amp;(HYPOTHESES!$C$5+2)</f>
        <v>Prévision 31/12/2026</v>
      </c>
      <c r="I3" s="26"/>
      <c r="J3" s="26" t="str">
        <f aca="false">"Prévision 31/12/"&amp;(HYPOTHESES!$C$5+3)</f>
        <v>Prévision 31/12/2027</v>
      </c>
      <c r="K3" s="26"/>
      <c r="L3" s="26" t="str">
        <f aca="false">"Prévision 31/12/"&amp;(HYPOTHESES!$C$5+4)</f>
        <v>Prévision 31/12/2028</v>
      </c>
      <c r="M3" s="26"/>
      <c r="N3" s="26" t="str">
        <f aca="false">"Prévision 31/12/"&amp;(HYPOTHESES!$C$5+5)</f>
        <v>Prévision 31/12/2029</v>
      </c>
      <c r="O3" s="26"/>
    </row>
    <row r="4" customFormat="false" ht="15" hidden="false" customHeight="false" outlineLevel="0" collapsed="false">
      <c r="A4" s="8" t="s">
        <v>185</v>
      </c>
      <c r="B4" s="8" t="s">
        <v>186</v>
      </c>
      <c r="C4" s="8" t="s">
        <v>187</v>
      </c>
      <c r="D4" s="8" t="s">
        <v>188</v>
      </c>
      <c r="E4" s="8" t="s">
        <v>189</v>
      </c>
      <c r="F4" s="8" t="s">
        <v>188</v>
      </c>
      <c r="G4" s="8" t="s">
        <v>189</v>
      </c>
      <c r="H4" s="8" t="s">
        <v>188</v>
      </c>
      <c r="I4" s="8" t="s">
        <v>189</v>
      </c>
      <c r="J4" s="8" t="s">
        <v>188</v>
      </c>
      <c r="K4" s="8" t="s">
        <v>189</v>
      </c>
      <c r="L4" s="8" t="s">
        <v>188</v>
      </c>
      <c r="M4" s="8" t="s">
        <v>189</v>
      </c>
      <c r="N4" s="8" t="s">
        <v>188</v>
      </c>
      <c r="O4" s="8" t="s">
        <v>189</v>
      </c>
    </row>
    <row r="5" customFormat="false" ht="15" hidden="false" customHeight="false" outlineLevel="0" collapsed="false">
      <c r="A5" s="27" t="n">
        <v>101000</v>
      </c>
      <c r="B5" s="28" t="s">
        <v>190</v>
      </c>
      <c r="C5" s="29" t="s">
        <v>191</v>
      </c>
      <c r="D5" s="30" t="n">
        <v>0</v>
      </c>
      <c r="E5" s="30" t="n">
        <v>10000000</v>
      </c>
      <c r="F5" s="31" t="n">
        <v>0</v>
      </c>
      <c r="G5" s="31" t="n">
        <f aca="false">E5+'INVEST ET FINANCEMENT'!D$51</f>
        <v>10000000</v>
      </c>
      <c r="H5" s="31" t="n">
        <v>0</v>
      </c>
      <c r="I5" s="31" t="n">
        <f aca="false">G5+'INVEST ET FINANCEMENT'!E$51</f>
        <v>10000000</v>
      </c>
      <c r="J5" s="31" t="n">
        <v>0</v>
      </c>
      <c r="K5" s="31" t="n">
        <f aca="false">I5+'INVEST ET FINANCEMENT'!F$51</f>
        <v>10000000</v>
      </c>
      <c r="L5" s="31" t="n">
        <v>0</v>
      </c>
      <c r="M5" s="31" t="n">
        <f aca="false">K5+'INVEST ET FINANCEMENT'!G$51</f>
        <v>10000000</v>
      </c>
      <c r="N5" s="31" t="n">
        <v>0</v>
      </c>
      <c r="O5" s="31" t="n">
        <f aca="false">M5+'INVEST ET FINANCEMENT'!H$51</f>
        <v>10000000</v>
      </c>
    </row>
    <row r="6" customFormat="false" ht="15" hidden="false" customHeight="false" outlineLevel="0" collapsed="false">
      <c r="A6" s="32" t="n">
        <v>111000</v>
      </c>
      <c r="B6" s="12" t="s">
        <v>192</v>
      </c>
      <c r="C6" s="13" t="s">
        <v>193</v>
      </c>
      <c r="D6" s="24" t="n">
        <v>0</v>
      </c>
      <c r="E6" s="24" t="n">
        <v>0</v>
      </c>
      <c r="F6" s="20" t="n">
        <v>0</v>
      </c>
      <c r="G6" s="15" t="n">
        <f aca="false">E6+HYPOTHESES!D$56</f>
        <v>2000000</v>
      </c>
      <c r="H6" s="20" t="n">
        <v>0</v>
      </c>
      <c r="I6" s="15" t="n">
        <f aca="false">G6+HYPOTHESES!E$56</f>
        <v>2000000</v>
      </c>
      <c r="J6" s="20" t="n">
        <v>0</v>
      </c>
      <c r="K6" s="15" t="n">
        <f aca="false">I6+HYPOTHESES!F$56</f>
        <v>2000000</v>
      </c>
      <c r="L6" s="20" t="n">
        <v>0</v>
      </c>
      <c r="M6" s="15" t="n">
        <f aca="false">K6+HYPOTHESES!G$56</f>
        <v>2000000</v>
      </c>
      <c r="N6" s="20" t="n">
        <v>0</v>
      </c>
      <c r="O6" s="15" t="n">
        <f aca="false">M6+HYPOTHESES!H$56</f>
        <v>2000000</v>
      </c>
    </row>
    <row r="7" customFormat="false" ht="15" hidden="false" customHeight="false" outlineLevel="0" collapsed="false">
      <c r="A7" s="32" t="n">
        <v>121000</v>
      </c>
      <c r="B7" s="12" t="s">
        <v>194</v>
      </c>
      <c r="C7" s="13" t="s">
        <v>195</v>
      </c>
      <c r="D7" s="24" t="n">
        <v>0</v>
      </c>
      <c r="E7" s="24" t="n">
        <v>773799851</v>
      </c>
      <c r="F7" s="15" t="n">
        <f aca="false">MAX(0,-(E7-D7+HYPOTHESES!D$58))</f>
        <v>0</v>
      </c>
      <c r="G7" s="15" t="n">
        <f aca="false">MAX(0,(E7-D7+HYPOTHESES!D$58))</f>
        <v>844498728</v>
      </c>
      <c r="H7" s="15" t="n">
        <f aca="false">MAX(0,-(G7-F7+HYPOTHESES!E$58))</f>
        <v>0</v>
      </c>
      <c r="I7" s="15" t="n">
        <f aca="false">MAX(0,(G7-F7+HYPOTHESES!E$58))</f>
        <v>911042286.94115</v>
      </c>
      <c r="J7" s="15" t="n">
        <f aca="false">MAX(0,-(I7-H7+HYPOTHESES!F$58))</f>
        <v>0</v>
      </c>
      <c r="K7" s="15" t="n">
        <f aca="false">MAX(0,(I7-H7+HYPOTHESES!F$58))</f>
        <v>980741739.294858</v>
      </c>
      <c r="L7" s="15" t="n">
        <f aca="false">MAX(0,-(K7-J7+HYPOTHESES!G$58))</f>
        <v>0</v>
      </c>
      <c r="M7" s="15" t="n">
        <f aca="false">MAX(0,(K7-J7+HYPOTHESES!G$58))</f>
        <v>1058474295.59925</v>
      </c>
      <c r="N7" s="15" t="n">
        <f aca="false">MAX(0,-(M7-L7+HYPOTHESES!H$58))</f>
        <v>0</v>
      </c>
      <c r="O7" s="15" t="n">
        <f aca="false">MAX(0,(M7-L7+HYPOTHESES!H$58))</f>
        <v>1151559844.60636</v>
      </c>
    </row>
    <row r="8" customFormat="false" ht="15" hidden="false" customHeight="false" outlineLevel="0" collapsed="false">
      <c r="A8" s="32" t="n">
        <v>162002</v>
      </c>
      <c r="B8" s="12" t="s">
        <v>196</v>
      </c>
      <c r="C8" s="13" t="s">
        <v>161</v>
      </c>
      <c r="D8" s="24" t="n">
        <v>0</v>
      </c>
      <c r="E8" s="24" t="n">
        <v>39658832</v>
      </c>
      <c r="F8" s="20" t="n">
        <v>0</v>
      </c>
      <c r="G8" s="20" t="n">
        <f aca="false">E8+'INVEST ET FINANCEMENT'!D$47-'INVEST ET FINANCEMENT'!D$48</f>
        <v>19829416</v>
      </c>
      <c r="H8" s="20" t="n">
        <v>0</v>
      </c>
      <c r="I8" s="20" t="n">
        <f aca="false">G8+'INVEST ET FINANCEMENT'!E$47-'INVEST ET FINANCEMENT'!E$48</f>
        <v>0</v>
      </c>
      <c r="J8" s="20" t="n">
        <v>0</v>
      </c>
      <c r="K8" s="20" t="n">
        <f aca="false">I8+'INVEST ET FINANCEMENT'!F$47-'INVEST ET FINANCEMENT'!F$48</f>
        <v>0</v>
      </c>
      <c r="L8" s="20" t="n">
        <v>0</v>
      </c>
      <c r="M8" s="20" t="n">
        <f aca="false">K8+'INVEST ET FINANCEMENT'!G$47-'INVEST ET FINANCEMENT'!G$48</f>
        <v>0</v>
      </c>
      <c r="N8" s="20" t="n">
        <v>0</v>
      </c>
      <c r="O8" s="20" t="n">
        <f aca="false">M8+'INVEST ET FINANCEMENT'!H$47-'INVEST ET FINANCEMENT'!H$48</f>
        <v>0</v>
      </c>
    </row>
    <row r="9" customFormat="false" ht="15" hidden="false" customHeight="false" outlineLevel="0" collapsed="false">
      <c r="A9" s="32" t="n">
        <v>173060</v>
      </c>
      <c r="B9" s="12" t="s">
        <v>197</v>
      </c>
      <c r="C9" s="13" t="s">
        <v>164</v>
      </c>
      <c r="D9" s="24" t="n">
        <v>0</v>
      </c>
      <c r="E9" s="24" t="n">
        <v>10619694</v>
      </c>
      <c r="F9" s="20" t="n">
        <v>0</v>
      </c>
      <c r="G9" s="20" t="n">
        <f aca="false">E9-'INVEST ET FINANCEMENT'!D$49</f>
        <v>0</v>
      </c>
      <c r="H9" s="20" t="n">
        <v>0</v>
      </c>
      <c r="I9" s="20" t="n">
        <f aca="false">G9-'INVEST ET FINANCEMENT'!E$49</f>
        <v>0</v>
      </c>
      <c r="J9" s="20" t="n">
        <v>0</v>
      </c>
      <c r="K9" s="20" t="n">
        <f aca="false">I9-'INVEST ET FINANCEMENT'!F$49</f>
        <v>0</v>
      </c>
      <c r="L9" s="20" t="n">
        <v>0</v>
      </c>
      <c r="M9" s="20" t="n">
        <f aca="false">K9-'INVEST ET FINANCEMENT'!G$49</f>
        <v>0</v>
      </c>
      <c r="N9" s="20" t="n">
        <v>0</v>
      </c>
      <c r="O9" s="20" t="n">
        <f aca="false">M9-'INVEST ET FINANCEMENT'!H$49</f>
        <v>0</v>
      </c>
    </row>
    <row r="10" customFormat="false" ht="15" hidden="false" customHeight="false" outlineLevel="0" collapsed="false">
      <c r="A10" s="32" t="n">
        <v>196100</v>
      </c>
      <c r="B10" s="12" t="s">
        <v>198</v>
      </c>
      <c r="C10" s="13" t="s">
        <v>199</v>
      </c>
      <c r="D10" s="24" t="n">
        <v>0</v>
      </c>
      <c r="E10" s="24" t="n">
        <v>21273896</v>
      </c>
      <c r="F10" s="20" t="n">
        <v>0</v>
      </c>
      <c r="G10" s="15" t="n">
        <f aca="false">E10+HYPOTHESES!D$20</f>
        <v>27333192</v>
      </c>
      <c r="H10" s="20" t="n">
        <v>0</v>
      </c>
      <c r="I10" s="15" t="n">
        <f aca="false">G10+HYPOTHESES!E$20</f>
        <v>33392488</v>
      </c>
      <c r="J10" s="20" t="n">
        <v>0</v>
      </c>
      <c r="K10" s="15" t="n">
        <f aca="false">I10+HYPOTHESES!F$20</f>
        <v>39451784</v>
      </c>
      <c r="L10" s="20" t="n">
        <v>0</v>
      </c>
      <c r="M10" s="15" t="n">
        <f aca="false">K10+HYPOTHESES!G$20</f>
        <v>45511080</v>
      </c>
      <c r="N10" s="20" t="n">
        <v>0</v>
      </c>
      <c r="O10" s="15" t="n">
        <f aca="false">M10+HYPOTHESES!H$20</f>
        <v>51570376</v>
      </c>
    </row>
    <row r="11" customFormat="false" ht="15" hidden="false" customHeight="false" outlineLevel="0" collapsed="false">
      <c r="A11" s="27" t="n">
        <v>234100</v>
      </c>
      <c r="B11" s="28" t="s">
        <v>200</v>
      </c>
      <c r="C11" s="29" t="s">
        <v>201</v>
      </c>
      <c r="D11" s="30" t="n">
        <v>103601492</v>
      </c>
      <c r="E11" s="30" t="n">
        <v>0</v>
      </c>
      <c r="F11" s="31" t="n">
        <f aca="false">D11+'INVEST ET FINANCEMENT'!D$9</f>
        <v>103601492</v>
      </c>
      <c r="G11" s="31" t="n">
        <v>0</v>
      </c>
      <c r="H11" s="31" t="n">
        <f aca="false">F11+'INVEST ET FINANCEMENT'!E$9</f>
        <v>103601492</v>
      </c>
      <c r="I11" s="31" t="n">
        <v>0</v>
      </c>
      <c r="J11" s="31" t="n">
        <f aca="false">H11+'INVEST ET FINANCEMENT'!F$9</f>
        <v>103601492</v>
      </c>
      <c r="K11" s="31" t="n">
        <v>0</v>
      </c>
      <c r="L11" s="31" t="n">
        <f aca="false">J11+'INVEST ET FINANCEMENT'!G$9</f>
        <v>103601492</v>
      </c>
      <c r="M11" s="31" t="n">
        <v>0</v>
      </c>
      <c r="N11" s="31" t="n">
        <f aca="false">L11+'INVEST ET FINANCEMENT'!H$9</f>
        <v>103601492</v>
      </c>
      <c r="O11" s="31" t="n">
        <v>0</v>
      </c>
    </row>
    <row r="12" customFormat="false" ht="15" hidden="false" customHeight="false" outlineLevel="0" collapsed="false">
      <c r="A12" s="32" t="n">
        <v>241100</v>
      </c>
      <c r="B12" s="12" t="s">
        <v>202</v>
      </c>
      <c r="C12" s="13" t="s">
        <v>203</v>
      </c>
      <c r="D12" s="24" t="n">
        <v>313845268</v>
      </c>
      <c r="E12" s="24" t="n">
        <v>0</v>
      </c>
      <c r="F12" s="20" t="n">
        <f aca="false">D12+'INVEST ET FINANCEMENT'!D$10</f>
        <v>343845268</v>
      </c>
      <c r="G12" s="20" t="n">
        <v>0</v>
      </c>
      <c r="H12" s="20" t="n">
        <f aca="false">F12+'INVEST ET FINANCEMENT'!E$10</f>
        <v>373845268</v>
      </c>
      <c r="I12" s="20" t="n">
        <v>0</v>
      </c>
      <c r="J12" s="20" t="n">
        <f aca="false">H12+'INVEST ET FINANCEMENT'!F$10</f>
        <v>403845268</v>
      </c>
      <c r="K12" s="20" t="n">
        <v>0</v>
      </c>
      <c r="L12" s="20" t="n">
        <f aca="false">J12+'INVEST ET FINANCEMENT'!G$10</f>
        <v>433845268</v>
      </c>
      <c r="M12" s="20" t="n">
        <v>0</v>
      </c>
      <c r="N12" s="20" t="n">
        <f aca="false">L12+'INVEST ET FINANCEMENT'!H$10</f>
        <v>463845268</v>
      </c>
      <c r="O12" s="20" t="n">
        <v>0</v>
      </c>
    </row>
    <row r="13" customFormat="false" ht="15" hidden="false" customHeight="false" outlineLevel="0" collapsed="false">
      <c r="A13" s="32" t="n">
        <v>244100</v>
      </c>
      <c r="B13" s="12" t="s">
        <v>204</v>
      </c>
      <c r="C13" s="13" t="s">
        <v>203</v>
      </c>
      <c r="D13" s="24" t="n">
        <v>9306956</v>
      </c>
      <c r="E13" s="24" t="n">
        <v>0</v>
      </c>
      <c r="F13" s="20" t="n">
        <f aca="false">D13</f>
        <v>9306956</v>
      </c>
      <c r="G13" s="20" t="n">
        <v>0</v>
      </c>
      <c r="H13" s="20" t="n">
        <f aca="false">F13</f>
        <v>9306956</v>
      </c>
      <c r="I13" s="20" t="n">
        <v>0</v>
      </c>
      <c r="J13" s="20" t="n">
        <f aca="false">H13</f>
        <v>9306956</v>
      </c>
      <c r="K13" s="20" t="n">
        <v>0</v>
      </c>
      <c r="L13" s="20" t="n">
        <f aca="false">J13</f>
        <v>9306956</v>
      </c>
      <c r="M13" s="20" t="n">
        <v>0</v>
      </c>
      <c r="N13" s="20" t="n">
        <f aca="false">L13</f>
        <v>9306956</v>
      </c>
      <c r="O13" s="20" t="n">
        <v>0</v>
      </c>
    </row>
    <row r="14" customFormat="false" ht="15" hidden="false" customHeight="false" outlineLevel="0" collapsed="false">
      <c r="A14" s="32" t="n">
        <v>244200</v>
      </c>
      <c r="B14" s="12" t="s">
        <v>205</v>
      </c>
      <c r="C14" s="13" t="s">
        <v>203</v>
      </c>
      <c r="D14" s="24" t="n">
        <v>12980459</v>
      </c>
      <c r="E14" s="24" t="n">
        <v>0</v>
      </c>
      <c r="F14" s="20" t="n">
        <f aca="false">D14+'INVEST ET FINANCEMENT'!D$11</f>
        <v>17980459</v>
      </c>
      <c r="G14" s="20" t="n">
        <v>0</v>
      </c>
      <c r="H14" s="20" t="n">
        <f aca="false">F14+'INVEST ET FINANCEMENT'!E$11</f>
        <v>22980459</v>
      </c>
      <c r="I14" s="20" t="n">
        <v>0</v>
      </c>
      <c r="J14" s="20" t="n">
        <f aca="false">H14+'INVEST ET FINANCEMENT'!F$11</f>
        <v>27980459</v>
      </c>
      <c r="K14" s="20" t="n">
        <v>0</v>
      </c>
      <c r="L14" s="20" t="n">
        <f aca="false">J14+'INVEST ET FINANCEMENT'!G$11</f>
        <v>32980459</v>
      </c>
      <c r="M14" s="20" t="n">
        <v>0</v>
      </c>
      <c r="N14" s="20" t="n">
        <f aca="false">L14+'INVEST ET FINANCEMENT'!H$11</f>
        <v>37980459</v>
      </c>
      <c r="O14" s="20" t="n">
        <v>0</v>
      </c>
    </row>
    <row r="15" customFormat="false" ht="15" hidden="false" customHeight="false" outlineLevel="0" collapsed="false">
      <c r="A15" s="32" t="n">
        <v>245100</v>
      </c>
      <c r="B15" s="12" t="s">
        <v>206</v>
      </c>
      <c r="C15" s="13" t="s">
        <v>207</v>
      </c>
      <c r="D15" s="24" t="n">
        <v>408044985</v>
      </c>
      <c r="E15" s="24" t="n">
        <v>0</v>
      </c>
      <c r="F15" s="20" t="n">
        <f aca="false">D15+'INVEST ET FINANCEMENT'!D$12</f>
        <v>448044985</v>
      </c>
      <c r="G15" s="20" t="n">
        <v>0</v>
      </c>
      <c r="H15" s="20" t="n">
        <f aca="false">F15+'INVEST ET FINANCEMENT'!E$12</f>
        <v>448044985</v>
      </c>
      <c r="I15" s="20" t="n">
        <v>0</v>
      </c>
      <c r="J15" s="20" t="n">
        <f aca="false">H15+'INVEST ET FINANCEMENT'!F$12</f>
        <v>448044985</v>
      </c>
      <c r="K15" s="20" t="n">
        <v>0</v>
      </c>
      <c r="L15" s="20" t="n">
        <f aca="false">J15+'INVEST ET FINANCEMENT'!G$12</f>
        <v>488044985</v>
      </c>
      <c r="M15" s="20" t="n">
        <v>0</v>
      </c>
      <c r="N15" s="20" t="n">
        <f aca="false">L15+'INVEST ET FINANCEMENT'!H$12</f>
        <v>488044985</v>
      </c>
      <c r="O15" s="20" t="n">
        <v>0</v>
      </c>
    </row>
    <row r="16" customFormat="false" ht="15" hidden="false" customHeight="false" outlineLevel="0" collapsed="false">
      <c r="A16" s="32" t="n">
        <v>245600</v>
      </c>
      <c r="B16" s="12" t="s">
        <v>208</v>
      </c>
      <c r="C16" s="13" t="s">
        <v>207</v>
      </c>
      <c r="D16" s="24" t="n">
        <v>28619694</v>
      </c>
      <c r="E16" s="24" t="n">
        <v>0</v>
      </c>
      <c r="F16" s="20" t="n">
        <f aca="false">D16</f>
        <v>28619694</v>
      </c>
      <c r="G16" s="20" t="n">
        <v>0</v>
      </c>
      <c r="H16" s="20" t="n">
        <f aca="false">F16</f>
        <v>28619694</v>
      </c>
      <c r="I16" s="20" t="n">
        <v>0</v>
      </c>
      <c r="J16" s="20" t="n">
        <f aca="false">H16</f>
        <v>28619694</v>
      </c>
      <c r="K16" s="20" t="n">
        <v>0</v>
      </c>
      <c r="L16" s="20" t="n">
        <f aca="false">J16</f>
        <v>28619694</v>
      </c>
      <c r="M16" s="20" t="n">
        <v>0</v>
      </c>
      <c r="N16" s="20" t="n">
        <f aca="false">L16</f>
        <v>28619694</v>
      </c>
      <c r="O16" s="20" t="n">
        <v>0</v>
      </c>
    </row>
    <row r="17" customFormat="false" ht="15" hidden="false" customHeight="false" outlineLevel="0" collapsed="false">
      <c r="A17" s="32" t="n">
        <v>271800</v>
      </c>
      <c r="B17" s="12" t="s">
        <v>209</v>
      </c>
      <c r="C17" s="13" t="s">
        <v>210</v>
      </c>
      <c r="D17" s="24" t="n">
        <v>25000000</v>
      </c>
      <c r="E17" s="24" t="n">
        <v>0</v>
      </c>
      <c r="F17" s="20" t="n">
        <f aca="false">D17</f>
        <v>25000000</v>
      </c>
      <c r="G17" s="20" t="n">
        <v>0</v>
      </c>
      <c r="H17" s="20" t="n">
        <f aca="false">F17</f>
        <v>25000000</v>
      </c>
      <c r="I17" s="20" t="n">
        <v>0</v>
      </c>
      <c r="J17" s="20" t="n">
        <f aca="false">H17</f>
        <v>25000000</v>
      </c>
      <c r="K17" s="20" t="n">
        <v>0</v>
      </c>
      <c r="L17" s="20" t="n">
        <f aca="false">J17</f>
        <v>25000000</v>
      </c>
      <c r="M17" s="20" t="n">
        <v>0</v>
      </c>
      <c r="N17" s="20" t="n">
        <f aca="false">L17</f>
        <v>25000000</v>
      </c>
      <c r="O17" s="20" t="n">
        <v>0</v>
      </c>
    </row>
    <row r="18" customFormat="false" ht="15" hidden="false" customHeight="false" outlineLevel="0" collapsed="false">
      <c r="A18" s="32" t="n">
        <v>275100</v>
      </c>
      <c r="B18" s="12" t="s">
        <v>211</v>
      </c>
      <c r="C18" s="13" t="s">
        <v>210</v>
      </c>
      <c r="D18" s="24" t="n">
        <v>231420138</v>
      </c>
      <c r="E18" s="24" t="n">
        <v>0</v>
      </c>
      <c r="F18" s="20" t="n">
        <f aca="false">D18+'INVEST ET FINANCEMENT'!D$13</f>
        <v>231420138</v>
      </c>
      <c r="G18" s="20" t="n">
        <v>0</v>
      </c>
      <c r="H18" s="20" t="n">
        <f aca="false">F18+'INVEST ET FINANCEMENT'!E$13</f>
        <v>231420138</v>
      </c>
      <c r="I18" s="20" t="n">
        <v>0</v>
      </c>
      <c r="J18" s="20" t="n">
        <f aca="false">H18+'INVEST ET FINANCEMENT'!F$13</f>
        <v>231420138</v>
      </c>
      <c r="K18" s="20" t="n">
        <v>0</v>
      </c>
      <c r="L18" s="20" t="n">
        <f aca="false">J18+'INVEST ET FINANCEMENT'!G$13</f>
        <v>231420138</v>
      </c>
      <c r="M18" s="20" t="n">
        <v>0</v>
      </c>
      <c r="N18" s="20" t="n">
        <f aca="false">L18+'INVEST ET FINANCEMENT'!H$13</f>
        <v>231420138</v>
      </c>
      <c r="O18" s="20" t="n">
        <v>0</v>
      </c>
    </row>
    <row r="19" customFormat="false" ht="15" hidden="false" customHeight="false" outlineLevel="0" collapsed="false">
      <c r="A19" s="32" t="n">
        <v>283400</v>
      </c>
      <c r="B19" s="12" t="s">
        <v>212</v>
      </c>
      <c r="C19" s="13" t="s">
        <v>201</v>
      </c>
      <c r="D19" s="24" t="n">
        <v>0</v>
      </c>
      <c r="E19" s="24" t="n">
        <v>41936476</v>
      </c>
      <c r="F19" s="20" t="n">
        <v>0</v>
      </c>
      <c r="G19" s="20" t="n">
        <f aca="false">E19+'INVEST ET FINANCEMENT'!D$31</f>
        <v>61219321</v>
      </c>
      <c r="H19" s="20" t="n">
        <v>0</v>
      </c>
      <c r="I19" s="20" t="n">
        <f aca="false">G19+'INVEST ET FINANCEMENT'!E$31</f>
        <v>80502166</v>
      </c>
      <c r="J19" s="20" t="n">
        <v>0</v>
      </c>
      <c r="K19" s="20" t="n">
        <f aca="false">I19+'INVEST ET FINANCEMENT'!F$31</f>
        <v>99785011</v>
      </c>
      <c r="L19" s="20" t="n">
        <v>0</v>
      </c>
      <c r="M19" s="20" t="n">
        <f aca="false">K19+'INVEST ET FINANCEMENT'!G$31</f>
        <v>103601492</v>
      </c>
      <c r="N19" s="20" t="n">
        <v>0</v>
      </c>
      <c r="O19" s="20" t="n">
        <f aca="false">M19+'INVEST ET FINANCEMENT'!H$31</f>
        <v>103601492</v>
      </c>
    </row>
    <row r="20" customFormat="false" ht="15" hidden="false" customHeight="false" outlineLevel="0" collapsed="false">
      <c r="A20" s="32" t="n">
        <v>284100</v>
      </c>
      <c r="B20" s="12" t="s">
        <v>213</v>
      </c>
      <c r="C20" s="13" t="s">
        <v>203</v>
      </c>
      <c r="D20" s="24" t="n">
        <v>0</v>
      </c>
      <c r="E20" s="24" t="n">
        <v>55983764</v>
      </c>
      <c r="F20" s="20" t="n">
        <v>0</v>
      </c>
      <c r="G20" s="20" t="n">
        <f aca="false">E20+'INVEST ET FINANCEMENT'!D$34</f>
        <v>106838696</v>
      </c>
      <c r="H20" s="20" t="n">
        <v>0</v>
      </c>
      <c r="I20" s="20" t="n">
        <f aca="false">G20+'INVEST ET FINANCEMENT'!E$34</f>
        <v>163693628</v>
      </c>
      <c r="J20" s="20" t="n">
        <v>0</v>
      </c>
      <c r="K20" s="20" t="n">
        <f aca="false">I20+'INVEST ET FINANCEMENT'!F$34</f>
        <v>226548560</v>
      </c>
      <c r="L20" s="20" t="n">
        <v>0</v>
      </c>
      <c r="M20" s="20" t="n">
        <f aca="false">K20+'INVEST ET FINANCEMENT'!G$34</f>
        <v>295403492</v>
      </c>
      <c r="N20" s="20" t="n">
        <v>0</v>
      </c>
      <c r="O20" s="20" t="n">
        <f aca="false">M20+'INVEST ET FINANCEMENT'!H$34</f>
        <v>370258424</v>
      </c>
    </row>
    <row r="21" customFormat="false" ht="15" hidden="false" customHeight="false" outlineLevel="0" collapsed="false">
      <c r="A21" s="32" t="n">
        <v>284400</v>
      </c>
      <c r="B21" s="12" t="s">
        <v>214</v>
      </c>
      <c r="C21" s="13" t="s">
        <v>203</v>
      </c>
      <c r="D21" s="24" t="n">
        <v>0</v>
      </c>
      <c r="E21" s="24" t="n">
        <v>12708358</v>
      </c>
      <c r="F21" s="20" t="n">
        <v>0</v>
      </c>
      <c r="G21" s="20" t="n">
        <f aca="false">E21+'INVEST ET FINANCEMENT'!D$37</f>
        <v>20143242</v>
      </c>
      <c r="H21" s="20" t="n">
        <v>0</v>
      </c>
      <c r="I21" s="20" t="n">
        <f aca="false">G21+'INVEST ET FINANCEMENT'!E$37</f>
        <v>29787415</v>
      </c>
      <c r="J21" s="20" t="n">
        <v>0</v>
      </c>
      <c r="K21" s="20" t="n">
        <f aca="false">I21+'INVEST ET FINANCEMENT'!F$37</f>
        <v>34787415</v>
      </c>
      <c r="L21" s="20" t="n">
        <v>0</v>
      </c>
      <c r="M21" s="20" t="n">
        <f aca="false">K21+'INVEST ET FINANCEMENT'!G$37</f>
        <v>39787415</v>
      </c>
      <c r="N21" s="20" t="n">
        <v>0</v>
      </c>
      <c r="O21" s="20" t="n">
        <f aca="false">M21+'INVEST ET FINANCEMENT'!H$37</f>
        <v>44787415</v>
      </c>
    </row>
    <row r="22" customFormat="false" ht="15" hidden="false" customHeight="false" outlineLevel="0" collapsed="false">
      <c r="A22" s="32" t="n">
        <v>284500</v>
      </c>
      <c r="B22" s="12" t="s">
        <v>215</v>
      </c>
      <c r="C22" s="13" t="s">
        <v>207</v>
      </c>
      <c r="D22" s="24" t="n">
        <v>0</v>
      </c>
      <c r="E22" s="24" t="n">
        <v>362909076</v>
      </c>
      <c r="F22" s="20" t="n">
        <v>0</v>
      </c>
      <c r="G22" s="20" t="n">
        <f aca="false">E22+'INVEST ET FINANCEMENT'!D$40</f>
        <v>387003047.333333</v>
      </c>
      <c r="H22" s="20" t="n">
        <v>0</v>
      </c>
      <c r="I22" s="20" t="n">
        <f aca="false">G22+'INVEST ET FINANCEMENT'!E$40</f>
        <v>411097018.666667</v>
      </c>
      <c r="J22" s="20" t="n">
        <v>0</v>
      </c>
      <c r="K22" s="20" t="n">
        <f aca="false">I22+'INVEST ET FINANCEMENT'!F$40</f>
        <v>435190990</v>
      </c>
      <c r="L22" s="20" t="n">
        <v>0</v>
      </c>
      <c r="M22" s="20" t="n">
        <f aca="false">K22+'INVEST ET FINANCEMENT'!G$40</f>
        <v>459284961.333333</v>
      </c>
      <c r="N22" s="20" t="n">
        <v>0</v>
      </c>
      <c r="O22" s="20" t="n">
        <f aca="false">M22+'INVEST ET FINANCEMENT'!H$40</f>
        <v>483378932.666667</v>
      </c>
    </row>
    <row r="23" customFormat="false" ht="15" hidden="false" customHeight="false" outlineLevel="0" collapsed="false">
      <c r="A23" s="27" t="n">
        <v>401100</v>
      </c>
      <c r="B23" s="28" t="s">
        <v>216</v>
      </c>
      <c r="C23" s="29" t="s">
        <v>217</v>
      </c>
      <c r="D23" s="30" t="n">
        <v>0</v>
      </c>
      <c r="E23" s="30" t="n">
        <v>72947866</v>
      </c>
      <c r="F23" s="31" t="n">
        <v>0</v>
      </c>
      <c r="G23" s="33" t="n">
        <f aca="false">HYPOTHESES!D$47*(1+HYPOTHESES!D$10)*HYPOTHESES!D$23/360</f>
        <v>76257009.1439061</v>
      </c>
      <c r="H23" s="31" t="n">
        <v>0</v>
      </c>
      <c r="I23" s="33" t="n">
        <f aca="false">HYPOTHESES!E$47*(1+HYPOTHESES!E$10)*HYPOTHESES!E$23/360</f>
        <v>80069859.6011014</v>
      </c>
      <c r="J23" s="31" t="n">
        <v>0</v>
      </c>
      <c r="K23" s="33" t="n">
        <f aca="false">HYPOTHESES!F$47*(1+HYPOTHESES!F$10)*HYPOTHESES!F$23/360</f>
        <v>84073352.5811564</v>
      </c>
      <c r="L23" s="31" t="n">
        <v>0</v>
      </c>
      <c r="M23" s="33" t="n">
        <f aca="false">HYPOTHESES!G$47*(1+HYPOTHESES!G$10)*HYPOTHESES!G$23/360</f>
        <v>88277020.2102142</v>
      </c>
      <c r="N23" s="31" t="n">
        <v>0</v>
      </c>
      <c r="O23" s="33" t="n">
        <f aca="false">HYPOTHESES!H$47*(1+HYPOTHESES!H$10)*HYPOTHESES!H$23/360</f>
        <v>92690871.220725</v>
      </c>
    </row>
    <row r="24" customFormat="false" ht="15" hidden="false" customHeight="false" outlineLevel="0" collapsed="false">
      <c r="A24" s="32" t="n">
        <v>411100</v>
      </c>
      <c r="B24" s="12" t="s">
        <v>218</v>
      </c>
      <c r="C24" s="13" t="s">
        <v>219</v>
      </c>
      <c r="D24" s="24" t="n">
        <v>452271396</v>
      </c>
      <c r="E24" s="24" t="n">
        <v>0</v>
      </c>
      <c r="F24" s="15" t="n">
        <f aca="false">HYPOTHESES!D$40*(1+HYPOTHESES!D$10)*HYPOTHESES!D$22/360</f>
        <v>475301941.099125</v>
      </c>
      <c r="G24" s="20" t="n">
        <v>0</v>
      </c>
      <c r="H24" s="15" t="n">
        <f aca="false">HYPOTHESES!E$40*(1+HYPOTHESES!E$10)*HYPOTHESES!E$22/360</f>
        <v>499067038.154081</v>
      </c>
      <c r="I24" s="20" t="n">
        <v>0</v>
      </c>
      <c r="J24" s="15" t="n">
        <f aca="false">HYPOTHESES!F$40*(1+HYPOTHESES!F$10)*HYPOTHESES!F$22/360</f>
        <v>524020390.061785</v>
      </c>
      <c r="K24" s="20" t="n">
        <v>0</v>
      </c>
      <c r="L24" s="15" t="n">
        <f aca="false">HYPOTHESES!G$40*(1+HYPOTHESES!G$10)*HYPOTHESES!G$22/360</f>
        <v>550221409.564875</v>
      </c>
      <c r="M24" s="20" t="n">
        <v>0</v>
      </c>
      <c r="N24" s="15" t="n">
        <f aca="false">HYPOTHESES!H$40*(1+HYPOTHESES!H$10)*HYPOTHESES!H$22/360</f>
        <v>577732480.043118</v>
      </c>
      <c r="O24" s="20" t="n">
        <v>0</v>
      </c>
    </row>
    <row r="25" customFormat="false" ht="15" hidden="false" customHeight="false" outlineLevel="0" collapsed="false">
      <c r="A25" s="32" t="n">
        <v>422000</v>
      </c>
      <c r="B25" s="12" t="s">
        <v>220</v>
      </c>
      <c r="C25" s="13" t="s">
        <v>221</v>
      </c>
      <c r="D25" s="24" t="n">
        <v>0</v>
      </c>
      <c r="E25" s="24" t="n">
        <v>11147549</v>
      </c>
      <c r="F25" s="20" t="n">
        <v>0</v>
      </c>
      <c r="G25" s="15" t="n">
        <f aca="false">IF(HYPOTHESES!$C$46=0,0,$E25*HYPOTHESES!D$46/HYPOTHESES!$C$46)</f>
        <v>11701583.7626876</v>
      </c>
      <c r="H25" s="20" t="n">
        <v>0</v>
      </c>
      <c r="I25" s="15" t="n">
        <f aca="false">IF(HYPOTHESES!$C$46=0,0,$E25*HYPOTHESES!E$46/HYPOTHESES!$C$46)</f>
        <v>12286662.950822</v>
      </c>
      <c r="J25" s="20" t="n">
        <v>0</v>
      </c>
      <c r="K25" s="15" t="n">
        <f aca="false">IF(HYPOTHESES!$C$46=0,0,$E25*HYPOTHESES!F$46/HYPOTHESES!$C$46)</f>
        <v>12900996.0983631</v>
      </c>
      <c r="L25" s="20" t="n">
        <v>0</v>
      </c>
      <c r="M25" s="15" t="n">
        <f aca="false">IF(HYPOTHESES!$C$46=0,0,$E25*HYPOTHESES!G$46/HYPOTHESES!$C$46)</f>
        <v>13546045.9032812</v>
      </c>
      <c r="N25" s="20" t="n">
        <v>0</v>
      </c>
      <c r="O25" s="15" t="n">
        <f aca="false">IF(HYPOTHESES!$C$46=0,0,$E25*HYPOTHESES!H$46/HYPOTHESES!$C$46)</f>
        <v>14223348.1984453</v>
      </c>
    </row>
    <row r="26" customFormat="false" ht="15" hidden="false" customHeight="false" outlineLevel="0" collapsed="false">
      <c r="A26" s="32" t="n">
        <v>431301</v>
      </c>
      <c r="B26" s="12" t="s">
        <v>222</v>
      </c>
      <c r="C26" s="13" t="s">
        <v>221</v>
      </c>
      <c r="D26" s="24" t="n">
        <v>0</v>
      </c>
      <c r="E26" s="24" t="n">
        <v>4859377</v>
      </c>
      <c r="F26" s="20" t="n">
        <v>0</v>
      </c>
      <c r="G26" s="15" t="n">
        <f aca="false">IF(HYPOTHESES!$C$46=0,0,$E26*HYPOTHESES!D$46/HYPOTHESES!$C$46)</f>
        <v>5100888.72450595</v>
      </c>
      <c r="H26" s="20" t="n">
        <v>0</v>
      </c>
      <c r="I26" s="15" t="n">
        <f aca="false">IF(HYPOTHESES!$C$46=0,0,$E26*HYPOTHESES!E$46/HYPOTHESES!$C$46)</f>
        <v>5355933.16073125</v>
      </c>
      <c r="J26" s="20" t="n">
        <v>0</v>
      </c>
      <c r="K26" s="15" t="n">
        <f aca="false">IF(HYPOTHESES!$C$46=0,0,$E26*HYPOTHESES!F$46/HYPOTHESES!$C$46)</f>
        <v>5623729.81876781</v>
      </c>
      <c r="L26" s="20" t="n">
        <v>0</v>
      </c>
      <c r="M26" s="15" t="n">
        <f aca="false">IF(HYPOTHESES!$C$46=0,0,$E26*HYPOTHESES!G$46/HYPOTHESES!$C$46)</f>
        <v>5904916.30970621</v>
      </c>
      <c r="N26" s="20" t="n">
        <v>0</v>
      </c>
      <c r="O26" s="15" t="n">
        <f aca="false">IF(HYPOTHESES!$C$46=0,0,$E26*HYPOTHESES!H$46/HYPOTHESES!$C$46)</f>
        <v>6200162.12519152</v>
      </c>
    </row>
    <row r="27" customFormat="false" ht="15" hidden="false" customHeight="false" outlineLevel="0" collapsed="false">
      <c r="A27" s="32" t="n">
        <v>431302</v>
      </c>
      <c r="B27" s="12" t="s">
        <v>223</v>
      </c>
      <c r="C27" s="13" t="s">
        <v>221</v>
      </c>
      <c r="D27" s="24" t="n">
        <v>0</v>
      </c>
      <c r="E27" s="24" t="n">
        <v>1202405</v>
      </c>
      <c r="F27" s="20" t="n">
        <v>0</v>
      </c>
      <c r="G27" s="15" t="n">
        <f aca="false">IF(HYPOTHESES!$C$46=0,0,$E27*HYPOTHESES!D$46/HYPOTHESES!$C$46)</f>
        <v>1262164.69864132</v>
      </c>
      <c r="H27" s="20" t="n">
        <v>0</v>
      </c>
      <c r="I27" s="15" t="n">
        <f aca="false">IF(HYPOTHESES!$C$46=0,0,$E27*HYPOTHESES!E$46/HYPOTHESES!$C$46)</f>
        <v>1325272.93357339</v>
      </c>
      <c r="J27" s="20" t="n">
        <v>0</v>
      </c>
      <c r="K27" s="15" t="n">
        <f aca="false">IF(HYPOTHESES!$C$46=0,0,$E27*HYPOTHESES!F$46/HYPOTHESES!$C$46)</f>
        <v>1391536.58025206</v>
      </c>
      <c r="L27" s="20" t="n">
        <v>0</v>
      </c>
      <c r="M27" s="15" t="n">
        <f aca="false">IF(HYPOTHESES!$C$46=0,0,$E27*HYPOTHESES!G$46/HYPOTHESES!$C$46)</f>
        <v>1461113.40926466</v>
      </c>
      <c r="N27" s="20" t="n">
        <v>0</v>
      </c>
      <c r="O27" s="15" t="n">
        <f aca="false">IF(HYPOTHESES!$C$46=0,0,$E27*HYPOTHESES!H$46/HYPOTHESES!$C$46)</f>
        <v>1534169.0797279</v>
      </c>
    </row>
    <row r="28" customFormat="false" ht="15" hidden="false" customHeight="false" outlineLevel="0" collapsed="false">
      <c r="A28" s="32" t="n">
        <v>431802</v>
      </c>
      <c r="B28" s="12" t="s">
        <v>224</v>
      </c>
      <c r="C28" s="13" t="s">
        <v>221</v>
      </c>
      <c r="D28" s="24" t="n">
        <v>0</v>
      </c>
      <c r="E28" s="24" t="n">
        <v>161938</v>
      </c>
      <c r="F28" s="20" t="n">
        <v>0</v>
      </c>
      <c r="G28" s="15" t="n">
        <f aca="false">IF(HYPOTHESES!$C$46=0,0,$E28*HYPOTHESES!D$46/HYPOTHESES!$C$46)</f>
        <v>169986.341514364</v>
      </c>
      <c r="H28" s="20" t="n">
        <v>0</v>
      </c>
      <c r="I28" s="15" t="n">
        <f aca="false">IF(HYPOTHESES!$C$46=0,0,$E28*HYPOTHESES!E$46/HYPOTHESES!$C$46)</f>
        <v>178485.658590082</v>
      </c>
      <c r="J28" s="20" t="n">
        <v>0</v>
      </c>
      <c r="K28" s="15" t="n">
        <f aca="false">IF(HYPOTHESES!$C$46=0,0,$E28*HYPOTHESES!F$46/HYPOTHESES!$C$46)</f>
        <v>187409.941519586</v>
      </c>
      <c r="L28" s="20" t="n">
        <v>0</v>
      </c>
      <c r="M28" s="15" t="n">
        <f aca="false">IF(HYPOTHESES!$C$46=0,0,$E28*HYPOTHESES!G$46/HYPOTHESES!$C$46)</f>
        <v>196780.438595566</v>
      </c>
      <c r="N28" s="20" t="n">
        <v>0</v>
      </c>
      <c r="O28" s="15" t="n">
        <f aca="false">IF(HYPOTHESES!$C$46=0,0,$E28*HYPOTHESES!H$46/HYPOTHESES!$C$46)</f>
        <v>206619.460525344</v>
      </c>
    </row>
    <row r="29" customFormat="false" ht="15" hidden="false" customHeight="false" outlineLevel="0" collapsed="false">
      <c r="A29" s="32" t="n">
        <v>441000</v>
      </c>
      <c r="B29" s="12" t="s">
        <v>225</v>
      </c>
      <c r="C29" s="13" t="s">
        <v>221</v>
      </c>
      <c r="D29" s="24" t="n">
        <v>0</v>
      </c>
      <c r="E29" s="24" t="n">
        <v>24232959</v>
      </c>
      <c r="F29" s="20" t="n">
        <v>0</v>
      </c>
      <c r="G29" s="15" t="n">
        <f aca="false">HYPOTHESES!D$54</f>
        <v>22181186.3137167</v>
      </c>
      <c r="H29" s="20" t="n">
        <v>0</v>
      </c>
      <c r="I29" s="15" t="n">
        <f aca="false">HYPOTHESES!E$54</f>
        <v>23233150.7845692</v>
      </c>
      <c r="J29" s="20" t="n">
        <v>0</v>
      </c>
      <c r="K29" s="15" t="n">
        <f aca="false">HYPOTHESES!F$54</f>
        <v>25910852.1014643</v>
      </c>
      <c r="L29" s="20" t="n">
        <v>0</v>
      </c>
      <c r="M29" s="15" t="n">
        <f aca="false">HYPOTHESES!G$54</f>
        <v>31028516.3357042</v>
      </c>
      <c r="N29" s="20" t="n">
        <v>0</v>
      </c>
      <c r="O29" s="15" t="n">
        <f aca="false">HYPOTHESES!H$54</f>
        <v>33371263.481656</v>
      </c>
    </row>
    <row r="30" customFormat="false" ht="15" hidden="false" customHeight="false" outlineLevel="0" collapsed="false">
      <c r="A30" s="32" t="n">
        <v>442800</v>
      </c>
      <c r="B30" s="12" t="s">
        <v>226</v>
      </c>
      <c r="C30" s="13" t="s">
        <v>221</v>
      </c>
      <c r="D30" s="24" t="n">
        <v>0</v>
      </c>
      <c r="E30" s="24" t="n">
        <v>725658</v>
      </c>
      <c r="F30" s="20" t="n">
        <v>0</v>
      </c>
      <c r="G30" s="15" t="n">
        <f aca="false">IF(HYPOTHESES!$C$44=0,0,$E30*HYPOTHESES!D$44/HYPOTHESES!$C$44)</f>
        <v>761535.885553701</v>
      </c>
      <c r="H30" s="20" t="n">
        <v>0</v>
      </c>
      <c r="I30" s="15" t="n">
        <f aca="false">IF(HYPOTHESES!$C$44=0,0,$E30*HYPOTHESES!E$44/HYPOTHESES!$C$44)</f>
        <v>799612.679831386</v>
      </c>
      <c r="J30" s="20" t="n">
        <v>0</v>
      </c>
      <c r="K30" s="15" t="n">
        <f aca="false">IF(HYPOTHESES!$C$44=0,0,$E30*HYPOTHESES!F$44/HYPOTHESES!$C$44)</f>
        <v>839593.313822955</v>
      </c>
      <c r="L30" s="20" t="n">
        <v>0</v>
      </c>
      <c r="M30" s="15" t="n">
        <f aca="false">IF(HYPOTHESES!$C$44=0,0,$E30*HYPOTHESES!G$44/HYPOTHESES!$C$44)</f>
        <v>881572.979514103</v>
      </c>
      <c r="N30" s="20" t="n">
        <v>0</v>
      </c>
      <c r="O30" s="15" t="n">
        <f aca="false">IF(HYPOTHESES!$C$44=0,0,$E30*HYPOTHESES!H$44/HYPOTHESES!$C$44)</f>
        <v>925651.628489808</v>
      </c>
    </row>
    <row r="31" customFormat="false" ht="15" hidden="false" customHeight="false" outlineLevel="0" collapsed="false">
      <c r="A31" s="32" t="n">
        <v>442801</v>
      </c>
      <c r="B31" s="12" t="s">
        <v>227</v>
      </c>
      <c r="C31" s="13" t="s">
        <v>221</v>
      </c>
      <c r="D31" s="24" t="n">
        <v>0</v>
      </c>
      <c r="E31" s="24" t="n">
        <v>104066</v>
      </c>
      <c r="F31" s="20" t="n">
        <v>0</v>
      </c>
      <c r="G31" s="15" t="n">
        <f aca="false">IF(HYPOTHESES!$C$44=0,0,$E31*HYPOTHESES!D$44/HYPOTHESES!$C$44)</f>
        <v>109211.217220828</v>
      </c>
      <c r="H31" s="20" t="n">
        <v>0</v>
      </c>
      <c r="I31" s="15" t="n">
        <f aca="false">IF(HYPOTHESES!$C$44=0,0,$E31*HYPOTHESES!E$44/HYPOTHESES!$C$44)</f>
        <v>114671.778081869</v>
      </c>
      <c r="J31" s="20" t="n">
        <v>0</v>
      </c>
      <c r="K31" s="15" t="n">
        <f aca="false">IF(HYPOTHESES!$C$44=0,0,$E31*HYPOTHESES!F$44/HYPOTHESES!$C$44)</f>
        <v>120405.366985963</v>
      </c>
      <c r="L31" s="20" t="n">
        <v>0</v>
      </c>
      <c r="M31" s="15" t="n">
        <f aca="false">IF(HYPOTHESES!$C$44=0,0,$E31*HYPOTHESES!G$44/HYPOTHESES!$C$44)</f>
        <v>126425.635335261</v>
      </c>
      <c r="N31" s="20" t="n">
        <v>0</v>
      </c>
      <c r="O31" s="15" t="n">
        <f aca="false">IF(HYPOTHESES!$C$44=0,0,$E31*HYPOTHESES!H$44/HYPOTHESES!$C$44)</f>
        <v>132746.917102024</v>
      </c>
    </row>
    <row r="32" customFormat="false" ht="15" hidden="false" customHeight="false" outlineLevel="0" collapsed="false">
      <c r="A32" s="32" t="n">
        <v>442802</v>
      </c>
      <c r="B32" s="12" t="s">
        <v>228</v>
      </c>
      <c r="C32" s="13" t="s">
        <v>221</v>
      </c>
      <c r="D32" s="24" t="n">
        <v>0</v>
      </c>
      <c r="E32" s="24" t="n">
        <v>156106</v>
      </c>
      <c r="F32" s="20" t="n">
        <v>0</v>
      </c>
      <c r="G32" s="15" t="n">
        <f aca="false">IF(HYPOTHESES!$C$44=0,0,$E32*HYPOTHESES!D$44/HYPOTHESES!$C$44)</f>
        <v>163824.171924303</v>
      </c>
      <c r="H32" s="20" t="n">
        <v>0</v>
      </c>
      <c r="I32" s="15" t="n">
        <f aca="false">IF(HYPOTHESES!$C$44=0,0,$E32*HYPOTHESES!E$44/HYPOTHESES!$C$44)</f>
        <v>172015.380520518</v>
      </c>
      <c r="J32" s="20" t="n">
        <v>0</v>
      </c>
      <c r="K32" s="15" t="n">
        <f aca="false">IF(HYPOTHESES!$C$44=0,0,$E32*HYPOTHESES!F$44/HYPOTHESES!$C$44)</f>
        <v>180616.149546544</v>
      </c>
      <c r="L32" s="20" t="n">
        <v>0</v>
      </c>
      <c r="M32" s="15" t="n">
        <f aca="false">IF(HYPOTHESES!$C$44=0,0,$E32*HYPOTHESES!G$44/HYPOTHESES!$C$44)</f>
        <v>189646.957023872</v>
      </c>
      <c r="N32" s="20" t="n">
        <v>0</v>
      </c>
      <c r="O32" s="15" t="n">
        <f aca="false">IF(HYPOTHESES!$C$44=0,0,$E32*HYPOTHESES!H$44/HYPOTHESES!$C$44)</f>
        <v>199129.304875065</v>
      </c>
    </row>
    <row r="33" customFormat="false" ht="15" hidden="false" customHeight="false" outlineLevel="0" collapsed="false">
      <c r="A33" s="32" t="n">
        <v>442803</v>
      </c>
      <c r="B33" s="12" t="s">
        <v>229</v>
      </c>
      <c r="C33" s="13" t="s">
        <v>221</v>
      </c>
      <c r="D33" s="24" t="n">
        <v>0</v>
      </c>
      <c r="E33" s="24" t="n">
        <v>156105</v>
      </c>
      <c r="F33" s="20" t="n">
        <v>0</v>
      </c>
      <c r="G33" s="15" t="n">
        <f aca="false">IF(HYPOTHESES!$C$44=0,0,$E33*HYPOTHESES!D$44/HYPOTHESES!$C$44)</f>
        <v>163823.122482437</v>
      </c>
      <c r="H33" s="20" t="n">
        <v>0</v>
      </c>
      <c r="I33" s="15" t="n">
        <f aca="false">IF(HYPOTHESES!$C$44=0,0,$E33*HYPOTHESES!E$44/HYPOTHESES!$C$44)</f>
        <v>172014.278606559</v>
      </c>
      <c r="J33" s="20" t="n">
        <v>0</v>
      </c>
      <c r="K33" s="15" t="n">
        <f aca="false">IF(HYPOTHESES!$C$44=0,0,$E33*HYPOTHESES!F$44/HYPOTHESES!$C$44)</f>
        <v>180614.992536887</v>
      </c>
      <c r="L33" s="20" t="n">
        <v>0</v>
      </c>
      <c r="M33" s="15" t="n">
        <f aca="false">IF(HYPOTHESES!$C$44=0,0,$E33*HYPOTHESES!G$44/HYPOTHESES!$C$44)</f>
        <v>189645.742163732</v>
      </c>
      <c r="N33" s="20" t="n">
        <v>0</v>
      </c>
      <c r="O33" s="15" t="n">
        <f aca="false">IF(HYPOTHESES!$C$44=0,0,$E33*HYPOTHESES!H$44/HYPOTHESES!$C$44)</f>
        <v>199128.029271918</v>
      </c>
    </row>
    <row r="34" customFormat="false" ht="15" hidden="false" customHeight="false" outlineLevel="0" collapsed="false">
      <c r="A34" s="32" t="n">
        <v>442820</v>
      </c>
      <c r="B34" s="12" t="s">
        <v>230</v>
      </c>
      <c r="C34" s="13" t="s">
        <v>221</v>
      </c>
      <c r="D34" s="24" t="n">
        <v>0</v>
      </c>
      <c r="E34" s="24" t="n">
        <v>367610</v>
      </c>
      <c r="F34" s="20" t="n">
        <v>0</v>
      </c>
      <c r="G34" s="15" t="n">
        <f aca="false">IF(HYPOTHESES!$C$44=0,0,$E34*HYPOTHESES!D$44/HYPOTHESES!$C$44)</f>
        <v>385785.324337906</v>
      </c>
      <c r="H34" s="20" t="n">
        <v>0</v>
      </c>
      <c r="I34" s="15" t="n">
        <f aca="false">IF(HYPOTHESES!$C$44=0,0,$E34*HYPOTHESES!E$44/HYPOTHESES!$C$44)</f>
        <v>405074.590554801</v>
      </c>
      <c r="J34" s="20" t="n">
        <v>0</v>
      </c>
      <c r="K34" s="15" t="n">
        <f aca="false">IF(HYPOTHESES!$C$44=0,0,$E34*HYPOTHESES!F$44/HYPOTHESES!$C$44)</f>
        <v>425328.320082541</v>
      </c>
      <c r="L34" s="20" t="n">
        <v>0</v>
      </c>
      <c r="M34" s="15" t="n">
        <f aca="false">IF(HYPOTHESES!$C$44=0,0,$E34*HYPOTHESES!G$44/HYPOTHESES!$C$44)</f>
        <v>446594.736086668</v>
      </c>
      <c r="N34" s="20" t="n">
        <v>0</v>
      </c>
      <c r="O34" s="15" t="n">
        <f aca="false">IF(HYPOTHESES!$C$44=0,0,$E34*HYPOTHESES!H$44/HYPOTHESES!$C$44)</f>
        <v>468924.472891002</v>
      </c>
    </row>
    <row r="35" customFormat="false" ht="15" hidden="false" customHeight="false" outlineLevel="0" collapsed="false">
      <c r="A35" s="32" t="n">
        <v>442840</v>
      </c>
      <c r="B35" s="12" t="s">
        <v>231</v>
      </c>
      <c r="C35" s="13" t="s">
        <v>221</v>
      </c>
      <c r="D35" s="24" t="n">
        <v>0</v>
      </c>
      <c r="E35" s="24" t="n">
        <v>5000000</v>
      </c>
      <c r="F35" s="20" t="n">
        <v>0</v>
      </c>
      <c r="G35" s="15" t="n">
        <f aca="false">IF(HYPOTHESES!$C$44=0,0,$E35*HYPOTHESES!D$44/HYPOTHESES!$C$44)</f>
        <v>5247209.32969595</v>
      </c>
      <c r="H35" s="20" t="n">
        <v>0</v>
      </c>
      <c r="I35" s="15" t="n">
        <f aca="false">IF(HYPOTHESES!$C$44=0,0,$E35*HYPOTHESES!E$44/HYPOTHESES!$C$44)</f>
        <v>5509569.79618075</v>
      </c>
      <c r="J35" s="20" t="n">
        <v>0</v>
      </c>
      <c r="K35" s="15" t="n">
        <f aca="false">IF(HYPOTHESES!$C$44=0,0,$E35*HYPOTHESES!F$44/HYPOTHESES!$C$44)</f>
        <v>5785048.28598979</v>
      </c>
      <c r="L35" s="20" t="n">
        <v>0</v>
      </c>
      <c r="M35" s="15" t="n">
        <f aca="false">IF(HYPOTHESES!$C$44=0,0,$E35*HYPOTHESES!G$44/HYPOTHESES!$C$44)</f>
        <v>6074300.70028928</v>
      </c>
      <c r="N35" s="20" t="n">
        <v>0</v>
      </c>
      <c r="O35" s="15" t="n">
        <f aca="false">IF(HYPOTHESES!$C$44=0,0,$E35*HYPOTHESES!H$44/HYPOTHESES!$C$44)</f>
        <v>6378015.73530374</v>
      </c>
    </row>
    <row r="36" customFormat="false" ht="15" hidden="false" customHeight="false" outlineLevel="0" collapsed="false">
      <c r="A36" s="32" t="n">
        <v>443300</v>
      </c>
      <c r="B36" s="12" t="s">
        <v>232</v>
      </c>
      <c r="C36" s="13" t="s">
        <v>221</v>
      </c>
      <c r="D36" s="24" t="n">
        <v>0</v>
      </c>
      <c r="E36" s="24" t="n">
        <v>52145698</v>
      </c>
      <c r="F36" s="20" t="n">
        <v>0</v>
      </c>
      <c r="G36" s="20" t="n">
        <f aca="false">IF($D$24=0,0,$E36*F24/$D$24)</f>
        <v>54801059.0512091</v>
      </c>
      <c r="H36" s="20" t="n">
        <v>0</v>
      </c>
      <c r="I36" s="20" t="n">
        <f aca="false">IF($D$24=0,0,$E36*H24/$D$24)</f>
        <v>57541112.0037695</v>
      </c>
      <c r="J36" s="20" t="n">
        <v>0</v>
      </c>
      <c r="K36" s="20" t="n">
        <f aca="false">IF($D$24=0,0,$E36*J24/$D$24)</f>
        <v>60418167.603958</v>
      </c>
      <c r="L36" s="20" t="n">
        <v>0</v>
      </c>
      <c r="M36" s="20" t="n">
        <f aca="false">IF($D$24=0,0,$E36*L24/$D$24)</f>
        <v>63439075.9841559</v>
      </c>
      <c r="N36" s="20" t="n">
        <v>0</v>
      </c>
      <c r="O36" s="20" t="n">
        <f aca="false">IF($D$24=0,0,$E36*N24/$D$24)</f>
        <v>66611029.7833637</v>
      </c>
    </row>
    <row r="37" customFormat="false" ht="15" hidden="false" customHeight="false" outlineLevel="0" collapsed="false">
      <c r="A37" s="32" t="n">
        <v>446000</v>
      </c>
      <c r="B37" s="12" t="s">
        <v>233</v>
      </c>
      <c r="C37" s="13" t="s">
        <v>221</v>
      </c>
      <c r="D37" s="24" t="n">
        <v>0</v>
      </c>
      <c r="E37" s="24" t="n">
        <v>200000</v>
      </c>
      <c r="F37" s="20" t="n">
        <v>0</v>
      </c>
      <c r="G37" s="15" t="n">
        <f aca="false">IF(HYPOTHESES!$C$44=0,0,$E37*HYPOTHESES!D$44/HYPOTHESES!$C$44)</f>
        <v>209888.373187838</v>
      </c>
      <c r="H37" s="20" t="n">
        <v>0</v>
      </c>
      <c r="I37" s="15" t="n">
        <f aca="false">IF(HYPOTHESES!$C$44=0,0,$E37*HYPOTHESES!E$44/HYPOTHESES!$C$44)</f>
        <v>220382.79184723</v>
      </c>
      <c r="J37" s="20" t="n">
        <v>0</v>
      </c>
      <c r="K37" s="15" t="n">
        <f aca="false">IF(HYPOTHESES!$C$44=0,0,$E37*HYPOTHESES!F$44/HYPOTHESES!$C$44)</f>
        <v>231401.931439591</v>
      </c>
      <c r="L37" s="20" t="n">
        <v>0</v>
      </c>
      <c r="M37" s="15" t="n">
        <f aca="false">IF(HYPOTHESES!$C$44=0,0,$E37*HYPOTHESES!G$44/HYPOTHESES!$C$44)</f>
        <v>242972.028011571</v>
      </c>
      <c r="N37" s="20" t="n">
        <v>0</v>
      </c>
      <c r="O37" s="15" t="n">
        <f aca="false">IF(HYPOTHESES!$C$44=0,0,$E37*HYPOTHESES!H$44/HYPOTHESES!$C$44)</f>
        <v>255120.62941215</v>
      </c>
    </row>
    <row r="38" customFormat="false" ht="15" hidden="false" customHeight="false" outlineLevel="0" collapsed="false">
      <c r="A38" s="32" t="n">
        <v>447201</v>
      </c>
      <c r="B38" s="12" t="s">
        <v>234</v>
      </c>
      <c r="C38" s="13" t="s">
        <v>221</v>
      </c>
      <c r="D38" s="24" t="n">
        <v>0</v>
      </c>
      <c r="E38" s="24" t="n">
        <v>1631638</v>
      </c>
      <c r="F38" s="20" t="n">
        <v>0</v>
      </c>
      <c r="G38" s="15" t="n">
        <f aca="false">IF(HYPOTHESES!$C$46=0,0,$E38*HYPOTHESES!D$46/HYPOTHESES!$C$46)</f>
        <v>1712730.63947816</v>
      </c>
      <c r="H38" s="20" t="n">
        <v>0</v>
      </c>
      <c r="I38" s="15" t="n">
        <f aca="false">IF(HYPOTHESES!$C$46=0,0,$E38*HYPOTHESES!E$46/HYPOTHESES!$C$46)</f>
        <v>1798367.17145206</v>
      </c>
      <c r="J38" s="20" t="n">
        <v>0</v>
      </c>
      <c r="K38" s="15" t="n">
        <f aca="false">IF(HYPOTHESES!$C$46=0,0,$E38*HYPOTHESES!F$46/HYPOTHESES!$C$46)</f>
        <v>1888285.53002467</v>
      </c>
      <c r="L38" s="20" t="n">
        <v>0</v>
      </c>
      <c r="M38" s="15" t="n">
        <f aca="false">IF(HYPOTHESES!$C$46=0,0,$E38*HYPOTHESES!G$46/HYPOTHESES!$C$46)</f>
        <v>1982699.8065259</v>
      </c>
      <c r="N38" s="20" t="n">
        <v>0</v>
      </c>
      <c r="O38" s="15" t="n">
        <f aca="false">IF(HYPOTHESES!$C$46=0,0,$E38*HYPOTHESES!H$46/HYPOTHESES!$C$46)</f>
        <v>2081834.7968522</v>
      </c>
    </row>
    <row r="39" customFormat="false" ht="15" hidden="false" customHeight="false" outlineLevel="0" collapsed="false">
      <c r="A39" s="32" t="n">
        <v>462100</v>
      </c>
      <c r="B39" s="12" t="s">
        <v>235</v>
      </c>
      <c r="C39" s="13" t="s">
        <v>236</v>
      </c>
      <c r="D39" s="24" t="n">
        <v>0</v>
      </c>
      <c r="E39" s="24" t="n">
        <v>3700000</v>
      </c>
      <c r="F39" s="20" t="n">
        <v>0</v>
      </c>
      <c r="G39" s="20" t="n">
        <f aca="false">E39</f>
        <v>3700000</v>
      </c>
      <c r="H39" s="20" t="n">
        <v>0</v>
      </c>
      <c r="I39" s="20" t="n">
        <f aca="false">G39</f>
        <v>3700000</v>
      </c>
      <c r="J39" s="20" t="n">
        <v>0</v>
      </c>
      <c r="K39" s="20" t="n">
        <f aca="false">I39</f>
        <v>3700000</v>
      </c>
      <c r="L39" s="20" t="n">
        <v>0</v>
      </c>
      <c r="M39" s="20" t="n">
        <f aca="false">K39</f>
        <v>3700000</v>
      </c>
      <c r="N39" s="20" t="n">
        <v>0</v>
      </c>
      <c r="O39" s="20" t="n">
        <f aca="false">M39</f>
        <v>3700000</v>
      </c>
    </row>
    <row r="40" customFormat="false" ht="15" hidden="false" customHeight="false" outlineLevel="0" collapsed="false">
      <c r="A40" s="32" t="n">
        <v>471200</v>
      </c>
      <c r="B40" s="12" t="s">
        <v>237</v>
      </c>
      <c r="C40" s="13" t="s">
        <v>238</v>
      </c>
      <c r="D40" s="24" t="n">
        <v>0</v>
      </c>
      <c r="E40" s="24" t="n">
        <v>0</v>
      </c>
      <c r="F40" s="15" t="n">
        <f aca="false">MAX(0,-(E40-D40+HYPOTHESES!D$29))</f>
        <v>-0</v>
      </c>
      <c r="G40" s="15" t="n">
        <f aca="false">MAX(0,(E40-D40+HYPOTHESES!D$29))</f>
        <v>0</v>
      </c>
      <c r="H40" s="15" t="n">
        <f aca="false">MAX(0,-(G40-F40+HYPOTHESES!E$29))</f>
        <v>-0</v>
      </c>
      <c r="I40" s="15" t="n">
        <f aca="false">MAX(0,(G40-F40+HYPOTHESES!E$29))</f>
        <v>0</v>
      </c>
      <c r="J40" s="15" t="n">
        <f aca="false">MAX(0,-(I40-H40+HYPOTHESES!F$29))</f>
        <v>-0</v>
      </c>
      <c r="K40" s="15" t="n">
        <f aca="false">MAX(0,(I40-H40+HYPOTHESES!F$29))</f>
        <v>0</v>
      </c>
      <c r="L40" s="15" t="n">
        <f aca="false">MAX(0,-(K40-J40+HYPOTHESES!G$29))</f>
        <v>-0</v>
      </c>
      <c r="M40" s="15" t="n">
        <f aca="false">MAX(0,(K40-J40+HYPOTHESES!G$29))</f>
        <v>0</v>
      </c>
      <c r="N40" s="15" t="n">
        <f aca="false">MAX(0,-(M40-L40+HYPOTHESES!H$29))</f>
        <v>-0</v>
      </c>
      <c r="O40" s="15" t="n">
        <f aca="false">MAX(0,(M40-L40+HYPOTHESES!H$29))</f>
        <v>0</v>
      </c>
    </row>
    <row r="41" customFormat="false" ht="15" hidden="false" customHeight="false" outlineLevel="0" collapsed="false">
      <c r="A41" s="32" t="n">
        <v>481200</v>
      </c>
      <c r="B41" s="12" t="s">
        <v>239</v>
      </c>
      <c r="C41" s="13" t="s">
        <v>240</v>
      </c>
      <c r="D41" s="24" t="n">
        <v>0</v>
      </c>
      <c r="E41" s="24" t="n">
        <v>132896547</v>
      </c>
      <c r="F41" s="20" t="n">
        <v>0</v>
      </c>
      <c r="G41" s="15" t="n">
        <f aca="false">HYPOTHESES!D$28</f>
        <v>80450285.4666667</v>
      </c>
      <c r="H41" s="20" t="n">
        <v>0</v>
      </c>
      <c r="I41" s="15" t="n">
        <f aca="false">HYPOTHESES!E$28</f>
        <v>12736111.1111111</v>
      </c>
      <c r="J41" s="20" t="n">
        <v>0</v>
      </c>
      <c r="K41" s="15" t="n">
        <f aca="false">HYPOTHESES!F$28</f>
        <v>12736111.1111111</v>
      </c>
      <c r="L41" s="20" t="n">
        <v>0</v>
      </c>
      <c r="M41" s="15" t="n">
        <f aca="false">HYPOTHESES!G$28</f>
        <v>27291666.6666667</v>
      </c>
      <c r="N41" s="20" t="n">
        <v>0</v>
      </c>
      <c r="O41" s="15" t="n">
        <f aca="false">HYPOTHESES!H$28</f>
        <v>12736111.1111111</v>
      </c>
    </row>
    <row r="42" customFormat="false" ht="15" hidden="false" customHeight="false" outlineLevel="0" collapsed="false">
      <c r="A42" s="27" t="n">
        <v>521101</v>
      </c>
      <c r="B42" s="28" t="s">
        <v>241</v>
      </c>
      <c r="C42" s="29" t="s">
        <v>242</v>
      </c>
      <c r="D42" s="30" t="n">
        <v>122588265</v>
      </c>
      <c r="E42" s="30" t="n">
        <v>0</v>
      </c>
      <c r="F42" s="31" t="n">
        <f aca="false">MAX(0,(SUM(G5:G41)+SUM(G43:G90)-SUM(F5:F41)-SUM(F43:F90)))</f>
        <v>121120746.742087</v>
      </c>
      <c r="G42" s="31" t="n">
        <f aca="false">MAX(0,-(SUM(G5:G41)+SUM(G43:G90)-SUM(F5:F41)-SUM(F43:F90)))</f>
        <v>0</v>
      </c>
      <c r="H42" s="31" t="n">
        <f aca="false">MAX(0,(SUM(I5:I41)+SUM(I43:I90)-SUM(H5:H41)-SUM(H43:H90)))</f>
        <v>169401028.478786</v>
      </c>
      <c r="I42" s="31" t="n">
        <f aca="false">MAX(0,-(SUM(I5:I41)+SUM(I43:I90)-SUM(H5:H41)-SUM(H43:H90)))</f>
        <v>0</v>
      </c>
      <c r="J42" s="31" t="n">
        <f aca="false">MAX(0,(SUM(K5:K41)+SUM(K43:K90)-SUM(J5:J41)-SUM(J43:J90)))</f>
        <v>315446430.264486</v>
      </c>
      <c r="K42" s="31" t="n">
        <f aca="false">MAX(0,-(SUM(K5:K41)+SUM(K43:K90)-SUM(J5:J41)-SUM(J43:J90)))</f>
        <v>0</v>
      </c>
      <c r="L42" s="31" t="n">
        <f aca="false">MAX(0,(SUM(M5:M41)+SUM(M43:M90)-SUM(L5:L41)-SUM(L43:L90)))</f>
        <v>443541184.217361</v>
      </c>
      <c r="M42" s="31" t="n">
        <f aca="false">MAX(0,-(SUM(M5:M41)+SUM(M43:M90)-SUM(L5:L41)-SUM(L43:L90)))</f>
        <v>0</v>
      </c>
      <c r="N42" s="31" t="n">
        <f aca="false">MAX(0,(SUM(O5:O41)+SUM(O43:O90)-SUM(N5:N41)-SUM(N43:N90)))</f>
        <v>588087235.649823</v>
      </c>
      <c r="O42" s="31" t="n">
        <f aca="false">MAX(0,-(SUM(O5:O41)+SUM(O43:O90)-SUM(N5:N41)-SUM(N43:N90)))</f>
        <v>0</v>
      </c>
    </row>
    <row r="43" customFormat="false" ht="15" hidden="false" customHeight="false" outlineLevel="0" collapsed="false">
      <c r="A43" s="32" t="n">
        <v>571101</v>
      </c>
      <c r="B43" s="12" t="s">
        <v>243</v>
      </c>
      <c r="C43" s="13" t="s">
        <v>244</v>
      </c>
      <c r="D43" s="24" t="n">
        <v>5545693</v>
      </c>
      <c r="E43" s="24" t="n">
        <v>0</v>
      </c>
      <c r="F43" s="20" t="n">
        <f aca="false">D43</f>
        <v>5545693</v>
      </c>
      <c r="G43" s="20" t="n">
        <v>0</v>
      </c>
      <c r="H43" s="20" t="n">
        <f aca="false">F43</f>
        <v>5545693</v>
      </c>
      <c r="I43" s="20" t="n">
        <v>0</v>
      </c>
      <c r="J43" s="20" t="n">
        <f aca="false">H43</f>
        <v>5545693</v>
      </c>
      <c r="K43" s="20" t="n">
        <v>0</v>
      </c>
      <c r="L43" s="20" t="n">
        <f aca="false">J43</f>
        <v>5545693</v>
      </c>
      <c r="M43" s="20" t="n">
        <v>0</v>
      </c>
      <c r="N43" s="20" t="n">
        <f aca="false">L43</f>
        <v>5545693</v>
      </c>
      <c r="O43" s="20" t="n">
        <v>0</v>
      </c>
    </row>
    <row r="44" customFormat="false" ht="15" hidden="false" customHeight="false" outlineLevel="0" collapsed="false">
      <c r="A44" s="27" t="n">
        <v>604300</v>
      </c>
      <c r="B44" s="28" t="s">
        <v>245</v>
      </c>
      <c r="C44" s="29" t="s">
        <v>246</v>
      </c>
      <c r="D44" s="30" t="n">
        <v>1250398</v>
      </c>
      <c r="E44" s="30" t="n">
        <v>0</v>
      </c>
      <c r="F44" s="33" t="n">
        <f aca="false">IF(HYPOTHESES!$C$41=0,0,$D44*HYPOTHESES!D$41/HYPOTHESES!$C$41)</f>
        <v>1313040.2912863</v>
      </c>
      <c r="G44" s="31" t="n">
        <v>0</v>
      </c>
      <c r="H44" s="33" t="n">
        <f aca="false">IF(HYPOTHESES!$C$41=0,0,$D44*HYPOTHESES!E$41/HYPOTHESES!$C$41)</f>
        <v>1378692.30585061</v>
      </c>
      <c r="I44" s="31" t="n">
        <v>0</v>
      </c>
      <c r="J44" s="33" t="n">
        <f aca="false">IF(HYPOTHESES!$C$41=0,0,$D44*HYPOTHESES!F$41/HYPOTHESES!$C$41)</f>
        <v>1447626.92114314</v>
      </c>
      <c r="K44" s="31" t="n">
        <v>0</v>
      </c>
      <c r="L44" s="33" t="n">
        <f aca="false">IF(HYPOTHESES!$C$41=0,0,$D44*HYPOTHESES!G$41/HYPOTHESES!$C$41)</f>
        <v>1520008.2672003</v>
      </c>
      <c r="M44" s="31" t="n">
        <v>0</v>
      </c>
      <c r="N44" s="33" t="n">
        <f aca="false">IF(HYPOTHESES!$C$41=0,0,$D44*HYPOTHESES!H$41/HYPOTHESES!$C$41)</f>
        <v>1596008.68056032</v>
      </c>
      <c r="O44" s="31" t="n">
        <v>0</v>
      </c>
    </row>
    <row r="45" customFormat="false" ht="15" hidden="false" customHeight="false" outlineLevel="0" collapsed="false">
      <c r="A45" s="32" t="n">
        <v>605100</v>
      </c>
      <c r="B45" s="12" t="s">
        <v>247</v>
      </c>
      <c r="C45" s="13" t="s">
        <v>246</v>
      </c>
      <c r="D45" s="24" t="n">
        <v>124576</v>
      </c>
      <c r="E45" s="24" t="n">
        <v>0</v>
      </c>
      <c r="F45" s="15" t="n">
        <f aca="false">IF(HYPOTHESES!$C$41=0,0,$D45*HYPOTHESES!D$41/HYPOTHESES!$C$41)</f>
        <v>130816.993731022</v>
      </c>
      <c r="G45" s="20" t="n">
        <v>0</v>
      </c>
      <c r="H45" s="15" t="n">
        <f aca="false">IF(HYPOTHESES!$C$41=0,0,$D45*HYPOTHESES!E$41/HYPOTHESES!$C$41)</f>
        <v>137357.843417573</v>
      </c>
      <c r="I45" s="20" t="n">
        <v>0</v>
      </c>
      <c r="J45" s="15" t="n">
        <f aca="false">IF(HYPOTHESES!$C$41=0,0,$D45*HYPOTHESES!F$41/HYPOTHESES!$C$41)</f>
        <v>144225.735588451</v>
      </c>
      <c r="K45" s="20" t="n">
        <v>0</v>
      </c>
      <c r="L45" s="15" t="n">
        <f aca="false">IF(HYPOTHESES!$C$41=0,0,$D45*HYPOTHESES!G$41/HYPOTHESES!$C$41)</f>
        <v>151437.022367874</v>
      </c>
      <c r="M45" s="20" t="n">
        <v>0</v>
      </c>
      <c r="N45" s="15" t="n">
        <f aca="false">IF(HYPOTHESES!$C$41=0,0,$D45*HYPOTHESES!H$41/HYPOTHESES!$C$41)</f>
        <v>159008.873486268</v>
      </c>
      <c r="O45" s="20" t="n">
        <v>0</v>
      </c>
    </row>
    <row r="46" customFormat="false" ht="15" hidden="false" customHeight="false" outlineLevel="0" collapsed="false">
      <c r="A46" s="32" t="n">
        <v>605200</v>
      </c>
      <c r="B46" s="12" t="s">
        <v>248</v>
      </c>
      <c r="C46" s="13" t="s">
        <v>246</v>
      </c>
      <c r="D46" s="24" t="n">
        <v>39961389</v>
      </c>
      <c r="E46" s="24" t="n">
        <v>0</v>
      </c>
      <c r="F46" s="15" t="n">
        <f aca="false">IF(HYPOTHESES!$C$41=0,0,$D46*HYPOTHESES!D$41/HYPOTHESES!$C$41)</f>
        <v>41963369.9452215</v>
      </c>
      <c r="G46" s="20" t="n">
        <v>0</v>
      </c>
      <c r="H46" s="15" t="n">
        <f aca="false">IF(HYPOTHESES!$C$41=0,0,$D46*HYPOTHESES!E$41/HYPOTHESES!$C$41)</f>
        <v>44061538.4424826</v>
      </c>
      <c r="I46" s="20" t="n">
        <v>0</v>
      </c>
      <c r="J46" s="15" t="n">
        <f aca="false">IF(HYPOTHESES!$C$41=0,0,$D46*HYPOTHESES!F$41/HYPOTHESES!$C$41)</f>
        <v>46264615.3646067</v>
      </c>
      <c r="K46" s="20" t="n">
        <v>0</v>
      </c>
      <c r="L46" s="15" t="n">
        <f aca="false">IF(HYPOTHESES!$C$41=0,0,$D46*HYPOTHESES!G$41/HYPOTHESES!$C$41)</f>
        <v>48577846.132837</v>
      </c>
      <c r="M46" s="20" t="n">
        <v>0</v>
      </c>
      <c r="N46" s="15" t="n">
        <f aca="false">IF(HYPOTHESES!$C$41=0,0,$D46*HYPOTHESES!H$41/HYPOTHESES!$C$41)</f>
        <v>51006738.4394789</v>
      </c>
      <c r="O46" s="20" t="n">
        <v>0</v>
      </c>
    </row>
    <row r="47" customFormat="false" ht="15" hidden="false" customHeight="false" outlineLevel="0" collapsed="false">
      <c r="A47" s="32" t="n">
        <v>605300</v>
      </c>
      <c r="B47" s="12" t="s">
        <v>249</v>
      </c>
      <c r="C47" s="13" t="s">
        <v>246</v>
      </c>
      <c r="D47" s="24" t="n">
        <v>19839054</v>
      </c>
      <c r="E47" s="24" t="n">
        <v>0</v>
      </c>
      <c r="F47" s="15" t="n">
        <f aca="false">IF(HYPOTHESES!$C$41=0,0,$D47*HYPOTHESES!D$41/HYPOTHESES!$C$41)</f>
        <v>20832948.5835747</v>
      </c>
      <c r="G47" s="20" t="n">
        <v>0</v>
      </c>
      <c r="H47" s="15" t="n">
        <f aca="false">IF(HYPOTHESES!$C$41=0,0,$D47*HYPOTHESES!E$41/HYPOTHESES!$C$41)</f>
        <v>21874596.0127534</v>
      </c>
      <c r="I47" s="20" t="n">
        <v>0</v>
      </c>
      <c r="J47" s="15" t="n">
        <f aca="false">IF(HYPOTHESES!$C$41=0,0,$D47*HYPOTHESES!F$41/HYPOTHESES!$C$41)</f>
        <v>22968325.8133911</v>
      </c>
      <c r="K47" s="20" t="n">
        <v>0</v>
      </c>
      <c r="L47" s="15" t="n">
        <f aca="false">IF(HYPOTHESES!$C$41=0,0,$D47*HYPOTHESES!G$41/HYPOTHESES!$C$41)</f>
        <v>24116742.1040606</v>
      </c>
      <c r="M47" s="20" t="n">
        <v>0</v>
      </c>
      <c r="N47" s="15" t="n">
        <f aca="false">IF(HYPOTHESES!$C$41=0,0,$D47*HYPOTHESES!H$41/HYPOTHESES!$C$41)</f>
        <v>25322579.2092637</v>
      </c>
      <c r="O47" s="20" t="n">
        <v>0</v>
      </c>
    </row>
    <row r="48" customFormat="false" ht="15" hidden="false" customHeight="false" outlineLevel="0" collapsed="false">
      <c r="A48" s="32" t="n">
        <v>605500</v>
      </c>
      <c r="B48" s="12" t="s">
        <v>250</v>
      </c>
      <c r="C48" s="13" t="s">
        <v>246</v>
      </c>
      <c r="D48" s="24" t="n">
        <v>12873612</v>
      </c>
      <c r="E48" s="24" t="n">
        <v>0</v>
      </c>
      <c r="F48" s="15" t="n">
        <f aca="false">IF(HYPOTHESES!$C$41=0,0,$D48*HYPOTHESES!D$41/HYPOTHESES!$C$41)</f>
        <v>13518552.6931319</v>
      </c>
      <c r="G48" s="20" t="n">
        <v>0</v>
      </c>
      <c r="H48" s="15" t="n">
        <f aca="false">IF(HYPOTHESES!$C$41=0,0,$D48*HYPOTHESES!E$41/HYPOTHESES!$C$41)</f>
        <v>14194480.3277885</v>
      </c>
      <c r="I48" s="20" t="n">
        <v>0</v>
      </c>
      <c r="J48" s="15" t="n">
        <f aca="false">IF(HYPOTHESES!$C$41=0,0,$D48*HYPOTHESES!F$41/HYPOTHESES!$C$41)</f>
        <v>14904204.344178</v>
      </c>
      <c r="K48" s="20" t="n">
        <v>0</v>
      </c>
      <c r="L48" s="15" t="n">
        <f aca="false">IF(HYPOTHESES!$C$41=0,0,$D48*HYPOTHESES!G$41/HYPOTHESES!$C$41)</f>
        <v>15649414.5613869</v>
      </c>
      <c r="M48" s="20" t="n">
        <v>0</v>
      </c>
      <c r="N48" s="15" t="n">
        <f aca="false">IF(HYPOTHESES!$C$41=0,0,$D48*HYPOTHESES!H$41/HYPOTHESES!$C$41)</f>
        <v>16431885.2894562</v>
      </c>
      <c r="O48" s="20" t="n">
        <v>0</v>
      </c>
    </row>
    <row r="49" customFormat="false" ht="15" hidden="false" customHeight="false" outlineLevel="0" collapsed="false">
      <c r="A49" s="32" t="n">
        <v>605600</v>
      </c>
      <c r="B49" s="12" t="s">
        <v>251</v>
      </c>
      <c r="C49" s="13" t="s">
        <v>246</v>
      </c>
      <c r="D49" s="24" t="n">
        <v>3691625</v>
      </c>
      <c r="E49" s="24" t="n">
        <v>0</v>
      </c>
      <c r="F49" s="15" t="n">
        <f aca="false">IF(HYPOTHESES!$C$41=0,0,$D49*HYPOTHESES!D$41/HYPOTHESES!$C$41)</f>
        <v>3876567.59313417</v>
      </c>
      <c r="G49" s="20" t="n">
        <v>0</v>
      </c>
      <c r="H49" s="15" t="n">
        <f aca="false">IF(HYPOTHESES!$C$41=0,0,$D49*HYPOTHESES!E$41/HYPOTHESES!$C$41)</f>
        <v>4070395.97279088</v>
      </c>
      <c r="I49" s="20" t="n">
        <v>0</v>
      </c>
      <c r="J49" s="15" t="n">
        <f aca="false">IF(HYPOTHESES!$C$41=0,0,$D49*HYPOTHESES!F$41/HYPOTHESES!$C$41)</f>
        <v>4273915.77143042</v>
      </c>
      <c r="K49" s="20" t="n">
        <v>0</v>
      </c>
      <c r="L49" s="15" t="n">
        <f aca="false">IF(HYPOTHESES!$C$41=0,0,$D49*HYPOTHESES!G$41/HYPOTHESES!$C$41)</f>
        <v>4487611.56000195</v>
      </c>
      <c r="M49" s="20" t="n">
        <v>0</v>
      </c>
      <c r="N49" s="15" t="n">
        <f aca="false">IF(HYPOTHESES!$C$41=0,0,$D49*HYPOTHESES!H$41/HYPOTHESES!$C$41)</f>
        <v>4711992.13800204</v>
      </c>
      <c r="O49" s="20" t="n">
        <v>0</v>
      </c>
    </row>
    <row r="50" customFormat="false" ht="15" hidden="false" customHeight="false" outlineLevel="0" collapsed="false">
      <c r="A50" s="32" t="n">
        <v>605700</v>
      </c>
      <c r="B50" s="12" t="s">
        <v>252</v>
      </c>
      <c r="C50" s="13" t="s">
        <v>246</v>
      </c>
      <c r="D50" s="24" t="n">
        <v>80160324</v>
      </c>
      <c r="E50" s="24" t="n">
        <v>0</v>
      </c>
      <c r="F50" s="15" t="n">
        <f aca="false">IF(HYPOTHESES!$C$41=0,0,$D50*HYPOTHESES!D$41/HYPOTHESES!$C$41)</f>
        <v>84176186.4418882</v>
      </c>
      <c r="G50" s="20" t="n">
        <v>0</v>
      </c>
      <c r="H50" s="15" t="n">
        <f aca="false">IF(HYPOTHESES!$C$41=0,0,$D50*HYPOTHESES!E$41/HYPOTHESES!$C$41)</f>
        <v>88384995.7639826</v>
      </c>
      <c r="I50" s="20" t="n">
        <v>0</v>
      </c>
      <c r="J50" s="15" t="n">
        <f aca="false">IF(HYPOTHESES!$C$41=0,0,$D50*HYPOTHESES!F$41/HYPOTHESES!$C$41)</f>
        <v>92804245.5521817</v>
      </c>
      <c r="K50" s="20" t="n">
        <v>0</v>
      </c>
      <c r="L50" s="15" t="n">
        <f aca="false">IF(HYPOTHESES!$C$41=0,0,$D50*HYPOTHESES!G$41/HYPOTHESES!$C$41)</f>
        <v>97444457.8297908</v>
      </c>
      <c r="M50" s="20" t="n">
        <v>0</v>
      </c>
      <c r="N50" s="15" t="n">
        <f aca="false">IF(HYPOTHESES!$C$41=0,0,$D50*HYPOTHESES!H$41/HYPOTHESES!$C$41)</f>
        <v>102316680.72128</v>
      </c>
      <c r="O50" s="20" t="n">
        <v>0</v>
      </c>
    </row>
    <row r="51" customFormat="false" ht="15" hidden="false" customHeight="false" outlineLevel="0" collapsed="false">
      <c r="A51" s="32" t="n">
        <v>605800</v>
      </c>
      <c r="B51" s="12" t="s">
        <v>253</v>
      </c>
      <c r="C51" s="13" t="s">
        <v>246</v>
      </c>
      <c r="D51" s="24" t="n">
        <v>120240486</v>
      </c>
      <c r="E51" s="24" t="n">
        <v>0</v>
      </c>
      <c r="F51" s="15" t="n">
        <f aca="false">IF(HYPOTHESES!$C$41=0,0,$D51*HYPOTHESES!D$41/HYPOTHESES!$C$41)</f>
        <v>126264279.662832</v>
      </c>
      <c r="G51" s="20" t="n">
        <v>0</v>
      </c>
      <c r="H51" s="15" t="n">
        <f aca="false">IF(HYPOTHESES!$C$41=0,0,$D51*HYPOTHESES!E$41/HYPOTHESES!$C$41)</f>
        <v>132577493.645974</v>
      </c>
      <c r="I51" s="20" t="n">
        <v>0</v>
      </c>
      <c r="J51" s="15" t="n">
        <f aca="false">IF(HYPOTHESES!$C$41=0,0,$D51*HYPOTHESES!F$41/HYPOTHESES!$C$41)</f>
        <v>139206368.328273</v>
      </c>
      <c r="K51" s="20" t="n">
        <v>0</v>
      </c>
      <c r="L51" s="15" t="n">
        <f aca="false">IF(HYPOTHESES!$C$41=0,0,$D51*HYPOTHESES!G$41/HYPOTHESES!$C$41)</f>
        <v>146166686.744686</v>
      </c>
      <c r="M51" s="20" t="n">
        <v>0</v>
      </c>
      <c r="N51" s="15" t="n">
        <f aca="false">IF(HYPOTHESES!$C$41=0,0,$D51*HYPOTHESES!H$41/HYPOTHESES!$C$41)</f>
        <v>153475021.08192</v>
      </c>
      <c r="O51" s="20" t="n">
        <v>0</v>
      </c>
    </row>
    <row r="52" customFormat="false" ht="15" hidden="false" customHeight="false" outlineLevel="0" collapsed="false">
      <c r="A52" s="32" t="n">
        <v>616000</v>
      </c>
      <c r="B52" s="12" t="s">
        <v>254</v>
      </c>
      <c r="C52" s="13" t="s">
        <v>255</v>
      </c>
      <c r="D52" s="24" t="n">
        <v>93905</v>
      </c>
      <c r="E52" s="24" t="n">
        <v>0</v>
      </c>
      <c r="F52" s="15" t="n">
        <f aca="false">IF(HYPOTHESES!$C$42=0,0,$D52*HYPOTHESES!D$42/HYPOTHESES!$C$42)</f>
        <v>97708.3833639447</v>
      </c>
      <c r="G52" s="20" t="n">
        <v>0</v>
      </c>
      <c r="H52" s="15" t="n">
        <f aca="false">IF(HYPOTHESES!$C$42=0,0,$D52*HYPOTHESES!E$42/HYPOTHESES!$C$42)</f>
        <v>102593.802532142</v>
      </c>
      <c r="I52" s="20" t="n">
        <v>0</v>
      </c>
      <c r="J52" s="15" t="n">
        <f aca="false">IF(HYPOTHESES!$C$42=0,0,$D52*HYPOTHESES!F$42/HYPOTHESES!$C$42)</f>
        <v>107723.492658749</v>
      </c>
      <c r="K52" s="20" t="n">
        <v>0</v>
      </c>
      <c r="L52" s="15" t="n">
        <f aca="false">IF(HYPOTHESES!$C$42=0,0,$D52*HYPOTHESES!G$42/HYPOTHESES!$C$42)</f>
        <v>113109.667291686</v>
      </c>
      <c r="M52" s="20" t="n">
        <v>0</v>
      </c>
      <c r="N52" s="15" t="n">
        <f aca="false">IF(HYPOTHESES!$C$42=0,0,$D52*HYPOTHESES!H$42/HYPOTHESES!$C$42)</f>
        <v>118765.150656271</v>
      </c>
      <c r="O52" s="20" t="n">
        <v>0</v>
      </c>
    </row>
    <row r="53" customFormat="false" ht="15" hidden="false" customHeight="false" outlineLevel="0" collapsed="false">
      <c r="A53" s="32" t="n">
        <v>618200</v>
      </c>
      <c r="B53" s="12" t="s">
        <v>256</v>
      </c>
      <c r="C53" s="13" t="s">
        <v>255</v>
      </c>
      <c r="D53" s="24" t="n">
        <v>1566944</v>
      </c>
      <c r="E53" s="24" t="n">
        <v>0</v>
      </c>
      <c r="F53" s="15" t="n">
        <f aca="false">IF(HYPOTHESES!$C$42=0,0,$D53*HYPOTHESES!D$42/HYPOTHESES!$C$42)</f>
        <v>1630409.08430683</v>
      </c>
      <c r="G53" s="20" t="n">
        <v>0</v>
      </c>
      <c r="H53" s="15" t="n">
        <f aca="false">IF(HYPOTHESES!$C$42=0,0,$D53*HYPOTHESES!E$42/HYPOTHESES!$C$42)</f>
        <v>1711929.53852217</v>
      </c>
      <c r="I53" s="20" t="n">
        <v>0</v>
      </c>
      <c r="J53" s="15" t="n">
        <f aca="false">IF(HYPOTHESES!$C$42=0,0,$D53*HYPOTHESES!F$42/HYPOTHESES!$C$42)</f>
        <v>1797526.01544828</v>
      </c>
      <c r="K53" s="20" t="n">
        <v>0</v>
      </c>
      <c r="L53" s="15" t="n">
        <f aca="false">IF(HYPOTHESES!$C$42=0,0,$D53*HYPOTHESES!G$42/HYPOTHESES!$C$42)</f>
        <v>1887402.31622069</v>
      </c>
      <c r="M53" s="20" t="n">
        <v>0</v>
      </c>
      <c r="N53" s="15" t="n">
        <f aca="false">IF(HYPOTHESES!$C$42=0,0,$D53*HYPOTHESES!H$42/HYPOTHESES!$C$42)</f>
        <v>1981772.43203173</v>
      </c>
      <c r="O53" s="20" t="n">
        <v>0</v>
      </c>
    </row>
    <row r="54" customFormat="false" ht="15" hidden="false" customHeight="false" outlineLevel="0" collapsed="false">
      <c r="A54" s="32" t="n">
        <v>618300</v>
      </c>
      <c r="B54" s="12" t="s">
        <v>257</v>
      </c>
      <c r="C54" s="13" t="s">
        <v>255</v>
      </c>
      <c r="D54" s="24" t="n">
        <v>2159249</v>
      </c>
      <c r="E54" s="24" t="n">
        <v>0</v>
      </c>
      <c r="F54" s="15" t="n">
        <f aca="false">IF(HYPOTHESES!$C$42=0,0,$D54*HYPOTHESES!D$42/HYPOTHESES!$C$42)</f>
        <v>2246703.89297923</v>
      </c>
      <c r="G54" s="20" t="n">
        <v>0</v>
      </c>
      <c r="H54" s="15" t="n">
        <f aca="false">IF(HYPOTHESES!$C$42=0,0,$D54*HYPOTHESES!E$42/HYPOTHESES!$C$42)</f>
        <v>2359039.08762819</v>
      </c>
      <c r="I54" s="20" t="n">
        <v>0</v>
      </c>
      <c r="J54" s="15" t="n">
        <f aca="false">IF(HYPOTHESES!$C$42=0,0,$D54*HYPOTHESES!F$42/HYPOTHESES!$C$42)</f>
        <v>2476991.0420096</v>
      </c>
      <c r="K54" s="20" t="n">
        <v>0</v>
      </c>
      <c r="L54" s="15" t="n">
        <f aca="false">IF(HYPOTHESES!$C$42=0,0,$D54*HYPOTHESES!G$42/HYPOTHESES!$C$42)</f>
        <v>2600840.59411008</v>
      </c>
      <c r="M54" s="20" t="n">
        <v>0</v>
      </c>
      <c r="N54" s="15" t="n">
        <f aca="false">IF(HYPOTHESES!$C$42=0,0,$D54*HYPOTHESES!H$42/HYPOTHESES!$C$42)</f>
        <v>2730882.62381558</v>
      </c>
      <c r="O54" s="20" t="n">
        <v>0</v>
      </c>
    </row>
    <row r="55" customFormat="false" ht="15" hidden="false" customHeight="false" outlineLevel="0" collapsed="false">
      <c r="A55" s="32" t="n">
        <v>622200</v>
      </c>
      <c r="B55" s="12" t="s">
        <v>258</v>
      </c>
      <c r="C55" s="13" t="s">
        <v>259</v>
      </c>
      <c r="D55" s="24" t="n">
        <v>16635091</v>
      </c>
      <c r="E55" s="24" t="n">
        <v>0</v>
      </c>
      <c r="F55" s="15" t="n">
        <f aca="false">IF(HYPOTHESES!$C$43=0,0,$D55*HYPOTHESES!D$43/HYPOTHESES!$C$43)</f>
        <v>17466401.0059651</v>
      </c>
      <c r="G55" s="20" t="n">
        <v>0</v>
      </c>
      <c r="H55" s="15" t="n">
        <f aca="false">IF(HYPOTHESES!$C$43=0,0,$D55*HYPOTHESES!E$43/HYPOTHESES!$C$43)</f>
        <v>18339721.0562634</v>
      </c>
      <c r="I55" s="20" t="n">
        <v>0</v>
      </c>
      <c r="J55" s="15" t="n">
        <f aca="false">IF(HYPOTHESES!$C$43=0,0,$D55*HYPOTHESES!F$43/HYPOTHESES!$C$43)</f>
        <v>19256707.1090766</v>
      </c>
      <c r="K55" s="20" t="n">
        <v>0</v>
      </c>
      <c r="L55" s="15" t="n">
        <f aca="false">IF(HYPOTHESES!$C$43=0,0,$D55*HYPOTHESES!G$43/HYPOTHESES!$C$43)</f>
        <v>20219542.4645304</v>
      </c>
      <c r="M55" s="20" t="n">
        <v>0</v>
      </c>
      <c r="N55" s="15" t="n">
        <f aca="false">IF(HYPOTHESES!$C$43=0,0,$D55*HYPOTHESES!H$43/HYPOTHESES!$C$43)</f>
        <v>21230519.5877569</v>
      </c>
      <c r="O55" s="20" t="n">
        <v>0</v>
      </c>
    </row>
    <row r="56" customFormat="false" ht="15" hidden="false" customHeight="false" outlineLevel="0" collapsed="false">
      <c r="A56" s="32" t="n">
        <v>624200</v>
      </c>
      <c r="B56" s="12" t="s">
        <v>260</v>
      </c>
      <c r="C56" s="13" t="s">
        <v>259</v>
      </c>
      <c r="D56" s="24" t="n">
        <v>34203480</v>
      </c>
      <c r="E56" s="24" t="n">
        <v>0</v>
      </c>
      <c r="F56" s="15" t="n">
        <f aca="false">IF(HYPOTHESES!$C$43=0,0,$D56*HYPOTHESES!D$43/HYPOTHESES!$C$43)</f>
        <v>35912739.9711555</v>
      </c>
      <c r="G56" s="20" t="n">
        <v>0</v>
      </c>
      <c r="H56" s="15" t="n">
        <f aca="false">IF(HYPOTHESES!$C$43=0,0,$D56*HYPOTHESES!E$43/HYPOTHESES!$C$43)</f>
        <v>37708376.9697132</v>
      </c>
      <c r="I56" s="20" t="n">
        <v>0</v>
      </c>
      <c r="J56" s="15" t="n">
        <f aca="false">IF(HYPOTHESES!$C$43=0,0,$D56*HYPOTHESES!F$43/HYPOTHESES!$C$43)</f>
        <v>39593795.8181989</v>
      </c>
      <c r="K56" s="20" t="n">
        <v>0</v>
      </c>
      <c r="L56" s="15" t="n">
        <f aca="false">IF(HYPOTHESES!$C$43=0,0,$D56*HYPOTHESES!G$43/HYPOTHESES!$C$43)</f>
        <v>41573485.6091088</v>
      </c>
      <c r="M56" s="20" t="n">
        <v>0</v>
      </c>
      <c r="N56" s="15" t="n">
        <f aca="false">IF(HYPOTHESES!$C$43=0,0,$D56*HYPOTHESES!H$43/HYPOTHESES!$C$43)</f>
        <v>43652159.8895643</v>
      </c>
      <c r="O56" s="20" t="n">
        <v>0</v>
      </c>
    </row>
    <row r="57" customFormat="false" ht="15" hidden="false" customHeight="false" outlineLevel="0" collapsed="false">
      <c r="A57" s="32" t="n">
        <v>625800</v>
      </c>
      <c r="B57" s="12" t="s">
        <v>261</v>
      </c>
      <c r="C57" s="13" t="s">
        <v>259</v>
      </c>
      <c r="D57" s="24" t="n">
        <v>4589652</v>
      </c>
      <c r="E57" s="24" t="n">
        <v>0</v>
      </c>
      <c r="F57" s="15" t="n">
        <f aca="false">IF(HYPOTHESES!$C$43=0,0,$D57*HYPOTHESES!D$43/HYPOTHESES!$C$43)</f>
        <v>4819011.94948858</v>
      </c>
      <c r="G57" s="20" t="n">
        <v>0</v>
      </c>
      <c r="H57" s="15" t="n">
        <f aca="false">IF(HYPOTHESES!$C$43=0,0,$D57*HYPOTHESES!E$43/HYPOTHESES!$C$43)</f>
        <v>5059962.54696301</v>
      </c>
      <c r="I57" s="20" t="n">
        <v>0</v>
      </c>
      <c r="J57" s="15" t="n">
        <f aca="false">IF(HYPOTHESES!$C$43=0,0,$D57*HYPOTHESES!F$43/HYPOTHESES!$C$43)</f>
        <v>5312960.67431116</v>
      </c>
      <c r="K57" s="20" t="n">
        <v>0</v>
      </c>
      <c r="L57" s="15" t="n">
        <f aca="false">IF(HYPOTHESES!$C$43=0,0,$D57*HYPOTHESES!G$43/HYPOTHESES!$C$43)</f>
        <v>5578608.70802672</v>
      </c>
      <c r="M57" s="20" t="n">
        <v>0</v>
      </c>
      <c r="N57" s="15" t="n">
        <f aca="false">IF(HYPOTHESES!$C$43=0,0,$D57*HYPOTHESES!H$43/HYPOTHESES!$C$43)</f>
        <v>5857539.14342805</v>
      </c>
      <c r="O57" s="20" t="n">
        <v>0</v>
      </c>
    </row>
    <row r="58" customFormat="false" ht="15" hidden="false" customHeight="false" outlineLevel="0" collapsed="false">
      <c r="A58" s="32" t="n">
        <v>626600</v>
      </c>
      <c r="B58" s="12" t="s">
        <v>262</v>
      </c>
      <c r="C58" s="13" t="s">
        <v>259</v>
      </c>
      <c r="D58" s="24" t="n">
        <v>32000</v>
      </c>
      <c r="E58" s="24" t="n">
        <v>0</v>
      </c>
      <c r="F58" s="15" t="n">
        <f aca="false">IF(HYPOTHESES!$C$43=0,0,$D58*HYPOTHESES!D$43/HYPOTHESES!$C$43)</f>
        <v>33599.1448553473</v>
      </c>
      <c r="G58" s="20" t="n">
        <v>0</v>
      </c>
      <c r="H58" s="15" t="n">
        <f aca="false">IF(HYPOTHESES!$C$43=0,0,$D58*HYPOTHESES!E$43/HYPOTHESES!$C$43)</f>
        <v>35279.1020981147</v>
      </c>
      <c r="I58" s="20" t="n">
        <v>0</v>
      </c>
      <c r="J58" s="15" t="n">
        <f aca="false">IF(HYPOTHESES!$C$43=0,0,$D58*HYPOTHESES!F$43/HYPOTHESES!$C$43)</f>
        <v>37043.0572030204</v>
      </c>
      <c r="K58" s="20" t="n">
        <v>0</v>
      </c>
      <c r="L58" s="15" t="n">
        <f aca="false">IF(HYPOTHESES!$C$43=0,0,$D58*HYPOTHESES!G$43/HYPOTHESES!$C$43)</f>
        <v>38895.2100631714</v>
      </c>
      <c r="M58" s="20" t="n">
        <v>0</v>
      </c>
      <c r="N58" s="15" t="n">
        <f aca="false">IF(HYPOTHESES!$C$43=0,0,$D58*HYPOTHESES!H$43/HYPOTHESES!$C$43)</f>
        <v>40839.97056633</v>
      </c>
      <c r="O58" s="20" t="n">
        <v>0</v>
      </c>
    </row>
    <row r="59" customFormat="false" ht="15" hidden="false" customHeight="false" outlineLevel="0" collapsed="false">
      <c r="A59" s="32" t="n">
        <v>627700</v>
      </c>
      <c r="B59" s="12" t="s">
        <v>263</v>
      </c>
      <c r="C59" s="13" t="s">
        <v>259</v>
      </c>
      <c r="D59" s="24" t="n">
        <v>58500</v>
      </c>
      <c r="E59" s="24" t="n">
        <v>0</v>
      </c>
      <c r="F59" s="15" t="n">
        <f aca="false">IF(HYPOTHESES!$C$43=0,0,$D59*HYPOTHESES!D$43/HYPOTHESES!$C$43)</f>
        <v>61423.4366886818</v>
      </c>
      <c r="G59" s="20" t="n">
        <v>0</v>
      </c>
      <c r="H59" s="15" t="n">
        <f aca="false">IF(HYPOTHESES!$C$43=0,0,$D59*HYPOTHESES!E$43/HYPOTHESES!$C$43)</f>
        <v>64494.6085231159</v>
      </c>
      <c r="I59" s="20" t="n">
        <v>0</v>
      </c>
      <c r="J59" s="15" t="n">
        <f aca="false">IF(HYPOTHESES!$C$43=0,0,$D59*HYPOTHESES!F$43/HYPOTHESES!$C$43)</f>
        <v>67719.3389492717</v>
      </c>
      <c r="K59" s="20" t="n">
        <v>0</v>
      </c>
      <c r="L59" s="15" t="n">
        <f aca="false">IF(HYPOTHESES!$C$43=0,0,$D59*HYPOTHESES!G$43/HYPOTHESES!$C$43)</f>
        <v>71105.3058967353</v>
      </c>
      <c r="M59" s="20" t="n">
        <v>0</v>
      </c>
      <c r="N59" s="15" t="n">
        <f aca="false">IF(HYPOTHESES!$C$43=0,0,$D59*HYPOTHESES!H$43/HYPOTHESES!$C$43)</f>
        <v>74660.5711915721</v>
      </c>
      <c r="O59" s="20" t="n">
        <v>0</v>
      </c>
    </row>
    <row r="60" customFormat="false" ht="15" hidden="false" customHeight="false" outlineLevel="0" collapsed="false">
      <c r="A60" s="32" t="n">
        <v>628800</v>
      </c>
      <c r="B60" s="12" t="s">
        <v>264</v>
      </c>
      <c r="C60" s="13" t="s">
        <v>259</v>
      </c>
      <c r="D60" s="24" t="n">
        <v>794044</v>
      </c>
      <c r="E60" s="24" t="n">
        <v>0</v>
      </c>
      <c r="F60" s="15" t="n">
        <f aca="false">IF(HYPOTHESES!$C$43=0,0,$D60*HYPOTHESES!D$43/HYPOTHESES!$C$43)</f>
        <v>833724.980547481</v>
      </c>
      <c r="G60" s="20" t="n">
        <v>0</v>
      </c>
      <c r="H60" s="15" t="n">
        <f aca="false">IF(HYPOTHESES!$C$43=0,0,$D60*HYPOTHESES!E$43/HYPOTHESES!$C$43)</f>
        <v>875411.229574855</v>
      </c>
      <c r="I60" s="20" t="n">
        <v>0</v>
      </c>
      <c r="J60" s="15" t="n">
        <f aca="false">IF(HYPOTHESES!$C$43=0,0,$D60*HYPOTHESES!F$43/HYPOTHESES!$C$43)</f>
        <v>919181.791053598</v>
      </c>
      <c r="K60" s="20" t="n">
        <v>0</v>
      </c>
      <c r="L60" s="15" t="n">
        <f aca="false">IF(HYPOTHESES!$C$43=0,0,$D60*HYPOTHESES!G$43/HYPOTHESES!$C$43)</f>
        <v>965140.880606278</v>
      </c>
      <c r="M60" s="20" t="n">
        <v>0</v>
      </c>
      <c r="N60" s="15" t="n">
        <f aca="false">IF(HYPOTHESES!$C$43=0,0,$D60*HYPOTHESES!H$43/HYPOTHESES!$C$43)</f>
        <v>1013397.92463659</v>
      </c>
      <c r="O60" s="20" t="n">
        <v>0</v>
      </c>
    </row>
    <row r="61" customFormat="false" ht="15" hidden="false" customHeight="false" outlineLevel="0" collapsed="false">
      <c r="A61" s="32" t="n">
        <v>631800</v>
      </c>
      <c r="B61" s="12" t="s">
        <v>265</v>
      </c>
      <c r="C61" s="13" t="s">
        <v>259</v>
      </c>
      <c r="D61" s="24" t="n">
        <v>22590164</v>
      </c>
      <c r="E61" s="24" t="n">
        <v>0</v>
      </c>
      <c r="F61" s="15" t="n">
        <f aca="false">IF(HYPOTHESES!$C$43=0,0,$D61*HYPOTHESES!D$43/HYPOTHESES!$C$43)</f>
        <v>23719068.5169391</v>
      </c>
      <c r="G61" s="20" t="n">
        <v>0</v>
      </c>
      <c r="H61" s="15" t="n">
        <f aca="false">IF(HYPOTHESES!$C$43=0,0,$D61*HYPOTHESES!E$43/HYPOTHESES!$C$43)</f>
        <v>24905021.9427861</v>
      </c>
      <c r="I61" s="20" t="n">
        <v>0</v>
      </c>
      <c r="J61" s="15" t="n">
        <f aca="false">IF(HYPOTHESES!$C$43=0,0,$D61*HYPOTHESES!F$43/HYPOTHESES!$C$43)</f>
        <v>26150273.0399254</v>
      </c>
      <c r="K61" s="20" t="n">
        <v>0</v>
      </c>
      <c r="L61" s="15" t="n">
        <f aca="false">IF(HYPOTHESES!$C$43=0,0,$D61*HYPOTHESES!G$43/HYPOTHESES!$C$43)</f>
        <v>27457786.6919217</v>
      </c>
      <c r="M61" s="20" t="n">
        <v>0</v>
      </c>
      <c r="N61" s="15" t="n">
        <f aca="false">IF(HYPOTHESES!$C$43=0,0,$D61*HYPOTHESES!H$43/HYPOTHESES!$C$43)</f>
        <v>28830676.0265177</v>
      </c>
      <c r="O61" s="20" t="n">
        <v>0</v>
      </c>
    </row>
    <row r="62" customFormat="false" ht="15" hidden="false" customHeight="false" outlineLevel="0" collapsed="false">
      <c r="A62" s="32" t="n">
        <v>632800</v>
      </c>
      <c r="B62" s="12" t="s">
        <v>266</v>
      </c>
      <c r="C62" s="13" t="s">
        <v>259</v>
      </c>
      <c r="D62" s="24" t="n">
        <v>4753040</v>
      </c>
      <c r="E62" s="24" t="n">
        <v>0</v>
      </c>
      <c r="F62" s="15" t="n">
        <f aca="false">IF(HYPOTHESES!$C$43=0,0,$D62*HYPOTHESES!D$43/HYPOTHESES!$C$43)</f>
        <v>4990564.98322687</v>
      </c>
      <c r="G62" s="20" t="n">
        <v>0</v>
      </c>
      <c r="H62" s="15" t="n">
        <f aca="false">IF(HYPOTHESES!$C$43=0,0,$D62*HYPOTHESES!E$43/HYPOTHESES!$C$43)</f>
        <v>5240093.23238822</v>
      </c>
      <c r="I62" s="20" t="n">
        <v>0</v>
      </c>
      <c r="J62" s="15" t="n">
        <f aca="false">IF(HYPOTHESES!$C$43=0,0,$D62*HYPOTHESES!F$43/HYPOTHESES!$C$43)</f>
        <v>5502097.89400763</v>
      </c>
      <c r="K62" s="20" t="n">
        <v>0</v>
      </c>
      <c r="L62" s="15" t="n">
        <f aca="false">IF(HYPOTHESES!$C$43=0,0,$D62*HYPOTHESES!G$43/HYPOTHESES!$C$43)</f>
        <v>5777202.78870801</v>
      </c>
      <c r="M62" s="20" t="n">
        <v>0</v>
      </c>
      <c r="N62" s="15" t="n">
        <f aca="false">IF(HYPOTHESES!$C$43=0,0,$D62*HYPOTHESES!H$43/HYPOTHESES!$C$43)</f>
        <v>6066062.92814341</v>
      </c>
      <c r="O62" s="20" t="n">
        <v>0</v>
      </c>
    </row>
    <row r="63" customFormat="false" ht="15" hidden="false" customHeight="false" outlineLevel="0" collapsed="false">
      <c r="A63" s="32" t="n">
        <v>638800</v>
      </c>
      <c r="B63" s="12" t="s">
        <v>267</v>
      </c>
      <c r="C63" s="13" t="s">
        <v>259</v>
      </c>
      <c r="D63" s="24" t="n">
        <v>23113112</v>
      </c>
      <c r="E63" s="24" t="n">
        <v>0</v>
      </c>
      <c r="F63" s="15" t="n">
        <f aca="false">IF(HYPOTHESES!$C$43=0,0,$D63*HYPOTHESES!D$43/HYPOTHESES!$C$43)</f>
        <v>24268149.9420583</v>
      </c>
      <c r="G63" s="20" t="n">
        <v>0</v>
      </c>
      <c r="H63" s="15" t="n">
        <f aca="false">IF(HYPOTHESES!$C$43=0,0,$D63*HYPOTHESES!E$43/HYPOTHESES!$C$43)</f>
        <v>25481557.4391612</v>
      </c>
      <c r="I63" s="20" t="n">
        <v>0</v>
      </c>
      <c r="J63" s="15" t="n">
        <f aca="false">IF(HYPOTHESES!$C$43=0,0,$D63*HYPOTHESES!F$43/HYPOTHESES!$C$43)</f>
        <v>26755635.3111193</v>
      </c>
      <c r="K63" s="20" t="n">
        <v>0</v>
      </c>
      <c r="L63" s="15" t="n">
        <f aca="false">IF(HYPOTHESES!$C$43=0,0,$D63*HYPOTHESES!G$43/HYPOTHESES!$C$43)</f>
        <v>28093417.0766753</v>
      </c>
      <c r="M63" s="20" t="n">
        <v>0</v>
      </c>
      <c r="N63" s="15" t="n">
        <f aca="false">IF(HYPOTHESES!$C$43=0,0,$D63*HYPOTHESES!H$43/HYPOTHESES!$C$43)</f>
        <v>29498087.930509</v>
      </c>
      <c r="O63" s="20" t="n">
        <v>0</v>
      </c>
    </row>
    <row r="64" customFormat="false" ht="15" hidden="false" customHeight="false" outlineLevel="0" collapsed="false">
      <c r="A64" s="32" t="n">
        <v>641100</v>
      </c>
      <c r="B64" s="12" t="s">
        <v>268</v>
      </c>
      <c r="C64" s="13" t="s">
        <v>269</v>
      </c>
      <c r="D64" s="24" t="n">
        <v>360000</v>
      </c>
      <c r="E64" s="24" t="n">
        <v>0</v>
      </c>
      <c r="F64" s="15" t="n">
        <f aca="false">IF(HYPOTHESES!$C$44=0,0,$D64*HYPOTHESES!D$44/HYPOTHESES!$C$44)</f>
        <v>377799.071738109</v>
      </c>
      <c r="G64" s="20" t="n">
        <v>0</v>
      </c>
      <c r="H64" s="15" t="n">
        <f aca="false">IF(HYPOTHESES!$C$44=0,0,$D64*HYPOTHESES!E$44/HYPOTHESES!$C$44)</f>
        <v>396689.025325014</v>
      </c>
      <c r="I64" s="20" t="n">
        <v>0</v>
      </c>
      <c r="J64" s="15" t="n">
        <f aca="false">IF(HYPOTHESES!$C$44=0,0,$D64*HYPOTHESES!F$44/HYPOTHESES!$C$44)</f>
        <v>416523.476591265</v>
      </c>
      <c r="K64" s="20" t="n">
        <v>0</v>
      </c>
      <c r="L64" s="15" t="n">
        <f aca="false">IF(HYPOTHESES!$C$44=0,0,$D64*HYPOTHESES!G$44/HYPOTHESES!$C$44)</f>
        <v>437349.650420828</v>
      </c>
      <c r="M64" s="20" t="n">
        <v>0</v>
      </c>
      <c r="N64" s="15" t="n">
        <f aca="false">IF(HYPOTHESES!$C$44=0,0,$D64*HYPOTHESES!H$44/HYPOTHESES!$C$44)</f>
        <v>459217.132941869</v>
      </c>
      <c r="O64" s="20" t="n">
        <v>0</v>
      </c>
    </row>
    <row r="65" customFormat="false" ht="15" hidden="false" customHeight="false" outlineLevel="0" collapsed="false">
      <c r="A65" s="32" t="n">
        <v>641201</v>
      </c>
      <c r="B65" s="12" t="s">
        <v>270</v>
      </c>
      <c r="C65" s="13" t="s">
        <v>269</v>
      </c>
      <c r="D65" s="24" t="n">
        <v>9055133</v>
      </c>
      <c r="E65" s="24" t="n">
        <v>0</v>
      </c>
      <c r="F65" s="15" t="n">
        <f aca="false">IF(HYPOTHESES!$C$44=0,0,$D65*HYPOTHESES!D$44/HYPOTHESES!$C$44)</f>
        <v>9502835.67184754</v>
      </c>
      <c r="G65" s="20" t="n">
        <v>0</v>
      </c>
      <c r="H65" s="15" t="n">
        <f aca="false">IF(HYPOTHESES!$C$44=0,0,$D65*HYPOTHESES!E$44/HYPOTHESES!$C$44)</f>
        <v>9977977.45543992</v>
      </c>
      <c r="I65" s="20" t="n">
        <v>0</v>
      </c>
      <c r="J65" s="15" t="n">
        <f aca="false">IF(HYPOTHESES!$C$44=0,0,$D65*HYPOTHESES!F$44/HYPOTHESES!$C$44)</f>
        <v>10476876.3282119</v>
      </c>
      <c r="K65" s="20" t="n">
        <v>0</v>
      </c>
      <c r="L65" s="15" t="n">
        <f aca="false">IF(HYPOTHESES!$C$44=0,0,$D65*HYPOTHESES!G$44/HYPOTHESES!$C$44)</f>
        <v>11000720.1446225</v>
      </c>
      <c r="M65" s="20" t="n">
        <v>0</v>
      </c>
      <c r="N65" s="15" t="n">
        <f aca="false">IF(HYPOTHESES!$C$44=0,0,$D65*HYPOTHESES!H$44/HYPOTHESES!$C$44)</f>
        <v>11550756.1518536</v>
      </c>
      <c r="O65" s="20" t="n">
        <v>0</v>
      </c>
    </row>
    <row r="66" customFormat="false" ht="15" hidden="false" customHeight="false" outlineLevel="0" collapsed="false">
      <c r="A66" s="32" t="n">
        <v>641202</v>
      </c>
      <c r="B66" s="12" t="s">
        <v>271</v>
      </c>
      <c r="C66" s="13" t="s">
        <v>269</v>
      </c>
      <c r="D66" s="24" t="n">
        <v>1548695</v>
      </c>
      <c r="E66" s="24" t="n">
        <v>0</v>
      </c>
      <c r="F66" s="15" t="n">
        <f aca="false">IF(HYPOTHESES!$C$44=0,0,$D66*HYPOTHESES!D$44/HYPOTHESES!$C$44)</f>
        <v>1625265.37057069</v>
      </c>
      <c r="G66" s="20" t="n">
        <v>0</v>
      </c>
      <c r="H66" s="15" t="n">
        <f aca="false">IF(HYPOTHESES!$C$44=0,0,$D66*HYPOTHESES!E$44/HYPOTHESES!$C$44)</f>
        <v>1706528.63909923</v>
      </c>
      <c r="I66" s="20" t="n">
        <v>0</v>
      </c>
      <c r="J66" s="15" t="n">
        <f aca="false">IF(HYPOTHESES!$C$44=0,0,$D66*HYPOTHESES!F$44/HYPOTHESES!$C$44)</f>
        <v>1791855.07105419</v>
      </c>
      <c r="K66" s="20" t="n">
        <v>0</v>
      </c>
      <c r="L66" s="15" t="n">
        <f aca="false">IF(HYPOTHESES!$C$44=0,0,$D66*HYPOTHESES!G$44/HYPOTHESES!$C$44)</f>
        <v>1881447.8246069</v>
      </c>
      <c r="M66" s="20" t="n">
        <v>0</v>
      </c>
      <c r="N66" s="15" t="n">
        <f aca="false">IF(HYPOTHESES!$C$44=0,0,$D66*HYPOTHESES!H$44/HYPOTHESES!$C$44)</f>
        <v>1975520.21583724</v>
      </c>
      <c r="O66" s="20" t="n">
        <v>0</v>
      </c>
    </row>
    <row r="67" customFormat="false" ht="15" hidden="false" customHeight="false" outlineLevel="0" collapsed="false">
      <c r="A67" s="32" t="n">
        <v>641300</v>
      </c>
      <c r="B67" s="12" t="s">
        <v>272</v>
      </c>
      <c r="C67" s="13" t="s">
        <v>269</v>
      </c>
      <c r="D67" s="24" t="n">
        <v>826575</v>
      </c>
      <c r="E67" s="24" t="n">
        <v>0</v>
      </c>
      <c r="F67" s="15" t="n">
        <f aca="false">IF(HYPOTHESES!$C$44=0,0,$D67*HYPOTHESES!D$44/HYPOTHESES!$C$44)</f>
        <v>867442.410338686</v>
      </c>
      <c r="G67" s="20" t="n">
        <v>0</v>
      </c>
      <c r="H67" s="15" t="n">
        <f aca="false">IF(HYPOTHESES!$C$44=0,0,$D67*HYPOTHESES!E$44/HYPOTHESES!$C$44)</f>
        <v>910814.530855621</v>
      </c>
      <c r="I67" s="20" t="n">
        <v>0</v>
      </c>
      <c r="J67" s="15" t="n">
        <f aca="false">IF(HYPOTHESES!$C$44=0,0,$D67*HYPOTHESES!F$44/HYPOTHESES!$C$44)</f>
        <v>956355.257398402</v>
      </c>
      <c r="K67" s="20" t="n">
        <v>0</v>
      </c>
      <c r="L67" s="15" t="n">
        <f aca="false">IF(HYPOTHESES!$C$44=0,0,$D67*HYPOTHESES!G$44/HYPOTHESES!$C$44)</f>
        <v>1004173.02026832</v>
      </c>
      <c r="M67" s="20" t="n">
        <v>0</v>
      </c>
      <c r="N67" s="15" t="n">
        <f aca="false">IF(HYPOTHESES!$C$44=0,0,$D67*HYPOTHESES!H$44/HYPOTHESES!$C$44)</f>
        <v>1054381.67128174</v>
      </c>
      <c r="O67" s="20" t="n">
        <v>0</v>
      </c>
    </row>
    <row r="68" customFormat="false" ht="15" hidden="false" customHeight="false" outlineLevel="0" collapsed="false">
      <c r="A68" s="32" t="n">
        <v>641400</v>
      </c>
      <c r="B68" s="12" t="s">
        <v>273</v>
      </c>
      <c r="C68" s="13" t="s">
        <v>269</v>
      </c>
      <c r="D68" s="24" t="n">
        <v>104066</v>
      </c>
      <c r="E68" s="24" t="n">
        <v>0</v>
      </c>
      <c r="F68" s="15" t="n">
        <f aca="false">IF(HYPOTHESES!$C$44=0,0,$D68*HYPOTHESES!D$44/HYPOTHESES!$C$44)</f>
        <v>109211.217220828</v>
      </c>
      <c r="G68" s="20" t="n">
        <v>0</v>
      </c>
      <c r="H68" s="15" t="n">
        <f aca="false">IF(HYPOTHESES!$C$44=0,0,$D68*HYPOTHESES!E$44/HYPOTHESES!$C$44)</f>
        <v>114671.778081869</v>
      </c>
      <c r="I68" s="20" t="n">
        <v>0</v>
      </c>
      <c r="J68" s="15" t="n">
        <f aca="false">IF(HYPOTHESES!$C$44=0,0,$D68*HYPOTHESES!F$44/HYPOTHESES!$C$44)</f>
        <v>120405.366985963</v>
      </c>
      <c r="K68" s="20" t="n">
        <v>0</v>
      </c>
      <c r="L68" s="15" t="n">
        <f aca="false">IF(HYPOTHESES!$C$44=0,0,$D68*HYPOTHESES!G$44/HYPOTHESES!$C$44)</f>
        <v>126425.635335261</v>
      </c>
      <c r="M68" s="20" t="n">
        <v>0</v>
      </c>
      <c r="N68" s="15" t="n">
        <f aca="false">IF(HYPOTHESES!$C$44=0,0,$D68*HYPOTHESES!H$44/HYPOTHESES!$C$44)</f>
        <v>132746.917102024</v>
      </c>
      <c r="O68" s="20" t="n">
        <v>0</v>
      </c>
    </row>
    <row r="69" customFormat="false" ht="15" hidden="false" customHeight="false" outlineLevel="0" collapsed="false">
      <c r="A69" s="32" t="n">
        <v>641500</v>
      </c>
      <c r="B69" s="12" t="s">
        <v>274</v>
      </c>
      <c r="C69" s="13" t="s">
        <v>269</v>
      </c>
      <c r="D69" s="24" t="n">
        <v>312211</v>
      </c>
      <c r="E69" s="24" t="n">
        <v>0</v>
      </c>
      <c r="F69" s="15" t="n">
        <f aca="false">IF(HYPOTHESES!$C$44=0,0,$D69*HYPOTHESES!D$44/HYPOTHESES!$C$44)</f>
        <v>327647.294406741</v>
      </c>
      <c r="G69" s="20" t="n">
        <v>0</v>
      </c>
      <c r="H69" s="15" t="n">
        <f aca="false">IF(HYPOTHESES!$C$44=0,0,$D69*HYPOTHESES!E$44/HYPOTHESES!$C$44)</f>
        <v>344029.659127078</v>
      </c>
      <c r="I69" s="20" t="n">
        <v>0</v>
      </c>
      <c r="J69" s="15" t="n">
        <f aca="false">IF(HYPOTHESES!$C$44=0,0,$D69*HYPOTHESES!F$44/HYPOTHESES!$C$44)</f>
        <v>361231.142083432</v>
      </c>
      <c r="K69" s="20" t="n">
        <v>0</v>
      </c>
      <c r="L69" s="15" t="n">
        <f aca="false">IF(HYPOTHESES!$C$44=0,0,$D69*HYPOTHESES!G$44/HYPOTHESES!$C$44)</f>
        <v>379292.699187603</v>
      </c>
      <c r="M69" s="20" t="n">
        <v>0</v>
      </c>
      <c r="N69" s="15" t="n">
        <f aca="false">IF(HYPOTHESES!$C$44=0,0,$D69*HYPOTHESES!H$44/HYPOTHESES!$C$44)</f>
        <v>398257.334146983</v>
      </c>
      <c r="O69" s="20" t="n">
        <v>0</v>
      </c>
    </row>
    <row r="70" customFormat="false" ht="15" hidden="false" customHeight="false" outlineLevel="0" collapsed="false">
      <c r="A70" s="32" t="n">
        <v>641830</v>
      </c>
      <c r="B70" s="12" t="s">
        <v>275</v>
      </c>
      <c r="C70" s="13" t="s">
        <v>269</v>
      </c>
      <c r="D70" s="24" t="n">
        <v>211685</v>
      </c>
      <c r="E70" s="24" t="n">
        <v>0</v>
      </c>
      <c r="F70" s="15" t="n">
        <f aca="false">IF(HYPOTHESES!$C$44=0,0,$D70*HYPOTHESES!D$44/HYPOTHESES!$C$44)</f>
        <v>222151.101391338</v>
      </c>
      <c r="G70" s="20" t="n">
        <v>0</v>
      </c>
      <c r="H70" s="15" t="n">
        <f aca="false">IF(HYPOTHESES!$C$44=0,0,$D70*HYPOTHESES!E$44/HYPOTHESES!$C$44)</f>
        <v>233258.656460904</v>
      </c>
      <c r="I70" s="20" t="n">
        <v>0</v>
      </c>
      <c r="J70" s="15" t="n">
        <f aca="false">IF(HYPOTHESES!$C$44=0,0,$D70*HYPOTHESES!F$44/HYPOTHESES!$C$44)</f>
        <v>244921.58928395</v>
      </c>
      <c r="K70" s="20" t="n">
        <v>0</v>
      </c>
      <c r="L70" s="15" t="n">
        <f aca="false">IF(HYPOTHESES!$C$44=0,0,$D70*HYPOTHESES!G$44/HYPOTHESES!$C$44)</f>
        <v>257167.668748147</v>
      </c>
      <c r="M70" s="20" t="n">
        <v>0</v>
      </c>
      <c r="N70" s="15" t="n">
        <f aca="false">IF(HYPOTHESES!$C$44=0,0,$D70*HYPOTHESES!H$44/HYPOTHESES!$C$44)</f>
        <v>270026.052185554</v>
      </c>
      <c r="O70" s="20" t="n">
        <v>0</v>
      </c>
    </row>
    <row r="71" customFormat="false" ht="15" hidden="false" customHeight="false" outlineLevel="0" collapsed="false">
      <c r="A71" s="32" t="n">
        <v>646200</v>
      </c>
      <c r="B71" s="12" t="s">
        <v>276</v>
      </c>
      <c r="C71" s="13" t="s">
        <v>269</v>
      </c>
      <c r="D71" s="24" t="n">
        <v>1725647</v>
      </c>
      <c r="E71" s="24" t="n">
        <v>0</v>
      </c>
      <c r="F71" s="15" t="n">
        <f aca="false">IF(HYPOTHESES!$C$44=0,0,$D71*HYPOTHESES!D$44/HYPOTHESES!$C$44)</f>
        <v>1810966.20763237</v>
      </c>
      <c r="G71" s="20" t="n">
        <v>0</v>
      </c>
      <c r="H71" s="15" t="n">
        <f aca="false">IF(HYPOTHESES!$C$44=0,0,$D71*HYPOTHESES!E$44/HYPOTHESES!$C$44)</f>
        <v>1901514.51801398</v>
      </c>
      <c r="I71" s="20" t="n">
        <v>0</v>
      </c>
      <c r="J71" s="15" t="n">
        <f aca="false">IF(HYPOTHESES!$C$44=0,0,$D71*HYPOTHESES!F$44/HYPOTHESES!$C$44)</f>
        <v>1996590.24391468</v>
      </c>
      <c r="K71" s="20" t="n">
        <v>0</v>
      </c>
      <c r="L71" s="15" t="n">
        <f aca="false">IF(HYPOTHESES!$C$44=0,0,$D71*HYPOTHESES!G$44/HYPOTHESES!$C$44)</f>
        <v>2096419.75611042</v>
      </c>
      <c r="M71" s="20" t="n">
        <v>0</v>
      </c>
      <c r="N71" s="15" t="n">
        <f aca="false">IF(HYPOTHESES!$C$44=0,0,$D71*HYPOTHESES!H$44/HYPOTHESES!$C$44)</f>
        <v>2201240.74391594</v>
      </c>
      <c r="O71" s="20" t="n">
        <v>0</v>
      </c>
    </row>
    <row r="72" customFormat="false" ht="15" hidden="false" customHeight="false" outlineLevel="0" collapsed="false">
      <c r="A72" s="32" t="n">
        <v>648000</v>
      </c>
      <c r="B72" s="12" t="s">
        <v>277</v>
      </c>
      <c r="C72" s="13" t="s">
        <v>269</v>
      </c>
      <c r="D72" s="24" t="n">
        <v>725658</v>
      </c>
      <c r="E72" s="24" t="n">
        <v>0</v>
      </c>
      <c r="F72" s="15" t="n">
        <f aca="false">IF(HYPOTHESES!$C$44=0,0,$D72*HYPOTHESES!D$44/HYPOTHESES!$C$44)</f>
        <v>761535.885553701</v>
      </c>
      <c r="G72" s="20" t="n">
        <v>0</v>
      </c>
      <c r="H72" s="15" t="n">
        <f aca="false">IF(HYPOTHESES!$C$44=0,0,$D72*HYPOTHESES!E$44/HYPOTHESES!$C$44)</f>
        <v>799612.679831386</v>
      </c>
      <c r="I72" s="20" t="n">
        <v>0</v>
      </c>
      <c r="J72" s="15" t="n">
        <f aca="false">IF(HYPOTHESES!$C$44=0,0,$D72*HYPOTHESES!F$44/HYPOTHESES!$C$44)</f>
        <v>839593.313822955</v>
      </c>
      <c r="K72" s="20" t="n">
        <v>0</v>
      </c>
      <c r="L72" s="15" t="n">
        <f aca="false">IF(HYPOTHESES!$C$44=0,0,$D72*HYPOTHESES!G$44/HYPOTHESES!$C$44)</f>
        <v>881572.979514103</v>
      </c>
      <c r="M72" s="20" t="n">
        <v>0</v>
      </c>
      <c r="N72" s="15" t="n">
        <f aca="false">IF(HYPOTHESES!$C$44=0,0,$D72*HYPOTHESES!H$44/HYPOTHESES!$C$44)</f>
        <v>925651.628489808</v>
      </c>
      <c r="O72" s="20" t="n">
        <v>0</v>
      </c>
    </row>
    <row r="73" customFormat="false" ht="15" hidden="false" customHeight="false" outlineLevel="0" collapsed="false">
      <c r="A73" s="32" t="n">
        <v>658800</v>
      </c>
      <c r="B73" s="12" t="s">
        <v>278</v>
      </c>
      <c r="C73" s="13" t="s">
        <v>279</v>
      </c>
      <c r="D73" s="24" t="n">
        <v>1316731</v>
      </c>
      <c r="E73" s="24" t="n">
        <v>0</v>
      </c>
      <c r="F73" s="15" t="n">
        <f aca="false">IF(HYPOTHESES!$C$45=0,0,$D73*HYPOTHESES!D$45/HYPOTHESES!$C$45)</f>
        <v>1398548.256525</v>
      </c>
      <c r="G73" s="20" t="n">
        <v>0</v>
      </c>
      <c r="H73" s="15" t="n">
        <f aca="false">IF(HYPOTHESES!$C$45=0,0,$D73*HYPOTHESES!E$45/HYPOTHESES!$C$45)</f>
        <v>1468475.66935125</v>
      </c>
      <c r="I73" s="20" t="n">
        <v>0</v>
      </c>
      <c r="J73" s="15" t="n">
        <f aca="false">IF(HYPOTHESES!$C$45=0,0,$D73*HYPOTHESES!F$45/HYPOTHESES!$C$45)</f>
        <v>1541899.45281881</v>
      </c>
      <c r="K73" s="20" t="n">
        <v>0</v>
      </c>
      <c r="L73" s="15" t="n">
        <f aca="false">IF(HYPOTHESES!$C$45=0,0,$D73*HYPOTHESES!G$45/HYPOTHESES!$C$45)</f>
        <v>1618994.42545975</v>
      </c>
      <c r="M73" s="20" t="n">
        <v>0</v>
      </c>
      <c r="N73" s="15" t="n">
        <f aca="false">IF(HYPOTHESES!$C$45=0,0,$D73*HYPOTHESES!H$45/HYPOTHESES!$C$45)</f>
        <v>1699944.14673274</v>
      </c>
      <c r="O73" s="20" t="n">
        <v>0</v>
      </c>
    </row>
    <row r="74" customFormat="false" ht="15" hidden="false" customHeight="false" outlineLevel="0" collapsed="false">
      <c r="A74" s="32" t="n">
        <v>661100</v>
      </c>
      <c r="B74" s="12" t="s">
        <v>280</v>
      </c>
      <c r="C74" s="13" t="s">
        <v>281</v>
      </c>
      <c r="D74" s="24" t="n">
        <v>58979354</v>
      </c>
      <c r="E74" s="24" t="n">
        <v>0</v>
      </c>
      <c r="F74" s="15" t="n">
        <f aca="false">IF(HYPOTHESES!$C$46=0,0,$D74*HYPOTHESES!D$46/HYPOTHESES!$C$46)</f>
        <v>61910636.2394284</v>
      </c>
      <c r="G74" s="20" t="n">
        <v>0</v>
      </c>
      <c r="H74" s="15" t="n">
        <f aca="false">IF(HYPOTHESES!$C$46=0,0,$D74*HYPOTHESES!E$46/HYPOTHESES!$C$46)</f>
        <v>65006168.0513999</v>
      </c>
      <c r="I74" s="20" t="n">
        <v>0</v>
      </c>
      <c r="J74" s="15" t="n">
        <f aca="false">IF(HYPOTHESES!$C$46=0,0,$D74*HYPOTHESES!F$46/HYPOTHESES!$C$46)</f>
        <v>68256476.4539699</v>
      </c>
      <c r="K74" s="20" t="n">
        <v>0</v>
      </c>
      <c r="L74" s="15" t="n">
        <f aca="false">IF(HYPOTHESES!$C$46=0,0,$D74*HYPOTHESES!G$46/HYPOTHESES!$C$46)</f>
        <v>71669300.2766684</v>
      </c>
      <c r="M74" s="20" t="n">
        <v>0</v>
      </c>
      <c r="N74" s="15" t="n">
        <f aca="false">IF(HYPOTHESES!$C$46=0,0,$D74*HYPOTHESES!H$46/HYPOTHESES!$C$46)</f>
        <v>75252765.2905018</v>
      </c>
      <c r="O74" s="20" t="n">
        <v>0</v>
      </c>
    </row>
    <row r="75" customFormat="false" ht="15" hidden="false" customHeight="false" outlineLevel="0" collapsed="false">
      <c r="A75" s="32" t="n">
        <v>661200</v>
      </c>
      <c r="B75" s="12" t="s">
        <v>282</v>
      </c>
      <c r="C75" s="13" t="s">
        <v>281</v>
      </c>
      <c r="D75" s="24" t="n">
        <v>19937999</v>
      </c>
      <c r="E75" s="24" t="n">
        <v>0</v>
      </c>
      <c r="F75" s="15" t="n">
        <f aca="false">IF(HYPOTHESES!$C$46=0,0,$D75*HYPOTHESES!D$46/HYPOTHESES!$C$46)</f>
        <v>20928920.3715437</v>
      </c>
      <c r="G75" s="20" t="n">
        <v>0</v>
      </c>
      <c r="H75" s="15" t="n">
        <f aca="false">IF(HYPOTHESES!$C$46=0,0,$D75*HYPOTHESES!E$46/HYPOTHESES!$C$46)</f>
        <v>21975366.3901209</v>
      </c>
      <c r="I75" s="20" t="n">
        <v>0</v>
      </c>
      <c r="J75" s="15" t="n">
        <f aca="false">IF(HYPOTHESES!$C$46=0,0,$D75*HYPOTHESES!F$46/HYPOTHESES!$C$46)</f>
        <v>23074134.7096269</v>
      </c>
      <c r="K75" s="20" t="n">
        <v>0</v>
      </c>
      <c r="L75" s="15" t="n">
        <f aca="false">IF(HYPOTHESES!$C$46=0,0,$D75*HYPOTHESES!G$46/HYPOTHESES!$C$46)</f>
        <v>24227841.4451083</v>
      </c>
      <c r="M75" s="20" t="n">
        <v>0</v>
      </c>
      <c r="N75" s="15" t="n">
        <f aca="false">IF(HYPOTHESES!$C$46=0,0,$D75*HYPOTHESES!H$46/HYPOTHESES!$C$46)</f>
        <v>25439233.5173637</v>
      </c>
      <c r="O75" s="20" t="n">
        <v>0</v>
      </c>
    </row>
    <row r="76" customFormat="false" ht="15" hidden="false" customHeight="false" outlineLevel="0" collapsed="false">
      <c r="A76" s="32" t="n">
        <v>661300</v>
      </c>
      <c r="B76" s="12" t="s">
        <v>283</v>
      </c>
      <c r="C76" s="13" t="s">
        <v>281</v>
      </c>
      <c r="D76" s="24" t="n">
        <v>6578578</v>
      </c>
      <c r="E76" s="24" t="n">
        <v>0</v>
      </c>
      <c r="F76" s="15" t="n">
        <f aca="false">IF(HYPOTHESES!$C$46=0,0,$D76*HYPOTHESES!D$46/HYPOTHESES!$C$46)</f>
        <v>6905534.25747435</v>
      </c>
      <c r="G76" s="20" t="n">
        <v>0</v>
      </c>
      <c r="H76" s="15" t="n">
        <f aca="false">IF(HYPOTHESES!$C$46=0,0,$D76*HYPOTHESES!E$46/HYPOTHESES!$C$46)</f>
        <v>7250810.97034807</v>
      </c>
      <c r="I76" s="20" t="n">
        <v>0</v>
      </c>
      <c r="J76" s="15" t="n">
        <f aca="false">IF(HYPOTHESES!$C$46=0,0,$D76*HYPOTHESES!F$46/HYPOTHESES!$C$46)</f>
        <v>7613351.51886547</v>
      </c>
      <c r="K76" s="20" t="n">
        <v>0</v>
      </c>
      <c r="L76" s="15" t="n">
        <f aca="false">IF(HYPOTHESES!$C$46=0,0,$D76*HYPOTHESES!G$46/HYPOTHESES!$C$46)</f>
        <v>7994019.09480874</v>
      </c>
      <c r="M76" s="20" t="n">
        <v>0</v>
      </c>
      <c r="N76" s="15" t="n">
        <f aca="false">IF(HYPOTHESES!$C$46=0,0,$D76*HYPOTHESES!H$46/HYPOTHESES!$C$46)</f>
        <v>8393720.04954918</v>
      </c>
      <c r="O76" s="20" t="n">
        <v>0</v>
      </c>
    </row>
    <row r="77" customFormat="false" ht="15" hidden="false" customHeight="false" outlineLevel="0" collapsed="false">
      <c r="A77" s="32" t="n">
        <v>661400</v>
      </c>
      <c r="B77" s="12" t="s">
        <v>284</v>
      </c>
      <c r="C77" s="13" t="s">
        <v>281</v>
      </c>
      <c r="D77" s="24" t="n">
        <v>6643514</v>
      </c>
      <c r="E77" s="24" t="n">
        <v>0</v>
      </c>
      <c r="F77" s="15" t="n">
        <f aca="false">IF(HYPOTHESES!$C$46=0,0,$D77*HYPOTHESES!D$46/HYPOTHESES!$C$46)</f>
        <v>6973697.58586285</v>
      </c>
      <c r="G77" s="20" t="n">
        <v>0</v>
      </c>
      <c r="H77" s="15" t="n">
        <f aca="false">IF(HYPOTHESES!$C$46=0,0,$D77*HYPOTHESES!E$46/HYPOTHESES!$C$46)</f>
        <v>7322382.46515599</v>
      </c>
      <c r="I77" s="20" t="n">
        <v>0</v>
      </c>
      <c r="J77" s="15" t="n">
        <f aca="false">IF(HYPOTHESES!$C$46=0,0,$D77*HYPOTHESES!F$46/HYPOTHESES!$C$46)</f>
        <v>7688501.58841379</v>
      </c>
      <c r="K77" s="20" t="n">
        <v>0</v>
      </c>
      <c r="L77" s="15" t="n">
        <f aca="false">IF(HYPOTHESES!$C$46=0,0,$D77*HYPOTHESES!G$46/HYPOTHESES!$C$46)</f>
        <v>8072926.66783448</v>
      </c>
      <c r="M77" s="20" t="n">
        <v>0</v>
      </c>
      <c r="N77" s="15" t="n">
        <f aca="false">IF(HYPOTHESES!$C$46=0,0,$D77*HYPOTHESES!H$46/HYPOTHESES!$C$46)</f>
        <v>8476573.0012262</v>
      </c>
      <c r="O77" s="20" t="n">
        <v>0</v>
      </c>
    </row>
    <row r="78" customFormat="false" ht="15" hidden="false" customHeight="false" outlineLevel="0" collapsed="false">
      <c r="A78" s="32" t="n">
        <v>663400</v>
      </c>
      <c r="B78" s="12" t="s">
        <v>285</v>
      </c>
      <c r="C78" s="13" t="s">
        <v>281</v>
      </c>
      <c r="D78" s="24" t="n">
        <v>6880797</v>
      </c>
      <c r="E78" s="24" t="n">
        <v>0</v>
      </c>
      <c r="F78" s="15" t="n">
        <f aca="false">IF(HYPOTHESES!$C$46=0,0,$D78*HYPOTHESES!D$46/HYPOTHESES!$C$46)</f>
        <v>7222773.58453859</v>
      </c>
      <c r="G78" s="20" t="n">
        <v>0</v>
      </c>
      <c r="H78" s="15" t="n">
        <f aca="false">IF(HYPOTHESES!$C$46=0,0,$D78*HYPOTHESES!E$46/HYPOTHESES!$C$46)</f>
        <v>7583912.26376552</v>
      </c>
      <c r="I78" s="20" t="n">
        <v>0</v>
      </c>
      <c r="J78" s="15" t="n">
        <f aca="false">IF(HYPOTHESES!$C$46=0,0,$D78*HYPOTHESES!F$46/HYPOTHESES!$C$46)</f>
        <v>7963107.8769538</v>
      </c>
      <c r="K78" s="20" t="n">
        <v>0</v>
      </c>
      <c r="L78" s="15" t="n">
        <f aca="false">IF(HYPOTHESES!$C$46=0,0,$D78*HYPOTHESES!G$46/HYPOTHESES!$C$46)</f>
        <v>8361263.27080149</v>
      </c>
      <c r="M78" s="20" t="n">
        <v>0</v>
      </c>
      <c r="N78" s="15" t="n">
        <f aca="false">IF(HYPOTHESES!$C$46=0,0,$D78*HYPOTHESES!H$46/HYPOTHESES!$C$46)</f>
        <v>8779326.43434156</v>
      </c>
      <c r="O78" s="20" t="n">
        <v>0</v>
      </c>
    </row>
    <row r="79" customFormat="false" ht="15" hidden="false" customHeight="false" outlineLevel="0" collapsed="false">
      <c r="A79" s="32" t="n">
        <v>664104</v>
      </c>
      <c r="B79" s="12" t="s">
        <v>286</v>
      </c>
      <c r="C79" s="13" t="s">
        <v>281</v>
      </c>
      <c r="D79" s="24" t="n">
        <v>7005273</v>
      </c>
      <c r="E79" s="24" t="n">
        <v>0</v>
      </c>
      <c r="F79" s="15" t="n">
        <f aca="false">IF(HYPOTHESES!$C$46=0,0,$D79*HYPOTHESES!D$46/HYPOTHESES!$C$46)</f>
        <v>7353436.05935205</v>
      </c>
      <c r="G79" s="20" t="n">
        <v>0</v>
      </c>
      <c r="H79" s="15" t="n">
        <f aca="false">IF(HYPOTHESES!$C$46=0,0,$D79*HYPOTHESES!E$46/HYPOTHESES!$C$46)</f>
        <v>7721107.86231966</v>
      </c>
      <c r="I79" s="20" t="n">
        <v>0</v>
      </c>
      <c r="J79" s="15" t="n">
        <f aca="false">IF(HYPOTHESES!$C$46=0,0,$D79*HYPOTHESES!F$46/HYPOTHESES!$C$46)</f>
        <v>8107163.25543564</v>
      </c>
      <c r="K79" s="20" t="n">
        <v>0</v>
      </c>
      <c r="L79" s="15" t="n">
        <f aca="false">IF(HYPOTHESES!$C$46=0,0,$D79*HYPOTHESES!G$46/HYPOTHESES!$C$46)</f>
        <v>8512521.41820742</v>
      </c>
      <c r="M79" s="20" t="n">
        <v>0</v>
      </c>
      <c r="N79" s="15" t="n">
        <f aca="false">IF(HYPOTHESES!$C$46=0,0,$D79*HYPOTHESES!H$46/HYPOTHESES!$C$46)</f>
        <v>8938147.48911779</v>
      </c>
      <c r="O79" s="20" t="n">
        <v>0</v>
      </c>
    </row>
    <row r="80" customFormat="false" ht="15" hidden="false" customHeight="false" outlineLevel="0" collapsed="false">
      <c r="A80" s="32" t="n">
        <v>671201</v>
      </c>
      <c r="B80" s="12" t="s">
        <v>287</v>
      </c>
      <c r="C80" s="13" t="s">
        <v>288</v>
      </c>
      <c r="D80" s="24" t="n">
        <v>4142819</v>
      </c>
      <c r="E80" s="24" t="n">
        <v>0</v>
      </c>
      <c r="F80" s="20" t="n">
        <f aca="false">'INVEST ET FINANCEMENT'!D$61</f>
        <v>3172706.56</v>
      </c>
      <c r="G80" s="20" t="n">
        <v>0</v>
      </c>
      <c r="H80" s="20" t="n">
        <f aca="false">'INVEST ET FINANCEMENT'!E$61</f>
        <v>1586353.28</v>
      </c>
      <c r="I80" s="20" t="n">
        <v>0</v>
      </c>
      <c r="J80" s="20" t="n">
        <f aca="false">'INVEST ET FINANCEMENT'!F$61</f>
        <v>0</v>
      </c>
      <c r="K80" s="20" t="n">
        <v>0</v>
      </c>
      <c r="L80" s="20" t="n">
        <f aca="false">'INVEST ET FINANCEMENT'!G$61</f>
        <v>0</v>
      </c>
      <c r="M80" s="20" t="n">
        <v>0</v>
      </c>
      <c r="N80" s="20" t="n">
        <f aca="false">'INVEST ET FINANCEMENT'!H$61</f>
        <v>0</v>
      </c>
      <c r="O80" s="20" t="n">
        <v>0</v>
      </c>
    </row>
    <row r="81" customFormat="false" ht="15" hidden="false" customHeight="false" outlineLevel="0" collapsed="false">
      <c r="A81" s="32" t="n">
        <v>672301</v>
      </c>
      <c r="B81" s="12" t="s">
        <v>289</v>
      </c>
      <c r="C81" s="13" t="s">
        <v>288</v>
      </c>
      <c r="D81" s="24" t="n">
        <v>3965478</v>
      </c>
      <c r="E81" s="24" t="n">
        <v>0</v>
      </c>
      <c r="F81" s="20" t="n">
        <f aca="false">'INVEST ET FINANCEMENT'!D$62</f>
        <v>849575.52</v>
      </c>
      <c r="G81" s="20" t="n">
        <v>0</v>
      </c>
      <c r="H81" s="20" t="n">
        <f aca="false">'INVEST ET FINANCEMENT'!E$62</f>
        <v>0</v>
      </c>
      <c r="I81" s="20" t="n">
        <v>0</v>
      </c>
      <c r="J81" s="20" t="n">
        <f aca="false">'INVEST ET FINANCEMENT'!F$62</f>
        <v>0</v>
      </c>
      <c r="K81" s="20" t="n">
        <v>0</v>
      </c>
      <c r="L81" s="20" t="n">
        <f aca="false">'INVEST ET FINANCEMENT'!G$62</f>
        <v>0</v>
      </c>
      <c r="M81" s="20" t="n">
        <v>0</v>
      </c>
      <c r="N81" s="20" t="n">
        <f aca="false">'INVEST ET FINANCEMENT'!H$62</f>
        <v>0</v>
      </c>
      <c r="O81" s="20" t="n">
        <v>0</v>
      </c>
    </row>
    <row r="82" customFormat="false" ht="15" hidden="false" customHeight="false" outlineLevel="0" collapsed="false">
      <c r="A82" s="32" t="n">
        <v>681301</v>
      </c>
      <c r="B82" s="12" t="s">
        <v>290</v>
      </c>
      <c r="C82" s="13" t="s">
        <v>291</v>
      </c>
      <c r="D82" s="24" t="n">
        <v>19282845</v>
      </c>
      <c r="E82" s="24" t="n">
        <v>0</v>
      </c>
      <c r="F82" s="20" t="n">
        <f aca="false">'INVEST ET FINANCEMENT'!D$31</f>
        <v>19282845</v>
      </c>
      <c r="G82" s="20" t="n">
        <v>0</v>
      </c>
      <c r="H82" s="20" t="n">
        <f aca="false">'INVEST ET FINANCEMENT'!E$31</f>
        <v>19282845</v>
      </c>
      <c r="I82" s="20" t="n">
        <v>0</v>
      </c>
      <c r="J82" s="20" t="n">
        <f aca="false">'INVEST ET FINANCEMENT'!F$31</f>
        <v>19282845</v>
      </c>
      <c r="K82" s="20" t="n">
        <v>0</v>
      </c>
      <c r="L82" s="20" t="n">
        <f aca="false">'INVEST ET FINANCEMENT'!G$31</f>
        <v>3816481</v>
      </c>
      <c r="M82" s="20" t="n">
        <v>0</v>
      </c>
      <c r="N82" s="20" t="n">
        <f aca="false">'INVEST ET FINANCEMENT'!H$31</f>
        <v>0</v>
      </c>
      <c r="O82" s="20" t="n">
        <v>0</v>
      </c>
    </row>
    <row r="83" customFormat="false" ht="15" hidden="false" customHeight="false" outlineLevel="0" collapsed="false">
      <c r="A83" s="32" t="n">
        <v>681302</v>
      </c>
      <c r="B83" s="12" t="s">
        <v>292</v>
      </c>
      <c r="C83" s="13" t="s">
        <v>291</v>
      </c>
      <c r="D83" s="24" t="n">
        <v>44854932</v>
      </c>
      <c r="E83" s="24" t="n">
        <v>0</v>
      </c>
      <c r="F83" s="20" t="n">
        <f aca="false">'INVEST ET FINANCEMENT'!D$34</f>
        <v>50854932</v>
      </c>
      <c r="G83" s="20" t="n">
        <v>0</v>
      </c>
      <c r="H83" s="20" t="n">
        <f aca="false">'INVEST ET FINANCEMENT'!E$34</f>
        <v>56854932</v>
      </c>
      <c r="I83" s="20" t="n">
        <v>0</v>
      </c>
      <c r="J83" s="20" t="n">
        <f aca="false">'INVEST ET FINANCEMENT'!F$34</f>
        <v>62854932</v>
      </c>
      <c r="K83" s="20" t="n">
        <v>0</v>
      </c>
      <c r="L83" s="20" t="n">
        <f aca="false">'INVEST ET FINANCEMENT'!G$34</f>
        <v>68854932</v>
      </c>
      <c r="M83" s="20" t="n">
        <v>0</v>
      </c>
      <c r="N83" s="20" t="n">
        <f aca="false">'INVEST ET FINANCEMENT'!H$34</f>
        <v>74854932</v>
      </c>
      <c r="O83" s="20" t="n">
        <v>0</v>
      </c>
    </row>
    <row r="84" customFormat="false" ht="15" hidden="false" customHeight="false" outlineLevel="0" collapsed="false">
      <c r="A84" s="32" t="n">
        <v>681303</v>
      </c>
      <c r="B84" s="12" t="s">
        <v>293</v>
      </c>
      <c r="C84" s="13" t="s">
        <v>291</v>
      </c>
      <c r="D84" s="24" t="n">
        <v>4934884</v>
      </c>
      <c r="E84" s="24" t="n">
        <v>0</v>
      </c>
      <c r="F84" s="20" t="n">
        <f aca="false">'INVEST ET FINANCEMENT'!D$37</f>
        <v>7434884</v>
      </c>
      <c r="G84" s="20" t="n">
        <v>0</v>
      </c>
      <c r="H84" s="20" t="n">
        <f aca="false">'INVEST ET FINANCEMENT'!E$37</f>
        <v>9644173</v>
      </c>
      <c r="I84" s="20" t="n">
        <v>0</v>
      </c>
      <c r="J84" s="20" t="n">
        <f aca="false">'INVEST ET FINANCEMENT'!F$37</f>
        <v>5000000</v>
      </c>
      <c r="K84" s="20" t="n">
        <v>0</v>
      </c>
      <c r="L84" s="20" t="n">
        <f aca="false">'INVEST ET FINANCEMENT'!G$37</f>
        <v>5000000</v>
      </c>
      <c r="M84" s="20" t="n">
        <v>0</v>
      </c>
      <c r="N84" s="20" t="n">
        <f aca="false">'INVEST ET FINANCEMENT'!H$37</f>
        <v>5000000</v>
      </c>
      <c r="O84" s="20" t="n">
        <v>0</v>
      </c>
    </row>
    <row r="85" customFormat="false" ht="15" hidden="false" customHeight="false" outlineLevel="0" collapsed="false">
      <c r="A85" s="32" t="n">
        <v>681304</v>
      </c>
      <c r="B85" s="12" t="s">
        <v>294</v>
      </c>
      <c r="C85" s="13" t="s">
        <v>291</v>
      </c>
      <c r="D85" s="24" t="n">
        <v>10760638</v>
      </c>
      <c r="E85" s="24" t="n">
        <v>0</v>
      </c>
      <c r="F85" s="20" t="n">
        <f aca="false">'INVEST ET FINANCEMENT'!D$40</f>
        <v>24093971.3333333</v>
      </c>
      <c r="G85" s="20" t="n">
        <v>0</v>
      </c>
      <c r="H85" s="20" t="n">
        <f aca="false">'INVEST ET FINANCEMENT'!E$40</f>
        <v>24093971.3333333</v>
      </c>
      <c r="I85" s="20" t="n">
        <v>0</v>
      </c>
      <c r="J85" s="20" t="n">
        <f aca="false">'INVEST ET FINANCEMENT'!F$40</f>
        <v>24093971.3333333</v>
      </c>
      <c r="K85" s="20" t="n">
        <v>0</v>
      </c>
      <c r="L85" s="20" t="n">
        <f aca="false">'INVEST ET FINANCEMENT'!G$40</f>
        <v>24093971.3333333</v>
      </c>
      <c r="M85" s="20" t="n">
        <v>0</v>
      </c>
      <c r="N85" s="20" t="n">
        <f aca="false">'INVEST ET FINANCEMENT'!H$40</f>
        <v>24093971.3333333</v>
      </c>
      <c r="O85" s="20" t="n">
        <v>0</v>
      </c>
    </row>
    <row r="86" customFormat="false" ht="15" hidden="false" customHeight="false" outlineLevel="0" collapsed="false">
      <c r="A86" s="32" t="n">
        <v>691100</v>
      </c>
      <c r="B86" s="12" t="s">
        <v>295</v>
      </c>
      <c r="C86" s="13" t="s">
        <v>291</v>
      </c>
      <c r="D86" s="24" t="n">
        <v>6059296</v>
      </c>
      <c r="E86" s="24" t="n">
        <v>0</v>
      </c>
      <c r="F86" s="15" t="n">
        <f aca="false">HYPOTHESES!D$48</f>
        <v>6059296</v>
      </c>
      <c r="G86" s="20" t="n">
        <v>0</v>
      </c>
      <c r="H86" s="15" t="n">
        <f aca="false">HYPOTHESES!E$48</f>
        <v>6059296</v>
      </c>
      <c r="I86" s="20" t="n">
        <v>0</v>
      </c>
      <c r="J86" s="15" t="n">
        <f aca="false">HYPOTHESES!F$48</f>
        <v>6059296</v>
      </c>
      <c r="K86" s="20" t="n">
        <v>0</v>
      </c>
      <c r="L86" s="15" t="n">
        <f aca="false">HYPOTHESES!G$48</f>
        <v>6059296</v>
      </c>
      <c r="M86" s="20" t="n">
        <v>0</v>
      </c>
      <c r="N86" s="15" t="n">
        <f aca="false">HYPOTHESES!H$48</f>
        <v>6059296</v>
      </c>
      <c r="O86" s="20" t="n">
        <v>0</v>
      </c>
    </row>
    <row r="87" customFormat="false" ht="15" hidden="false" customHeight="false" outlineLevel="0" collapsed="false">
      <c r="A87" s="27" t="n">
        <v>705100</v>
      </c>
      <c r="B87" s="28" t="s">
        <v>296</v>
      </c>
      <c r="C87" s="29" t="s">
        <v>297</v>
      </c>
      <c r="D87" s="30" t="n">
        <v>0</v>
      </c>
      <c r="E87" s="30" t="n">
        <v>701026695</v>
      </c>
      <c r="F87" s="31" t="n">
        <v>0</v>
      </c>
      <c r="G87" s="33" t="n">
        <f aca="false">HYPOTHESES!D$40</f>
        <v>736078029.75</v>
      </c>
      <c r="H87" s="31" t="n">
        <v>0</v>
      </c>
      <c r="I87" s="33" t="n">
        <f aca="false">HYPOTHESES!E$40</f>
        <v>772881931.2375</v>
      </c>
      <c r="J87" s="31" t="n">
        <v>0</v>
      </c>
      <c r="K87" s="33" t="n">
        <f aca="false">HYPOTHESES!F$40</f>
        <v>811526027.799375</v>
      </c>
      <c r="L87" s="31" t="n">
        <v>0</v>
      </c>
      <c r="M87" s="33" t="n">
        <f aca="false">HYPOTHESES!G$40</f>
        <v>852102329.189344</v>
      </c>
      <c r="N87" s="31" t="n">
        <v>0</v>
      </c>
      <c r="O87" s="33" t="n">
        <f aca="false">HYPOTHESES!H$40</f>
        <v>894707445.648811</v>
      </c>
    </row>
    <row r="88" customFormat="false" ht="15" hidden="false" customHeight="false" outlineLevel="0" collapsed="false">
      <c r="A88" s="32" t="n">
        <v>771200</v>
      </c>
      <c r="B88" s="12" t="s">
        <v>298</v>
      </c>
      <c r="C88" s="13" t="s">
        <v>299</v>
      </c>
      <c r="D88" s="24" t="n">
        <v>0</v>
      </c>
      <c r="E88" s="24" t="n">
        <v>848594</v>
      </c>
      <c r="F88" s="20" t="n">
        <v>0</v>
      </c>
      <c r="G88" s="15" t="n">
        <f aca="false">HYPOTHESES!D$49</f>
        <v>848594</v>
      </c>
      <c r="H88" s="20" t="n">
        <v>0</v>
      </c>
      <c r="I88" s="15" t="n">
        <f aca="false">HYPOTHESES!E$49</f>
        <v>848594</v>
      </c>
      <c r="J88" s="20" t="n">
        <v>0</v>
      </c>
      <c r="K88" s="15" t="n">
        <f aca="false">HYPOTHESES!F$49</f>
        <v>848594</v>
      </c>
      <c r="L88" s="20" t="n">
        <v>0</v>
      </c>
      <c r="M88" s="15" t="n">
        <f aca="false">HYPOTHESES!G$49</f>
        <v>848594</v>
      </c>
      <c r="N88" s="20" t="n">
        <v>0</v>
      </c>
      <c r="O88" s="15" t="n">
        <f aca="false">HYPOTHESES!H$49</f>
        <v>848594</v>
      </c>
    </row>
    <row r="89" customFormat="false" ht="15" hidden="false" customHeight="false" outlineLevel="0" collapsed="false">
      <c r="A89" s="27" t="n">
        <v>891100</v>
      </c>
      <c r="B89" s="28" t="s">
        <v>300</v>
      </c>
      <c r="C89" s="29" t="s">
        <v>301</v>
      </c>
      <c r="D89" s="30" t="n">
        <v>24232959</v>
      </c>
      <c r="E89" s="30" t="n">
        <v>0</v>
      </c>
      <c r="F89" s="33" t="n">
        <f aca="false">IF(HYPOTHESES!D$52&gt;=HYPOTHESES!D$53,HYPOTHESES!D$54,0)</f>
        <v>22181186.3137167</v>
      </c>
      <c r="G89" s="31" t="n">
        <v>0</v>
      </c>
      <c r="H89" s="33" t="n">
        <f aca="false">IF(HYPOTHESES!E$52&gt;=HYPOTHESES!E$53,HYPOTHESES!E$54,0)</f>
        <v>23233150.7845692</v>
      </c>
      <c r="I89" s="31" t="n">
        <v>0</v>
      </c>
      <c r="J89" s="33" t="n">
        <f aca="false">IF(HYPOTHESES!F$52&gt;=HYPOTHESES!F$53,HYPOTHESES!F$54,0)</f>
        <v>25910852.1014643</v>
      </c>
      <c r="K89" s="31" t="n">
        <v>0</v>
      </c>
      <c r="L89" s="33" t="n">
        <f aca="false">IF(HYPOTHESES!G$52&gt;=HYPOTHESES!G$53,HYPOTHESES!G$54,0)</f>
        <v>31028516.3357042</v>
      </c>
      <c r="M89" s="31" t="n">
        <v>0</v>
      </c>
      <c r="N89" s="33" t="n">
        <f aca="false">IF(HYPOTHESES!H$52&gt;=HYPOTHESES!H$53,HYPOTHESES!H$54,0)</f>
        <v>33371263.481656</v>
      </c>
      <c r="O89" s="31" t="n">
        <v>0</v>
      </c>
    </row>
    <row r="90" customFormat="false" ht="15" hidden="false" customHeight="false" outlineLevel="0" collapsed="false">
      <c r="A90" s="32" t="n">
        <v>895000</v>
      </c>
      <c r="B90" s="12" t="s">
        <v>302</v>
      </c>
      <c r="C90" s="13" t="s">
        <v>301</v>
      </c>
      <c r="D90" s="24" t="n">
        <v>0</v>
      </c>
      <c r="E90" s="24" t="n">
        <v>0</v>
      </c>
      <c r="F90" s="15" t="n">
        <f aca="false">IF(HYPOTHESES!D$52&lt;HYPOTHESES!D$53,HYPOTHESES!D$54,0)</f>
        <v>0</v>
      </c>
      <c r="G90" s="20" t="n">
        <v>0</v>
      </c>
      <c r="H90" s="15" t="n">
        <f aca="false">IF(HYPOTHESES!E$52&lt;HYPOTHESES!E$53,HYPOTHESES!E$54,0)</f>
        <v>0</v>
      </c>
      <c r="I90" s="20" t="n">
        <v>0</v>
      </c>
      <c r="J90" s="15" t="n">
        <f aca="false">IF(HYPOTHESES!F$52&lt;HYPOTHESES!F$53,HYPOTHESES!F$54,0)</f>
        <v>0</v>
      </c>
      <c r="K90" s="20" t="n">
        <v>0</v>
      </c>
      <c r="L90" s="15" t="n">
        <f aca="false">IF(HYPOTHESES!G$52&lt;HYPOTHESES!G$53,HYPOTHESES!G$54,0)</f>
        <v>0</v>
      </c>
      <c r="M90" s="20" t="n">
        <v>0</v>
      </c>
      <c r="N90" s="15" t="n">
        <f aca="false">IF(HYPOTHESES!H$52&lt;HYPOTHESES!H$53,HYPOTHESES!H$54,0)</f>
        <v>0</v>
      </c>
      <c r="O90" s="20" t="n">
        <v>0</v>
      </c>
    </row>
    <row r="92" customFormat="false" ht="15" hidden="false" customHeight="false" outlineLevel="0" collapsed="false">
      <c r="B92" s="34" t="s">
        <v>303</v>
      </c>
      <c r="D92" s="35" t="n">
        <f aca="false">SUM(D5:D90)</f>
        <v>2342400758</v>
      </c>
      <c r="E92" s="35" t="n">
        <f aca="false">SUM(E5:E90)</f>
        <v>2342400758</v>
      </c>
      <c r="F92" s="35" t="n">
        <f aca="false">SUM(F5:F90)</f>
        <v>2480170437.65006</v>
      </c>
      <c r="G92" s="35" t="n">
        <f aca="false">SUM(G5:G90)</f>
        <v>2480170437.65006</v>
      </c>
      <c r="H92" s="35" t="n">
        <f aca="false">SUM(H5:H90)</f>
        <v>2620863824.51666</v>
      </c>
      <c r="I92" s="35" t="n">
        <f aca="false">SUM(I5:I90)</f>
        <v>2620863824.51666</v>
      </c>
      <c r="J92" s="35" t="n">
        <f aca="false">SUM(J5:J90)</f>
        <v>2857473570.82125</v>
      </c>
      <c r="K92" s="35" t="n">
        <f aca="false">SUM(K5:K90)</f>
        <v>2857473570.82125</v>
      </c>
      <c r="L92" s="35" t="n">
        <f aca="false">SUM(L5:L90)</f>
        <v>3111992652.96447</v>
      </c>
      <c r="M92" s="35" t="n">
        <f aca="false">SUM(M5:M90)</f>
        <v>3111992652.96447</v>
      </c>
      <c r="N92" s="35" t="n">
        <f aca="false">SUM(N5:N90)</f>
        <v>3354626649.89678</v>
      </c>
      <c r="O92" s="35" t="n">
        <f aca="false">SUM(O5:O90)</f>
        <v>3354626649.89678</v>
      </c>
    </row>
    <row r="93" customFormat="false" ht="15" hidden="false" customHeight="false" outlineLevel="0" collapsed="false">
      <c r="B93" s="4" t="s">
        <v>304</v>
      </c>
      <c r="D93" s="21" t="n">
        <f aca="false">D92-E92</f>
        <v>0</v>
      </c>
      <c r="F93" s="21" t="n">
        <f aca="false">F92-G92</f>
        <v>0</v>
      </c>
      <c r="H93" s="21" t="n">
        <f aca="false">H92-I92</f>
        <v>0</v>
      </c>
      <c r="J93" s="21" t="n">
        <f aca="false">J92-K92</f>
        <v>0</v>
      </c>
      <c r="L93" s="21" t="n">
        <f aca="false">L92-M92</f>
        <v>0</v>
      </c>
      <c r="N93" s="21" t="n">
        <f aca="false">N92-O92</f>
        <v>0</v>
      </c>
    </row>
    <row r="95" customFormat="false" ht="15" hidden="false" customHeight="false" outlineLevel="0" collapsed="false">
      <c r="A95" s="7" t="s">
        <v>305</v>
      </c>
    </row>
  </sheetData>
  <mergeCells count="7">
    <mergeCell ref="A1:O1"/>
    <mergeCell ref="D3:E3"/>
    <mergeCell ref="F3:G3"/>
    <mergeCell ref="H3:I3"/>
    <mergeCell ref="J3:K3"/>
    <mergeCell ref="L3:M3"/>
    <mergeCell ref="N3:O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A1:I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72"/>
    <col collapsed="false" customWidth="true" hidden="false" outlineLevel="0" max="8" min="3" style="0" width="16"/>
    <col collapsed="false" customWidth="true" hidden="false" outlineLevel="0" max="9" min="9" style="0" width="13"/>
  </cols>
  <sheetData>
    <row r="1" customFormat="false" ht="24" hidden="false" customHeight="true" outlineLevel="0" collapsed="false">
      <c r="A1" s="1" t="s">
        <v>306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307</v>
      </c>
    </row>
    <row r="3" customFormat="false" ht="15" hidden="false" customHeight="false" outlineLevel="0" collapsed="false">
      <c r="A3" s="4" t="str">
        <f aca="false">"Entité : "&amp;HYPOTHESES!$C$4</f>
        <v>Entité : MON ENTREPRISE</v>
      </c>
    </row>
    <row r="5" customFormat="false" ht="15" hidden="false" customHeight="false" outlineLevel="0" collapsed="false">
      <c r="A5" s="36" t="s">
        <v>308</v>
      </c>
      <c r="B5" s="36" t="s">
        <v>309</v>
      </c>
      <c r="C5" s="36" t="str">
        <f aca="false">"Réel "&amp;HYPOTHESES!$C$5</f>
        <v>Réel 2024</v>
      </c>
      <c r="D5" s="37" t="n">
        <f aca="false">HYPOTHESES!$C$5+1</f>
        <v>2025</v>
      </c>
      <c r="E5" s="37" t="n">
        <f aca="false">HYPOTHESES!$C$5+2</f>
        <v>2026</v>
      </c>
      <c r="F5" s="37" t="n">
        <f aca="false">HYPOTHESES!$C$5+3</f>
        <v>2027</v>
      </c>
      <c r="G5" s="37" t="n">
        <f aca="false">HYPOTHESES!$C$5+4</f>
        <v>2028</v>
      </c>
      <c r="H5" s="37" t="n">
        <f aca="false">HYPOTHESES!$C$5+5</f>
        <v>2029</v>
      </c>
      <c r="I5" s="36" t="s">
        <v>310</v>
      </c>
    </row>
    <row r="6" customFormat="false" ht="15" hidden="false" customHeight="false" outlineLevel="0" collapsed="false">
      <c r="A6" s="13" t="s">
        <v>311</v>
      </c>
      <c r="B6" s="12" t="s">
        <v>312</v>
      </c>
      <c r="C6" s="15" t="n">
        <f aca="false">SUMIFS(BALANCES!$D:$D,BALANCES!$C:$C,"AD")-(SUMIFS(BALANCES!$E:$E,BALANCES!$C:$C,"AD"))</f>
        <v>0</v>
      </c>
      <c r="D6" s="15" t="n">
        <f aca="false">SUMIFS(BALANCES!$F:$F,BALANCES!$C:$C,"AD")-(SUMIFS(BALANCES!$G:$G,BALANCES!$C:$C,"AD"))</f>
        <v>0</v>
      </c>
      <c r="E6" s="15" t="n">
        <f aca="false">SUMIFS(BALANCES!$H:$H,BALANCES!$C:$C,"AD")-(SUMIFS(BALANCES!$I:$I,BALANCES!$C:$C,"AD"))</f>
        <v>0</v>
      </c>
      <c r="F6" s="15" t="n">
        <f aca="false">SUMIFS(BALANCES!$J:$J,BALANCES!$C:$C,"AD")-(SUMIFS(BALANCES!$K:$K,BALANCES!$C:$C,"AD"))</f>
        <v>0</v>
      </c>
      <c r="G6" s="15" t="n">
        <f aca="false">SUMIFS(BALANCES!$L:$L,BALANCES!$C:$C,"AD")-(SUMIFS(BALANCES!$M:$M,BALANCES!$C:$C,"AD"))</f>
        <v>0</v>
      </c>
      <c r="H6" s="15" t="n">
        <f aca="false">SUMIFS(BALANCES!$N:$N,BALANCES!$C:$C,"AD")-(SUMIFS(BALANCES!$O:$O,BALANCES!$C:$C,"AD"))</f>
        <v>0</v>
      </c>
    </row>
    <row r="7" customFormat="false" ht="15" hidden="false" customHeight="false" outlineLevel="0" collapsed="false">
      <c r="A7" s="13" t="s">
        <v>313</v>
      </c>
      <c r="B7" s="12" t="s">
        <v>314</v>
      </c>
      <c r="C7" s="15" t="n">
        <f aca="false">SUMIFS(BALANCES!$D:$D,BALANCES!$C:$C,"AJ")-(SUMIFS(BALANCES!$E:$E,BALANCES!$C:$C,"AJ"))</f>
        <v>0</v>
      </c>
      <c r="D7" s="15" t="n">
        <f aca="false">SUMIFS(BALANCES!$F:$F,BALANCES!$C:$C,"AJ")-(SUMIFS(BALANCES!$G:$G,BALANCES!$C:$C,"AJ"))</f>
        <v>0</v>
      </c>
      <c r="E7" s="15" t="n">
        <f aca="false">SUMIFS(BALANCES!$H:$H,BALANCES!$C:$C,"AJ")-(SUMIFS(BALANCES!$I:$I,BALANCES!$C:$C,"AJ"))</f>
        <v>0</v>
      </c>
      <c r="F7" s="15" t="n">
        <f aca="false">SUMIFS(BALANCES!$J:$J,BALANCES!$C:$C,"AJ")-(SUMIFS(BALANCES!$K:$K,BALANCES!$C:$C,"AJ"))</f>
        <v>0</v>
      </c>
      <c r="G7" s="15" t="n">
        <f aca="false">SUMIFS(BALANCES!$L:$L,BALANCES!$C:$C,"AJ")-(SUMIFS(BALANCES!$M:$M,BALANCES!$C:$C,"AJ"))</f>
        <v>0</v>
      </c>
      <c r="H7" s="15" t="n">
        <f aca="false">SUMIFS(BALANCES!$N:$N,BALANCES!$C:$C,"AJ")-(SUMIFS(BALANCES!$O:$O,BALANCES!$C:$C,"AJ"))</f>
        <v>0</v>
      </c>
    </row>
    <row r="8" customFormat="false" ht="15" hidden="false" customHeight="false" outlineLevel="0" collapsed="false">
      <c r="A8" s="13" t="s">
        <v>315</v>
      </c>
      <c r="B8" s="12" t="s">
        <v>316</v>
      </c>
      <c r="C8" s="15" t="n">
        <f aca="false">SUMIFS(BALANCES!$D:$D,BALANCES!$C:$C,"AK")-(SUMIFS(BALANCES!$E:$E,BALANCES!$C:$C,"AK"))</f>
        <v>0</v>
      </c>
      <c r="D8" s="15" t="n">
        <f aca="false">SUMIFS(BALANCES!$F:$F,BALANCES!$C:$C,"AK")-(SUMIFS(BALANCES!$G:$G,BALANCES!$C:$C,"AK"))</f>
        <v>0</v>
      </c>
      <c r="E8" s="15" t="n">
        <f aca="false">SUMIFS(BALANCES!$H:$H,BALANCES!$C:$C,"AK")-(SUMIFS(BALANCES!$I:$I,BALANCES!$C:$C,"AK"))</f>
        <v>0</v>
      </c>
      <c r="F8" s="15" t="n">
        <f aca="false">SUMIFS(BALANCES!$J:$J,BALANCES!$C:$C,"AK")-(SUMIFS(BALANCES!$K:$K,BALANCES!$C:$C,"AK"))</f>
        <v>0</v>
      </c>
      <c r="G8" s="15" t="n">
        <f aca="false">SUMIFS(BALANCES!$L:$L,BALANCES!$C:$C,"AK")-(SUMIFS(BALANCES!$M:$M,BALANCES!$C:$C,"AK"))</f>
        <v>0</v>
      </c>
      <c r="H8" s="15" t="n">
        <f aca="false">SUMIFS(BALANCES!$N:$N,BALANCES!$C:$C,"AK")-(SUMIFS(BALANCES!$O:$O,BALANCES!$C:$C,"AK"))</f>
        <v>0</v>
      </c>
    </row>
    <row r="9" customFormat="false" ht="15" hidden="false" customHeight="false" outlineLevel="0" collapsed="false">
      <c r="A9" s="13" t="s">
        <v>201</v>
      </c>
      <c r="B9" s="12" t="s">
        <v>317</v>
      </c>
      <c r="C9" s="15" t="n">
        <f aca="false">SUMIFS(BALANCES!$D:$D,BALANCES!$C:$C,"AL")-(SUMIFS(BALANCES!$E:$E,BALANCES!$C:$C,"AL"))</f>
        <v>61665016</v>
      </c>
      <c r="D9" s="15" t="n">
        <f aca="false">SUMIFS(BALANCES!$F:$F,BALANCES!$C:$C,"AL")-(SUMIFS(BALANCES!$G:$G,BALANCES!$C:$C,"AL"))</f>
        <v>42382171</v>
      </c>
      <c r="E9" s="15" t="n">
        <f aca="false">SUMIFS(BALANCES!$H:$H,BALANCES!$C:$C,"AL")-(SUMIFS(BALANCES!$I:$I,BALANCES!$C:$C,"AL"))</f>
        <v>23099326</v>
      </c>
      <c r="F9" s="15" t="n">
        <f aca="false">SUMIFS(BALANCES!$J:$J,BALANCES!$C:$C,"AL")-(SUMIFS(BALANCES!$K:$K,BALANCES!$C:$C,"AL"))</f>
        <v>3816481</v>
      </c>
      <c r="G9" s="15" t="n">
        <f aca="false">SUMIFS(BALANCES!$L:$L,BALANCES!$C:$C,"AL")-(SUMIFS(BALANCES!$M:$M,BALANCES!$C:$C,"AL"))</f>
        <v>0</v>
      </c>
      <c r="H9" s="15" t="n">
        <f aca="false">SUMIFS(BALANCES!$N:$N,BALANCES!$C:$C,"AL")-(SUMIFS(BALANCES!$O:$O,BALANCES!$C:$C,"AL"))</f>
        <v>0</v>
      </c>
    </row>
    <row r="10" customFormat="false" ht="15" hidden="false" customHeight="false" outlineLevel="0" collapsed="false">
      <c r="A10" s="13" t="s">
        <v>203</v>
      </c>
      <c r="B10" s="12" t="s">
        <v>318</v>
      </c>
      <c r="C10" s="15" t="n">
        <f aca="false">SUMIFS(BALANCES!$D:$D,BALANCES!$C:$C,"AM")-(SUMIFS(BALANCES!$E:$E,BALANCES!$C:$C,"AM"))</f>
        <v>267440561</v>
      </c>
      <c r="D10" s="15" t="n">
        <f aca="false">SUMIFS(BALANCES!$F:$F,BALANCES!$C:$C,"AM")-(SUMIFS(BALANCES!$G:$G,BALANCES!$C:$C,"AM"))</f>
        <v>244150745</v>
      </c>
      <c r="E10" s="15" t="n">
        <f aca="false">SUMIFS(BALANCES!$H:$H,BALANCES!$C:$C,"AM")-(SUMIFS(BALANCES!$I:$I,BALANCES!$C:$C,"AM"))</f>
        <v>212651640</v>
      </c>
      <c r="F10" s="15" t="n">
        <f aca="false">SUMIFS(BALANCES!$J:$J,BALANCES!$C:$C,"AM")-(SUMIFS(BALANCES!$K:$K,BALANCES!$C:$C,"AM"))</f>
        <v>179796708</v>
      </c>
      <c r="G10" s="15" t="n">
        <f aca="false">SUMIFS(BALANCES!$L:$L,BALANCES!$C:$C,"AM")-(SUMIFS(BALANCES!$M:$M,BALANCES!$C:$C,"AM"))</f>
        <v>140941776</v>
      </c>
      <c r="H10" s="15" t="n">
        <f aca="false">SUMIFS(BALANCES!$N:$N,BALANCES!$C:$C,"AM")-(SUMIFS(BALANCES!$O:$O,BALANCES!$C:$C,"AM"))</f>
        <v>96086844</v>
      </c>
    </row>
    <row r="11" customFormat="false" ht="15" hidden="false" customHeight="false" outlineLevel="0" collapsed="false">
      <c r="A11" s="13" t="s">
        <v>207</v>
      </c>
      <c r="B11" s="12" t="s">
        <v>113</v>
      </c>
      <c r="C11" s="15" t="n">
        <f aca="false">SUMIFS(BALANCES!$D:$D,BALANCES!$C:$C,"AN")-(SUMIFS(BALANCES!$E:$E,BALANCES!$C:$C,"AN"))</f>
        <v>73755603</v>
      </c>
      <c r="D11" s="15" t="n">
        <f aca="false">SUMIFS(BALANCES!$F:$F,BALANCES!$C:$C,"AN")-(SUMIFS(BALANCES!$G:$G,BALANCES!$C:$C,"AN"))</f>
        <v>89661631.6666667</v>
      </c>
      <c r="E11" s="15" t="n">
        <f aca="false">SUMIFS(BALANCES!$H:$H,BALANCES!$C:$C,"AN")-(SUMIFS(BALANCES!$I:$I,BALANCES!$C:$C,"AN"))</f>
        <v>65567660.3333334</v>
      </c>
      <c r="F11" s="15" t="n">
        <f aca="false">SUMIFS(BALANCES!$J:$J,BALANCES!$C:$C,"AN")-(SUMIFS(BALANCES!$K:$K,BALANCES!$C:$C,"AN"))</f>
        <v>41473689.0000001</v>
      </c>
      <c r="G11" s="15" t="n">
        <f aca="false">SUMIFS(BALANCES!$L:$L,BALANCES!$C:$C,"AN")-(SUMIFS(BALANCES!$M:$M,BALANCES!$C:$C,"AN"))</f>
        <v>57379717.6666667</v>
      </c>
      <c r="H11" s="15" t="n">
        <f aca="false">SUMIFS(BALANCES!$N:$N,BALANCES!$C:$C,"AN")-(SUMIFS(BALANCES!$O:$O,BALANCES!$C:$C,"AN"))</f>
        <v>33285746.3333334</v>
      </c>
    </row>
    <row r="12" customFormat="false" ht="15" hidden="false" customHeight="false" outlineLevel="0" collapsed="false">
      <c r="A12" s="34" t="s">
        <v>141</v>
      </c>
      <c r="B12" s="34" t="s">
        <v>319</v>
      </c>
      <c r="C12" s="35" t="n">
        <f aca="false">C7+C8+C9+C10+C11</f>
        <v>402861180</v>
      </c>
      <c r="D12" s="35" t="n">
        <f aca="false">D7+D8+D9+D10+D11</f>
        <v>376194547.666667</v>
      </c>
      <c r="E12" s="35" t="n">
        <f aca="false">E7+E8+E9+E10+E11</f>
        <v>301318626.333333</v>
      </c>
      <c r="F12" s="35" t="n">
        <f aca="false">F7+F8+F9+F10+F11</f>
        <v>225086878</v>
      </c>
      <c r="G12" s="35" t="n">
        <f aca="false">G7+G8+G9+G10+G11</f>
        <v>198321493.666667</v>
      </c>
      <c r="H12" s="35" t="n">
        <f aca="false">H7+H8+H9+H10+H11</f>
        <v>129372590.333333</v>
      </c>
      <c r="I12" s="38"/>
    </row>
    <row r="13" customFormat="false" ht="15" hidden="false" customHeight="false" outlineLevel="0" collapsed="false">
      <c r="A13" s="13" t="s">
        <v>320</v>
      </c>
      <c r="B13" s="12" t="s">
        <v>321</v>
      </c>
      <c r="C13" s="15" t="n">
        <f aca="false">SUMIFS(BALANCES!$D:$D,BALANCES!$C:$C,"AP")-(SUMIFS(BALANCES!$E:$E,BALANCES!$C:$C,"AP"))</f>
        <v>0</v>
      </c>
      <c r="D13" s="15" t="n">
        <f aca="false">SUMIFS(BALANCES!$F:$F,BALANCES!$C:$C,"AP")-(SUMIFS(BALANCES!$G:$G,BALANCES!$C:$C,"AP"))</f>
        <v>0</v>
      </c>
      <c r="E13" s="15" t="n">
        <f aca="false">SUMIFS(BALANCES!$H:$H,BALANCES!$C:$C,"AP")-(SUMIFS(BALANCES!$I:$I,BALANCES!$C:$C,"AP"))</f>
        <v>0</v>
      </c>
      <c r="F13" s="15" t="n">
        <f aca="false">SUMIFS(BALANCES!$J:$J,BALANCES!$C:$C,"AP")-(SUMIFS(BALANCES!$K:$K,BALANCES!$C:$C,"AP"))</f>
        <v>0</v>
      </c>
      <c r="G13" s="15" t="n">
        <f aca="false">SUMIFS(BALANCES!$L:$L,BALANCES!$C:$C,"AP")-(SUMIFS(BALANCES!$M:$M,BALANCES!$C:$C,"AP"))</f>
        <v>0</v>
      </c>
      <c r="H13" s="15" t="n">
        <f aca="false">SUMIFS(BALANCES!$N:$N,BALANCES!$C:$C,"AP")-(SUMIFS(BALANCES!$O:$O,BALANCES!$C:$C,"AP"))</f>
        <v>0</v>
      </c>
    </row>
    <row r="14" customFormat="false" ht="15" hidden="false" customHeight="false" outlineLevel="0" collapsed="false">
      <c r="A14" s="13" t="s">
        <v>322</v>
      </c>
      <c r="B14" s="12" t="s">
        <v>323</v>
      </c>
      <c r="C14" s="15" t="n">
        <f aca="false">SUMIFS(BALANCES!$D:$D,BALANCES!$C:$C,"AR")-(SUMIFS(BALANCES!$E:$E,BALANCES!$C:$C,"AR"))</f>
        <v>0</v>
      </c>
      <c r="D14" s="15" t="n">
        <f aca="false">SUMIFS(BALANCES!$F:$F,BALANCES!$C:$C,"AR")-(SUMIFS(BALANCES!$G:$G,BALANCES!$C:$C,"AR"))</f>
        <v>0</v>
      </c>
      <c r="E14" s="15" t="n">
        <f aca="false">SUMIFS(BALANCES!$H:$H,BALANCES!$C:$C,"AR")-(SUMIFS(BALANCES!$I:$I,BALANCES!$C:$C,"AR"))</f>
        <v>0</v>
      </c>
      <c r="F14" s="15" t="n">
        <f aca="false">SUMIFS(BALANCES!$J:$J,BALANCES!$C:$C,"AR")-(SUMIFS(BALANCES!$K:$K,BALANCES!$C:$C,"AR"))</f>
        <v>0</v>
      </c>
      <c r="G14" s="15" t="n">
        <f aca="false">SUMIFS(BALANCES!$L:$L,BALANCES!$C:$C,"AR")-(SUMIFS(BALANCES!$M:$M,BALANCES!$C:$C,"AR"))</f>
        <v>0</v>
      </c>
      <c r="H14" s="15" t="n">
        <f aca="false">SUMIFS(BALANCES!$N:$N,BALANCES!$C:$C,"AR")-(SUMIFS(BALANCES!$O:$O,BALANCES!$C:$C,"AR"))</f>
        <v>0</v>
      </c>
    </row>
    <row r="15" customFormat="false" ht="15" hidden="false" customHeight="false" outlineLevel="0" collapsed="false">
      <c r="A15" s="13" t="s">
        <v>210</v>
      </c>
      <c r="B15" s="12" t="s">
        <v>324</v>
      </c>
      <c r="C15" s="15" t="n">
        <f aca="false">SUMIFS(BALANCES!$D:$D,BALANCES!$C:$C,"AS")-(SUMIFS(BALANCES!$E:$E,BALANCES!$C:$C,"AS"))</f>
        <v>256420138</v>
      </c>
      <c r="D15" s="15" t="n">
        <f aca="false">SUMIFS(BALANCES!$F:$F,BALANCES!$C:$C,"AS")-(SUMIFS(BALANCES!$G:$G,BALANCES!$C:$C,"AS"))</f>
        <v>256420138</v>
      </c>
      <c r="E15" s="15" t="n">
        <f aca="false">SUMIFS(BALANCES!$H:$H,BALANCES!$C:$C,"AS")-(SUMIFS(BALANCES!$I:$I,BALANCES!$C:$C,"AS"))</f>
        <v>256420138</v>
      </c>
      <c r="F15" s="15" t="n">
        <f aca="false">SUMIFS(BALANCES!$J:$J,BALANCES!$C:$C,"AS")-(SUMIFS(BALANCES!$K:$K,BALANCES!$C:$C,"AS"))</f>
        <v>256420138</v>
      </c>
      <c r="G15" s="15" t="n">
        <f aca="false">SUMIFS(BALANCES!$L:$L,BALANCES!$C:$C,"AS")-(SUMIFS(BALANCES!$M:$M,BALANCES!$C:$C,"AS"))</f>
        <v>256420138</v>
      </c>
      <c r="H15" s="15" t="n">
        <f aca="false">SUMIFS(BALANCES!$N:$N,BALANCES!$C:$C,"AS")-(SUMIFS(BALANCES!$O:$O,BALANCES!$C:$C,"AS"))</f>
        <v>256420138</v>
      </c>
    </row>
    <row r="16" customFormat="false" ht="15" hidden="false" customHeight="false" outlineLevel="0" collapsed="false">
      <c r="A16" s="34" t="s">
        <v>325</v>
      </c>
      <c r="B16" s="34" t="s">
        <v>326</v>
      </c>
      <c r="C16" s="35" t="n">
        <f aca="false">C14+C15</f>
        <v>256420138</v>
      </c>
      <c r="D16" s="35" t="n">
        <f aca="false">D14+D15</f>
        <v>256420138</v>
      </c>
      <c r="E16" s="35" t="n">
        <f aca="false">E14+E15</f>
        <v>256420138</v>
      </c>
      <c r="F16" s="35" t="n">
        <f aca="false">F14+F15</f>
        <v>256420138</v>
      </c>
      <c r="G16" s="35" t="n">
        <f aca="false">G14+G15</f>
        <v>256420138</v>
      </c>
      <c r="H16" s="35" t="n">
        <f aca="false">H14+H15</f>
        <v>256420138</v>
      </c>
      <c r="I16" s="38"/>
    </row>
    <row r="17" customFormat="false" ht="15" hidden="false" customHeight="false" outlineLevel="0" collapsed="false">
      <c r="A17" s="34" t="s">
        <v>327</v>
      </c>
      <c r="B17" s="34" t="s">
        <v>328</v>
      </c>
      <c r="C17" s="35" t="n">
        <f aca="false">C6+C12+C13+C16</f>
        <v>659281318</v>
      </c>
      <c r="D17" s="35" t="n">
        <f aca="false">D6+D12+D13+D16</f>
        <v>632614685.666667</v>
      </c>
      <c r="E17" s="35" t="n">
        <f aca="false">E6+E12+E13+E16</f>
        <v>557738764.333333</v>
      </c>
      <c r="F17" s="35" t="n">
        <f aca="false">F6+F12+F13+F16</f>
        <v>481507016</v>
      </c>
      <c r="G17" s="35" t="n">
        <f aca="false">G6+G12+G13+G16</f>
        <v>454741631.666667</v>
      </c>
      <c r="H17" s="35" t="n">
        <f aca="false">H6+H12+H13+H16</f>
        <v>385792728.333333</v>
      </c>
      <c r="I17" s="39" t="n">
        <f aca="false">IF(OR(C17&lt;=0,H17&lt;=0),"",(H17/C17)^(1/5)-1)</f>
        <v>-0.101627077332156</v>
      </c>
    </row>
    <row r="18" customFormat="false" ht="15" hidden="false" customHeight="false" outlineLevel="0" collapsed="false">
      <c r="A18" s="13" t="s">
        <v>329</v>
      </c>
      <c r="B18" s="12" t="s">
        <v>330</v>
      </c>
      <c r="C18" s="15" t="n">
        <f aca="false">SUMIFS(BALANCES!$D:$D,BALANCES!$C:$C,"BA")-(SUMIFS(BALANCES!$E:$E,BALANCES!$C:$C,"BA"))</f>
        <v>0</v>
      </c>
      <c r="D18" s="15" t="n">
        <f aca="false">SUMIFS(BALANCES!$F:$F,BALANCES!$C:$C,"BA")-(SUMIFS(BALANCES!$G:$G,BALANCES!$C:$C,"BA"))</f>
        <v>0</v>
      </c>
      <c r="E18" s="15" t="n">
        <f aca="false">SUMIFS(BALANCES!$H:$H,BALANCES!$C:$C,"BA")-(SUMIFS(BALANCES!$I:$I,BALANCES!$C:$C,"BA"))</f>
        <v>0</v>
      </c>
      <c r="F18" s="15" t="n">
        <f aca="false">SUMIFS(BALANCES!$J:$J,BALANCES!$C:$C,"BA")-(SUMIFS(BALANCES!$K:$K,BALANCES!$C:$C,"BA"))</f>
        <v>0</v>
      </c>
      <c r="G18" s="15" t="n">
        <f aca="false">SUMIFS(BALANCES!$L:$L,BALANCES!$C:$C,"BA")-(SUMIFS(BALANCES!$M:$M,BALANCES!$C:$C,"BA"))</f>
        <v>0</v>
      </c>
      <c r="H18" s="15" t="n">
        <f aca="false">SUMIFS(BALANCES!$N:$N,BALANCES!$C:$C,"BA")-(SUMIFS(BALANCES!$O:$O,BALANCES!$C:$C,"BA"))</f>
        <v>0</v>
      </c>
    </row>
    <row r="19" customFormat="false" ht="15" hidden="false" customHeight="false" outlineLevel="0" collapsed="false">
      <c r="A19" s="13" t="s">
        <v>331</v>
      </c>
      <c r="B19" s="12" t="s">
        <v>332</v>
      </c>
      <c r="C19" s="15" t="n">
        <f aca="false">SUMIFS(BALANCES!$D:$D,BALANCES!$C:$C,"BB")-(SUMIFS(BALANCES!$E:$E,BALANCES!$C:$C,"BB"))</f>
        <v>0</v>
      </c>
      <c r="D19" s="15" t="n">
        <f aca="false">SUMIFS(BALANCES!$F:$F,BALANCES!$C:$C,"BB")-(SUMIFS(BALANCES!$G:$G,BALANCES!$C:$C,"BB"))</f>
        <v>0</v>
      </c>
      <c r="E19" s="15" t="n">
        <f aca="false">SUMIFS(BALANCES!$H:$H,BALANCES!$C:$C,"BB")-(SUMIFS(BALANCES!$I:$I,BALANCES!$C:$C,"BB"))</f>
        <v>0</v>
      </c>
      <c r="F19" s="15" t="n">
        <f aca="false">SUMIFS(BALANCES!$J:$J,BALANCES!$C:$C,"BB")-(SUMIFS(BALANCES!$K:$K,BALANCES!$C:$C,"BB"))</f>
        <v>0</v>
      </c>
      <c r="G19" s="15" t="n">
        <f aca="false">SUMIFS(BALANCES!$L:$L,BALANCES!$C:$C,"BB")-(SUMIFS(BALANCES!$M:$M,BALANCES!$C:$C,"BB"))</f>
        <v>0</v>
      </c>
      <c r="H19" s="15" t="n">
        <f aca="false">SUMIFS(BALANCES!$N:$N,BALANCES!$C:$C,"BB")-(SUMIFS(BALANCES!$O:$O,BALANCES!$C:$C,"BB"))</f>
        <v>0</v>
      </c>
    </row>
    <row r="20" customFormat="false" ht="15" hidden="false" customHeight="false" outlineLevel="0" collapsed="false">
      <c r="A20" s="13" t="s">
        <v>333</v>
      </c>
      <c r="B20" s="12" t="s">
        <v>334</v>
      </c>
      <c r="C20" s="15" t="n">
        <f aca="false">SUMIFS(BALANCES!$D:$D,BALANCES!$C:$C,"BH")-(SUMIFS(BALANCES!$E:$E,BALANCES!$C:$C,"BH"))</f>
        <v>0</v>
      </c>
      <c r="D20" s="15" t="n">
        <f aca="false">SUMIFS(BALANCES!$F:$F,BALANCES!$C:$C,"BH")-(SUMIFS(BALANCES!$G:$G,BALANCES!$C:$C,"BH"))</f>
        <v>0</v>
      </c>
      <c r="E20" s="15" t="n">
        <f aca="false">SUMIFS(BALANCES!$H:$H,BALANCES!$C:$C,"BH")-(SUMIFS(BALANCES!$I:$I,BALANCES!$C:$C,"BH"))</f>
        <v>0</v>
      </c>
      <c r="F20" s="15" t="n">
        <f aca="false">SUMIFS(BALANCES!$J:$J,BALANCES!$C:$C,"BH")-(SUMIFS(BALANCES!$K:$K,BALANCES!$C:$C,"BH"))</f>
        <v>0</v>
      </c>
      <c r="G20" s="15" t="n">
        <f aca="false">SUMIFS(BALANCES!$L:$L,BALANCES!$C:$C,"BH")-(SUMIFS(BALANCES!$M:$M,BALANCES!$C:$C,"BH"))</f>
        <v>0</v>
      </c>
      <c r="H20" s="15" t="n">
        <f aca="false">SUMIFS(BALANCES!$N:$N,BALANCES!$C:$C,"BH")-(SUMIFS(BALANCES!$O:$O,BALANCES!$C:$C,"BH"))</f>
        <v>0</v>
      </c>
    </row>
    <row r="21" customFormat="false" ht="15" hidden="false" customHeight="false" outlineLevel="0" collapsed="false">
      <c r="A21" s="13" t="s">
        <v>219</v>
      </c>
      <c r="B21" s="12" t="s">
        <v>335</v>
      </c>
      <c r="C21" s="15" t="n">
        <f aca="false">SUMIFS(BALANCES!$D:$D,BALANCES!$C:$C,"BI")-(SUMIFS(BALANCES!$E:$E,BALANCES!$C:$C,"BI"))</f>
        <v>452271396</v>
      </c>
      <c r="D21" s="15" t="n">
        <f aca="false">SUMIFS(BALANCES!$F:$F,BALANCES!$C:$C,"BI")-(SUMIFS(BALANCES!$G:$G,BALANCES!$C:$C,"BI"))</f>
        <v>475301941.099125</v>
      </c>
      <c r="E21" s="15" t="n">
        <f aca="false">SUMIFS(BALANCES!$H:$H,BALANCES!$C:$C,"BI")-(SUMIFS(BALANCES!$I:$I,BALANCES!$C:$C,"BI"))</f>
        <v>499067038.154081</v>
      </c>
      <c r="F21" s="15" t="n">
        <f aca="false">SUMIFS(BALANCES!$J:$J,BALANCES!$C:$C,"BI")-(SUMIFS(BALANCES!$K:$K,BALANCES!$C:$C,"BI"))</f>
        <v>524020390.061785</v>
      </c>
      <c r="G21" s="15" t="n">
        <f aca="false">SUMIFS(BALANCES!$L:$L,BALANCES!$C:$C,"BI")-(SUMIFS(BALANCES!$M:$M,BALANCES!$C:$C,"BI"))</f>
        <v>550221409.564875</v>
      </c>
      <c r="H21" s="15" t="n">
        <f aca="false">SUMIFS(BALANCES!$N:$N,BALANCES!$C:$C,"BI")-(SUMIFS(BALANCES!$O:$O,BALANCES!$C:$C,"BI"))</f>
        <v>577732480.043118</v>
      </c>
    </row>
    <row r="22" customFormat="false" ht="15" hidden="false" customHeight="false" outlineLevel="0" collapsed="false">
      <c r="A22" s="13" t="s">
        <v>336</v>
      </c>
      <c r="B22" s="12" t="s">
        <v>337</v>
      </c>
      <c r="C22" s="15" t="n">
        <f aca="false">SUMIFS(BALANCES!$D:$D,BALANCES!$C:$C,"BJ")+SUMIFS(BALANCES!$D:$D,BALANCES!$C:$C,"DMBJ")-(SUMIFS(BALANCES!$E:$E,BALANCES!$C:$C,"BJ"))</f>
        <v>0</v>
      </c>
      <c r="D22" s="15" t="n">
        <f aca="false">SUMIFS(BALANCES!$F:$F,BALANCES!$C:$C,"BJ")+SUMIFS(BALANCES!$F:$F,BALANCES!$C:$C,"DMBJ")-(SUMIFS(BALANCES!$G:$G,BALANCES!$C:$C,"BJ"))</f>
        <v>0</v>
      </c>
      <c r="E22" s="15" t="n">
        <f aca="false">SUMIFS(BALANCES!$H:$H,BALANCES!$C:$C,"BJ")+SUMIFS(BALANCES!$H:$H,BALANCES!$C:$C,"DMBJ")-(SUMIFS(BALANCES!$I:$I,BALANCES!$C:$C,"BJ"))</f>
        <v>0</v>
      </c>
      <c r="F22" s="15" t="n">
        <f aca="false">SUMIFS(BALANCES!$J:$J,BALANCES!$C:$C,"BJ")+SUMIFS(BALANCES!$J:$J,BALANCES!$C:$C,"DMBJ")-(SUMIFS(BALANCES!$K:$K,BALANCES!$C:$C,"BJ"))</f>
        <v>0</v>
      </c>
      <c r="G22" s="15" t="n">
        <f aca="false">SUMIFS(BALANCES!$L:$L,BALANCES!$C:$C,"BJ")+SUMIFS(BALANCES!$L:$L,BALANCES!$C:$C,"DMBJ")-(SUMIFS(BALANCES!$M:$M,BALANCES!$C:$C,"BJ"))</f>
        <v>0</v>
      </c>
      <c r="H22" s="15" t="n">
        <f aca="false">SUMIFS(BALANCES!$N:$N,BALANCES!$C:$C,"BJ")+SUMIFS(BALANCES!$N:$N,BALANCES!$C:$C,"DMBJ")-(SUMIFS(BALANCES!$O:$O,BALANCES!$C:$C,"BJ"))</f>
        <v>0</v>
      </c>
    </row>
    <row r="23" customFormat="false" ht="15" hidden="false" customHeight="false" outlineLevel="0" collapsed="false">
      <c r="A23" s="34" t="s">
        <v>338</v>
      </c>
      <c r="B23" s="34" t="s">
        <v>339</v>
      </c>
      <c r="C23" s="35" t="n">
        <f aca="false">C20+C21+C22</f>
        <v>452271396</v>
      </c>
      <c r="D23" s="35" t="n">
        <f aca="false">D20+D21+D22</f>
        <v>475301941.099125</v>
      </c>
      <c r="E23" s="35" t="n">
        <f aca="false">E20+E21+E22</f>
        <v>499067038.154081</v>
      </c>
      <c r="F23" s="35" t="n">
        <f aca="false">F20+F21+F22</f>
        <v>524020390.061785</v>
      </c>
      <c r="G23" s="35" t="n">
        <f aca="false">G20+G21+G22</f>
        <v>550221409.564875</v>
      </c>
      <c r="H23" s="35" t="n">
        <f aca="false">H20+H21+H22</f>
        <v>577732480.043118</v>
      </c>
      <c r="I23" s="38"/>
    </row>
    <row r="24" customFormat="false" ht="15" hidden="false" customHeight="false" outlineLevel="0" collapsed="false">
      <c r="A24" s="34" t="s">
        <v>340</v>
      </c>
      <c r="B24" s="34" t="s">
        <v>341</v>
      </c>
      <c r="C24" s="35" t="n">
        <f aca="false">C18+C19+C23</f>
        <v>452271396</v>
      </c>
      <c r="D24" s="35" t="n">
        <f aca="false">D18+D19+D23</f>
        <v>475301941.099125</v>
      </c>
      <c r="E24" s="35" t="n">
        <f aca="false">E18+E19+E23</f>
        <v>499067038.154081</v>
      </c>
      <c r="F24" s="35" t="n">
        <f aca="false">F18+F19+F23</f>
        <v>524020390.061785</v>
      </c>
      <c r="G24" s="35" t="n">
        <f aca="false">G18+G19+G23</f>
        <v>550221409.564875</v>
      </c>
      <c r="H24" s="35" t="n">
        <f aca="false">H18+H19+H23</f>
        <v>577732480.043118</v>
      </c>
      <c r="I24" s="39" t="n">
        <f aca="false">IF(OR(C24&lt;=0,H24&lt;=0),"",(H24/C24)^(1/5)-1)</f>
        <v>0.0501843269014832</v>
      </c>
    </row>
    <row r="25" customFormat="false" ht="15" hidden="false" customHeight="false" outlineLevel="0" collapsed="false">
      <c r="A25" s="13" t="s">
        <v>342</v>
      </c>
      <c r="B25" s="12" t="s">
        <v>343</v>
      </c>
      <c r="C25" s="15" t="n">
        <f aca="false">SUMIFS(BALANCES!$D:$D,BALANCES!$C:$C,"BQ")-(SUMIFS(BALANCES!$E:$E,BALANCES!$C:$C,"BQ"))</f>
        <v>0</v>
      </c>
      <c r="D25" s="15" t="n">
        <f aca="false">SUMIFS(BALANCES!$F:$F,BALANCES!$C:$C,"BQ")-(SUMIFS(BALANCES!$G:$G,BALANCES!$C:$C,"BQ"))</f>
        <v>0</v>
      </c>
      <c r="E25" s="15" t="n">
        <f aca="false">SUMIFS(BALANCES!$H:$H,BALANCES!$C:$C,"BQ")-(SUMIFS(BALANCES!$I:$I,BALANCES!$C:$C,"BQ"))</f>
        <v>0</v>
      </c>
      <c r="F25" s="15" t="n">
        <f aca="false">SUMIFS(BALANCES!$J:$J,BALANCES!$C:$C,"BQ")-(SUMIFS(BALANCES!$K:$K,BALANCES!$C:$C,"BQ"))</f>
        <v>0</v>
      </c>
      <c r="G25" s="15" t="n">
        <f aca="false">SUMIFS(BALANCES!$L:$L,BALANCES!$C:$C,"BQ")-(SUMIFS(BALANCES!$M:$M,BALANCES!$C:$C,"BQ"))</f>
        <v>0</v>
      </c>
      <c r="H25" s="15" t="n">
        <f aca="false">SUMIFS(BALANCES!$N:$N,BALANCES!$C:$C,"BQ")-(SUMIFS(BALANCES!$O:$O,BALANCES!$C:$C,"BQ"))</f>
        <v>0</v>
      </c>
    </row>
    <row r="26" customFormat="false" ht="15" hidden="false" customHeight="false" outlineLevel="0" collapsed="false">
      <c r="A26" s="13" t="s">
        <v>344</v>
      </c>
      <c r="B26" s="12" t="s">
        <v>345</v>
      </c>
      <c r="C26" s="15" t="n">
        <f aca="false">SUMIFS(BALANCES!$D:$D,BALANCES!$C:$C,"BR")-(SUMIFS(BALANCES!$E:$E,BALANCES!$C:$C,"BR"))</f>
        <v>0</v>
      </c>
      <c r="D26" s="15" t="n">
        <f aca="false">SUMIFS(BALANCES!$F:$F,BALANCES!$C:$C,"BR")-(SUMIFS(BALANCES!$G:$G,BALANCES!$C:$C,"BR"))</f>
        <v>0</v>
      </c>
      <c r="E26" s="15" t="n">
        <f aca="false">SUMIFS(BALANCES!$H:$H,BALANCES!$C:$C,"BR")-(SUMIFS(BALANCES!$I:$I,BALANCES!$C:$C,"BR"))</f>
        <v>0</v>
      </c>
      <c r="F26" s="15" t="n">
        <f aca="false">SUMIFS(BALANCES!$J:$J,BALANCES!$C:$C,"BR")-(SUMIFS(BALANCES!$K:$K,BALANCES!$C:$C,"BR"))</f>
        <v>0</v>
      </c>
      <c r="G26" s="15" t="n">
        <f aca="false">SUMIFS(BALANCES!$L:$L,BALANCES!$C:$C,"BR")-(SUMIFS(BALANCES!$M:$M,BALANCES!$C:$C,"BR"))</f>
        <v>0</v>
      </c>
      <c r="H26" s="15" t="n">
        <f aca="false">SUMIFS(BALANCES!$N:$N,BALANCES!$C:$C,"BR")-(SUMIFS(BALANCES!$O:$O,BALANCES!$C:$C,"BR"))</f>
        <v>0</v>
      </c>
    </row>
    <row r="27" customFormat="false" ht="15" hidden="false" customHeight="false" outlineLevel="0" collapsed="false">
      <c r="A27" s="13" t="s">
        <v>244</v>
      </c>
      <c r="B27" s="12" t="s">
        <v>346</v>
      </c>
      <c r="C27" s="15" t="n">
        <f aca="false">SUMIFS(BALANCES!$D:$D,BALANCES!$C:$C,"BS")+SUMIFS(BALANCES!$D:$D,BALANCES!$C:$C,"TRESO")-(SUMIFS(BALANCES!$E:$E,BALANCES!$C:$C,"BS"))</f>
        <v>128133958</v>
      </c>
      <c r="D27" s="15" t="n">
        <f aca="false">SUMIFS(BALANCES!$F:$F,BALANCES!$C:$C,"BS")+SUMIFS(BALANCES!$F:$F,BALANCES!$C:$C,"TRESO")-(SUMIFS(BALANCES!$G:$G,BALANCES!$C:$C,"BS"))</f>
        <v>126666439.742087</v>
      </c>
      <c r="E27" s="15" t="n">
        <f aca="false">SUMIFS(BALANCES!$H:$H,BALANCES!$C:$C,"BS")+SUMIFS(BALANCES!$H:$H,BALANCES!$C:$C,"TRESO")-(SUMIFS(BALANCES!$I:$I,BALANCES!$C:$C,"BS"))</f>
        <v>174946721.478786</v>
      </c>
      <c r="F27" s="15" t="n">
        <f aca="false">SUMIFS(BALANCES!$J:$J,BALANCES!$C:$C,"BS")+SUMIFS(BALANCES!$J:$J,BALANCES!$C:$C,"TRESO")-(SUMIFS(BALANCES!$K:$K,BALANCES!$C:$C,"BS"))</f>
        <v>320992123.264486</v>
      </c>
      <c r="G27" s="15" t="n">
        <f aca="false">SUMIFS(BALANCES!$L:$L,BALANCES!$C:$C,"BS")+SUMIFS(BALANCES!$L:$L,BALANCES!$C:$C,"TRESO")-(SUMIFS(BALANCES!$M:$M,BALANCES!$C:$C,"BS"))</f>
        <v>449086877.217361</v>
      </c>
      <c r="H27" s="15" t="n">
        <f aca="false">SUMIFS(BALANCES!$N:$N,BALANCES!$C:$C,"BS")+SUMIFS(BALANCES!$N:$N,BALANCES!$C:$C,"TRESO")-(SUMIFS(BALANCES!$O:$O,BALANCES!$C:$C,"BS"))</f>
        <v>593632928.649823</v>
      </c>
    </row>
    <row r="28" customFormat="false" ht="15" hidden="false" customHeight="false" outlineLevel="0" collapsed="false">
      <c r="A28" s="34" t="s">
        <v>347</v>
      </c>
      <c r="B28" s="34" t="s">
        <v>348</v>
      </c>
      <c r="C28" s="35" t="n">
        <f aca="false">C25+C26+C27</f>
        <v>128133958</v>
      </c>
      <c r="D28" s="35" t="n">
        <f aca="false">D25+D26+D27</f>
        <v>126666439.742087</v>
      </c>
      <c r="E28" s="35" t="n">
        <f aca="false">E25+E26+E27</f>
        <v>174946721.478786</v>
      </c>
      <c r="F28" s="35" t="n">
        <f aca="false">F25+F26+F27</f>
        <v>320992123.264486</v>
      </c>
      <c r="G28" s="35" t="n">
        <f aca="false">G25+G26+G27</f>
        <v>449086877.217361</v>
      </c>
      <c r="H28" s="35" t="n">
        <f aca="false">H25+H26+H27</f>
        <v>593632928.649823</v>
      </c>
      <c r="I28" s="38"/>
    </row>
    <row r="29" customFormat="false" ht="15" hidden="false" customHeight="false" outlineLevel="0" collapsed="false">
      <c r="A29" s="13" t="s">
        <v>349</v>
      </c>
      <c r="B29" s="12" t="s">
        <v>350</v>
      </c>
      <c r="C29" s="15" t="n">
        <f aca="false">SUMIFS(BALANCES!$D:$D,BALANCES!$C:$C,"BU")-(SUMIFS(BALANCES!$E:$E,BALANCES!$C:$C,"BU"))</f>
        <v>0</v>
      </c>
      <c r="D29" s="15" t="n">
        <f aca="false">SUMIFS(BALANCES!$F:$F,BALANCES!$C:$C,"BU")-(SUMIFS(BALANCES!$G:$G,BALANCES!$C:$C,"BU"))</f>
        <v>0</v>
      </c>
      <c r="E29" s="15" t="n">
        <f aca="false">SUMIFS(BALANCES!$H:$H,BALANCES!$C:$C,"BU")-(SUMIFS(BALANCES!$I:$I,BALANCES!$C:$C,"BU"))</f>
        <v>0</v>
      </c>
      <c r="F29" s="15" t="n">
        <f aca="false">SUMIFS(BALANCES!$J:$J,BALANCES!$C:$C,"BU")-(SUMIFS(BALANCES!$K:$K,BALANCES!$C:$C,"BU"))</f>
        <v>0</v>
      </c>
      <c r="G29" s="15" t="n">
        <f aca="false">SUMIFS(BALANCES!$L:$L,BALANCES!$C:$C,"BU")-(SUMIFS(BALANCES!$M:$M,BALANCES!$C:$C,"BU"))</f>
        <v>0</v>
      </c>
      <c r="H29" s="15" t="n">
        <f aca="false">SUMIFS(BALANCES!$N:$N,BALANCES!$C:$C,"BU")-(SUMIFS(BALANCES!$O:$O,BALANCES!$C:$C,"BU"))</f>
        <v>0</v>
      </c>
    </row>
    <row r="30" customFormat="false" ht="15" hidden="false" customHeight="false" outlineLevel="0" collapsed="false">
      <c r="A30" s="34" t="s">
        <v>351</v>
      </c>
      <c r="B30" s="34" t="s">
        <v>352</v>
      </c>
      <c r="C30" s="35" t="n">
        <f aca="false">C17+C24+C28+C29</f>
        <v>1239686672</v>
      </c>
      <c r="D30" s="35" t="n">
        <f aca="false">D17+D24+D28+D29</f>
        <v>1234583066.50788</v>
      </c>
      <c r="E30" s="35" t="n">
        <f aca="false">E17+E24+E28+E29</f>
        <v>1231752523.9662</v>
      </c>
      <c r="F30" s="35" t="n">
        <f aca="false">F17+F24+F28+F29</f>
        <v>1326519529.32627</v>
      </c>
      <c r="G30" s="35" t="n">
        <f aca="false">G17+G24+G28+G29</f>
        <v>1454049918.4489</v>
      </c>
      <c r="H30" s="35" t="n">
        <f aca="false">H17+H24+H28+H29</f>
        <v>1557158137.02628</v>
      </c>
      <c r="I30" s="39" t="n">
        <f aca="false">IF(OR(C30&lt;=0,H30&lt;=0),"",(H30/C30)^(1/5)-1)</f>
        <v>0.0466564581210496</v>
      </c>
    </row>
    <row r="32" customFormat="false" ht="15" hidden="false" customHeight="false" outlineLevel="0" collapsed="false">
      <c r="A32" s="36" t="s">
        <v>308</v>
      </c>
      <c r="B32" s="36" t="s">
        <v>353</v>
      </c>
      <c r="C32" s="36" t="str">
        <f aca="false">"Réel "&amp;HYPOTHESES!$C$5</f>
        <v>Réel 2024</v>
      </c>
      <c r="D32" s="37" t="n">
        <f aca="false">HYPOTHESES!$C$5+1</f>
        <v>2025</v>
      </c>
      <c r="E32" s="37" t="n">
        <f aca="false">HYPOTHESES!$C$5+2</f>
        <v>2026</v>
      </c>
      <c r="F32" s="37" t="n">
        <f aca="false">HYPOTHESES!$C$5+3</f>
        <v>2027</v>
      </c>
      <c r="G32" s="37" t="n">
        <f aca="false">HYPOTHESES!$C$5+4</f>
        <v>2028</v>
      </c>
      <c r="H32" s="37" t="n">
        <f aca="false">HYPOTHESES!$C$5+5</f>
        <v>2029</v>
      </c>
      <c r="I32" s="36" t="s">
        <v>310</v>
      </c>
    </row>
    <row r="33" customFormat="false" ht="15" hidden="false" customHeight="false" outlineLevel="0" collapsed="false">
      <c r="A33" s="13" t="s">
        <v>191</v>
      </c>
      <c r="B33" s="12" t="s">
        <v>354</v>
      </c>
      <c r="C33" s="15" t="n">
        <f aca="false">SUMIFS(BALANCES!$E:$E,BALANCES!$C:$C,"CA")-(SUMIFS(BALANCES!$D:$D,BALANCES!$C:$C,"CA"))</f>
        <v>10000000</v>
      </c>
      <c r="D33" s="15" t="n">
        <f aca="false">SUMIFS(BALANCES!$G:$G,BALANCES!$C:$C,"CA")-(SUMIFS(BALANCES!$F:$F,BALANCES!$C:$C,"CA"))</f>
        <v>10000000</v>
      </c>
      <c r="E33" s="15" t="n">
        <f aca="false">SUMIFS(BALANCES!$I:$I,BALANCES!$C:$C,"CA")-(SUMIFS(BALANCES!$H:$H,BALANCES!$C:$C,"CA"))</f>
        <v>10000000</v>
      </c>
      <c r="F33" s="15" t="n">
        <f aca="false">SUMIFS(BALANCES!$K:$K,BALANCES!$C:$C,"CA")-(SUMIFS(BALANCES!$J:$J,BALANCES!$C:$C,"CA"))</f>
        <v>10000000</v>
      </c>
      <c r="G33" s="15" t="n">
        <f aca="false">SUMIFS(BALANCES!$M:$M,BALANCES!$C:$C,"CA")-(SUMIFS(BALANCES!$L:$L,BALANCES!$C:$C,"CA"))</f>
        <v>10000000</v>
      </c>
      <c r="H33" s="15" t="n">
        <f aca="false">SUMIFS(BALANCES!$O:$O,BALANCES!$C:$C,"CA")-(SUMIFS(BALANCES!$N:$N,BALANCES!$C:$C,"CA"))</f>
        <v>10000000</v>
      </c>
    </row>
    <row r="34" customFormat="false" ht="15" hidden="false" customHeight="false" outlineLevel="0" collapsed="false">
      <c r="A34" s="13" t="s">
        <v>355</v>
      </c>
      <c r="B34" s="12" t="s">
        <v>356</v>
      </c>
      <c r="C34" s="15" t="n">
        <f aca="false">-(SUMIFS(BALANCES!$D:$D,BALANCES!$C:$C,"CB"))</f>
        <v>-0</v>
      </c>
      <c r="D34" s="15" t="n">
        <f aca="false">-(SUMIFS(BALANCES!$F:$F,BALANCES!$C:$C,"CB"))</f>
        <v>-0</v>
      </c>
      <c r="E34" s="15" t="n">
        <f aca="false">-(SUMIFS(BALANCES!$H:$H,BALANCES!$C:$C,"CB"))</f>
        <v>-0</v>
      </c>
      <c r="F34" s="15" t="n">
        <f aca="false">-(SUMIFS(BALANCES!$J:$J,BALANCES!$C:$C,"CB"))</f>
        <v>-0</v>
      </c>
      <c r="G34" s="15" t="n">
        <f aca="false">-(SUMIFS(BALANCES!$L:$L,BALANCES!$C:$C,"CB"))</f>
        <v>-0</v>
      </c>
      <c r="H34" s="15" t="n">
        <f aca="false">-(SUMIFS(BALANCES!$N:$N,BALANCES!$C:$C,"CB"))</f>
        <v>-0</v>
      </c>
    </row>
    <row r="35" customFormat="false" ht="15" hidden="false" customHeight="false" outlineLevel="0" collapsed="false">
      <c r="A35" s="13" t="s">
        <v>357</v>
      </c>
      <c r="B35" s="12" t="s">
        <v>358</v>
      </c>
      <c r="C35" s="15" t="n">
        <f aca="false">SUMIFS(BALANCES!$E:$E,BALANCES!$C:$C,"CD")-(SUMIFS(BALANCES!$D:$D,BALANCES!$C:$C,"CD"))</f>
        <v>0</v>
      </c>
      <c r="D35" s="15" t="n">
        <f aca="false">SUMIFS(BALANCES!$G:$G,BALANCES!$C:$C,"CD")-(SUMIFS(BALANCES!$F:$F,BALANCES!$C:$C,"CD"))</f>
        <v>0</v>
      </c>
      <c r="E35" s="15" t="n">
        <f aca="false">SUMIFS(BALANCES!$I:$I,BALANCES!$C:$C,"CD")-(SUMIFS(BALANCES!$H:$H,BALANCES!$C:$C,"CD"))</f>
        <v>0</v>
      </c>
      <c r="F35" s="15" t="n">
        <f aca="false">SUMIFS(BALANCES!$K:$K,BALANCES!$C:$C,"CD")-(SUMIFS(BALANCES!$J:$J,BALANCES!$C:$C,"CD"))</f>
        <v>0</v>
      </c>
      <c r="G35" s="15" t="n">
        <f aca="false">SUMIFS(BALANCES!$M:$M,BALANCES!$C:$C,"CD")-(SUMIFS(BALANCES!$L:$L,BALANCES!$C:$C,"CD"))</f>
        <v>0</v>
      </c>
      <c r="H35" s="15" t="n">
        <f aca="false">SUMIFS(BALANCES!$O:$O,BALANCES!$C:$C,"CD")-(SUMIFS(BALANCES!$N:$N,BALANCES!$C:$C,"CD"))</f>
        <v>0</v>
      </c>
    </row>
    <row r="36" customFormat="false" ht="15" hidden="false" customHeight="false" outlineLevel="0" collapsed="false">
      <c r="A36" s="13" t="s">
        <v>359</v>
      </c>
      <c r="B36" s="12" t="s">
        <v>360</v>
      </c>
      <c r="C36" s="15" t="n">
        <f aca="false">SUMIFS(BALANCES!$E:$E,BALANCES!$C:$C,"CE")-(SUMIFS(BALANCES!$D:$D,BALANCES!$C:$C,"CE"))</f>
        <v>0</v>
      </c>
      <c r="D36" s="15" t="n">
        <f aca="false">SUMIFS(BALANCES!$G:$G,BALANCES!$C:$C,"CE")-(SUMIFS(BALANCES!$F:$F,BALANCES!$C:$C,"CE"))</f>
        <v>0</v>
      </c>
      <c r="E36" s="15" t="n">
        <f aca="false">SUMIFS(BALANCES!$I:$I,BALANCES!$C:$C,"CE")-(SUMIFS(BALANCES!$H:$H,BALANCES!$C:$C,"CE"))</f>
        <v>0</v>
      </c>
      <c r="F36" s="15" t="n">
        <f aca="false">SUMIFS(BALANCES!$K:$K,BALANCES!$C:$C,"CE")-(SUMIFS(BALANCES!$J:$J,BALANCES!$C:$C,"CE"))</f>
        <v>0</v>
      </c>
      <c r="G36" s="15" t="n">
        <f aca="false">SUMIFS(BALANCES!$M:$M,BALANCES!$C:$C,"CE")-(SUMIFS(BALANCES!$L:$L,BALANCES!$C:$C,"CE"))</f>
        <v>0</v>
      </c>
      <c r="H36" s="15" t="n">
        <f aca="false">SUMIFS(BALANCES!$O:$O,BALANCES!$C:$C,"CE")-(SUMIFS(BALANCES!$N:$N,BALANCES!$C:$C,"CE"))</f>
        <v>0</v>
      </c>
    </row>
    <row r="37" customFormat="false" ht="15" hidden="false" customHeight="false" outlineLevel="0" collapsed="false">
      <c r="A37" s="13" t="s">
        <v>193</v>
      </c>
      <c r="B37" s="12" t="s">
        <v>361</v>
      </c>
      <c r="C37" s="15" t="n">
        <f aca="false">SUMIFS(BALANCES!$E:$E,BALANCES!$C:$C,"CF")-(SUMIFS(BALANCES!$D:$D,BALANCES!$C:$C,"CF"))</f>
        <v>0</v>
      </c>
      <c r="D37" s="15" t="n">
        <f aca="false">SUMIFS(BALANCES!$G:$G,BALANCES!$C:$C,"CF")-(SUMIFS(BALANCES!$F:$F,BALANCES!$C:$C,"CF"))</f>
        <v>2000000</v>
      </c>
      <c r="E37" s="15" t="n">
        <f aca="false">SUMIFS(BALANCES!$I:$I,BALANCES!$C:$C,"CF")-(SUMIFS(BALANCES!$H:$H,BALANCES!$C:$C,"CF"))</f>
        <v>2000000</v>
      </c>
      <c r="F37" s="15" t="n">
        <f aca="false">SUMIFS(BALANCES!$K:$K,BALANCES!$C:$C,"CF")-(SUMIFS(BALANCES!$J:$J,BALANCES!$C:$C,"CF"))</f>
        <v>2000000</v>
      </c>
      <c r="G37" s="15" t="n">
        <f aca="false">SUMIFS(BALANCES!$M:$M,BALANCES!$C:$C,"CF")-(SUMIFS(BALANCES!$L:$L,BALANCES!$C:$C,"CF"))</f>
        <v>2000000</v>
      </c>
      <c r="H37" s="15" t="n">
        <f aca="false">SUMIFS(BALANCES!$O:$O,BALANCES!$C:$C,"CF")-(SUMIFS(BALANCES!$N:$N,BALANCES!$C:$C,"CF"))</f>
        <v>2000000</v>
      </c>
    </row>
    <row r="38" customFormat="false" ht="15" hidden="false" customHeight="false" outlineLevel="0" collapsed="false">
      <c r="A38" s="13" t="s">
        <v>362</v>
      </c>
      <c r="B38" s="12" t="s">
        <v>363</v>
      </c>
      <c r="C38" s="15" t="n">
        <f aca="false">SUMIFS(BALANCES!$E:$E,BALANCES!$C:$C,"CG")-(SUMIFS(BALANCES!$D:$D,BALANCES!$C:$C,"CG"))</f>
        <v>0</v>
      </c>
      <c r="D38" s="15" t="n">
        <f aca="false">SUMIFS(BALANCES!$G:$G,BALANCES!$C:$C,"CG")-(SUMIFS(BALANCES!$F:$F,BALANCES!$C:$C,"CG"))</f>
        <v>0</v>
      </c>
      <c r="E38" s="15" t="n">
        <f aca="false">SUMIFS(BALANCES!$I:$I,BALANCES!$C:$C,"CG")-(SUMIFS(BALANCES!$H:$H,BALANCES!$C:$C,"CG"))</f>
        <v>0</v>
      </c>
      <c r="F38" s="15" t="n">
        <f aca="false">SUMIFS(BALANCES!$K:$K,BALANCES!$C:$C,"CG")-(SUMIFS(BALANCES!$J:$J,BALANCES!$C:$C,"CG"))</f>
        <v>0</v>
      </c>
      <c r="G38" s="15" t="n">
        <f aca="false">SUMIFS(BALANCES!$M:$M,BALANCES!$C:$C,"CG")-(SUMIFS(BALANCES!$L:$L,BALANCES!$C:$C,"CG"))</f>
        <v>0</v>
      </c>
      <c r="H38" s="15" t="n">
        <f aca="false">SUMIFS(BALANCES!$O:$O,BALANCES!$C:$C,"CG")-(SUMIFS(BALANCES!$N:$N,BALANCES!$C:$C,"CG"))</f>
        <v>0</v>
      </c>
    </row>
    <row r="39" customFormat="false" ht="15" hidden="false" customHeight="false" outlineLevel="0" collapsed="false">
      <c r="A39" s="13" t="s">
        <v>195</v>
      </c>
      <c r="B39" s="12" t="s">
        <v>364</v>
      </c>
      <c r="C39" s="15" t="n">
        <f aca="false">SUMIFS(BALANCES!$E:$E,BALANCES!$C:$C,"CH")-(SUMIFS(BALANCES!$D:$D,BALANCES!$C:$C,"CH"))</f>
        <v>773799851</v>
      </c>
      <c r="D39" s="15" t="n">
        <f aca="false">SUMIFS(BALANCES!$G:$G,BALANCES!$C:$C,"CH")-(SUMIFS(BALANCES!$F:$F,BALANCES!$C:$C,"CH"))</f>
        <v>844498728</v>
      </c>
      <c r="E39" s="15" t="n">
        <f aca="false">SUMIFS(BALANCES!$I:$I,BALANCES!$C:$C,"CH")-(SUMIFS(BALANCES!$H:$H,BALANCES!$C:$C,"CH"))</f>
        <v>911042286.94115</v>
      </c>
      <c r="F39" s="15" t="n">
        <f aca="false">SUMIFS(BALANCES!$K:$K,BALANCES!$C:$C,"CH")-(SUMIFS(BALANCES!$J:$J,BALANCES!$C:$C,"CH"))</f>
        <v>980741739.294858</v>
      </c>
      <c r="G39" s="15" t="n">
        <f aca="false">SUMIFS(BALANCES!$M:$M,BALANCES!$C:$C,"CH")-(SUMIFS(BALANCES!$L:$L,BALANCES!$C:$C,"CH"))</f>
        <v>1058474295.59925</v>
      </c>
      <c r="H39" s="15" t="n">
        <f aca="false">SUMIFS(BALANCES!$O:$O,BALANCES!$C:$C,"CH")-(SUMIFS(BALANCES!$N:$N,BALANCES!$C:$C,"CH"))</f>
        <v>1151559844.60636</v>
      </c>
    </row>
    <row r="40" customFormat="false" ht="15" hidden="false" customHeight="false" outlineLevel="0" collapsed="false">
      <c r="A40" s="13" t="s">
        <v>365</v>
      </c>
      <c r="B40" s="12" t="s">
        <v>366</v>
      </c>
      <c r="C40" s="15" t="n">
        <f aca="false">'COMPTE DE RESULTAT'!C47</f>
        <v>72698877</v>
      </c>
      <c r="D40" s="15" t="n">
        <f aca="false">'COMPTE DE RESULTAT'!D47</f>
        <v>66543558.94115</v>
      </c>
      <c r="E40" s="15" t="n">
        <f aca="false">'COMPTE DE RESULTAT'!E47</f>
        <v>69699452.3537075</v>
      </c>
      <c r="F40" s="15" t="n">
        <f aca="false">'COMPTE DE RESULTAT'!F47</f>
        <v>77732556.3043929</v>
      </c>
      <c r="G40" s="15" t="n">
        <f aca="false">'COMPTE DE RESULTAT'!G47</f>
        <v>93085549.0071126</v>
      </c>
      <c r="H40" s="15" t="n">
        <f aca="false">'COMPTE DE RESULTAT'!H47</f>
        <v>100113790.444968</v>
      </c>
    </row>
    <row r="41" customFormat="false" ht="15" hidden="false" customHeight="false" outlineLevel="0" collapsed="false">
      <c r="A41" s="13" t="s">
        <v>367</v>
      </c>
      <c r="B41" s="12" t="s">
        <v>368</v>
      </c>
      <c r="C41" s="15" t="n">
        <f aca="false">SUMIFS(BALANCES!$E:$E,BALANCES!$C:$C,"CL")-(SUMIFS(BALANCES!$D:$D,BALANCES!$C:$C,"CL"))</f>
        <v>0</v>
      </c>
      <c r="D41" s="15" t="n">
        <f aca="false">SUMIFS(BALANCES!$G:$G,BALANCES!$C:$C,"CL")-(SUMIFS(BALANCES!$F:$F,BALANCES!$C:$C,"CL"))</f>
        <v>0</v>
      </c>
      <c r="E41" s="15" t="n">
        <f aca="false">SUMIFS(BALANCES!$I:$I,BALANCES!$C:$C,"CL")-(SUMIFS(BALANCES!$H:$H,BALANCES!$C:$C,"CL"))</f>
        <v>0</v>
      </c>
      <c r="F41" s="15" t="n">
        <f aca="false">SUMIFS(BALANCES!$K:$K,BALANCES!$C:$C,"CL")-(SUMIFS(BALANCES!$J:$J,BALANCES!$C:$C,"CL"))</f>
        <v>0</v>
      </c>
      <c r="G41" s="15" t="n">
        <f aca="false">SUMIFS(BALANCES!$M:$M,BALANCES!$C:$C,"CL")-(SUMIFS(BALANCES!$L:$L,BALANCES!$C:$C,"CL"))</f>
        <v>0</v>
      </c>
      <c r="H41" s="15" t="n">
        <f aca="false">SUMIFS(BALANCES!$O:$O,BALANCES!$C:$C,"CL")-(SUMIFS(BALANCES!$N:$N,BALANCES!$C:$C,"CL"))</f>
        <v>0</v>
      </c>
    </row>
    <row r="42" customFormat="false" ht="15" hidden="false" customHeight="false" outlineLevel="0" collapsed="false">
      <c r="A42" s="13" t="s">
        <v>369</v>
      </c>
      <c r="B42" s="12" t="s">
        <v>370</v>
      </c>
      <c r="C42" s="15" t="n">
        <f aca="false">SUMIFS(BALANCES!$E:$E,BALANCES!$C:$C,"CM")-(SUMIFS(BALANCES!$D:$D,BALANCES!$C:$C,"CM"))</f>
        <v>0</v>
      </c>
      <c r="D42" s="15" t="n">
        <f aca="false">SUMIFS(BALANCES!$G:$G,BALANCES!$C:$C,"CM")-(SUMIFS(BALANCES!$F:$F,BALANCES!$C:$C,"CM"))</f>
        <v>0</v>
      </c>
      <c r="E42" s="15" t="n">
        <f aca="false">SUMIFS(BALANCES!$I:$I,BALANCES!$C:$C,"CM")-(SUMIFS(BALANCES!$H:$H,BALANCES!$C:$C,"CM"))</f>
        <v>0</v>
      </c>
      <c r="F42" s="15" t="n">
        <f aca="false">SUMIFS(BALANCES!$K:$K,BALANCES!$C:$C,"CM")-(SUMIFS(BALANCES!$J:$J,BALANCES!$C:$C,"CM"))</f>
        <v>0</v>
      </c>
      <c r="G42" s="15" t="n">
        <f aca="false">SUMIFS(BALANCES!$M:$M,BALANCES!$C:$C,"CM")-(SUMIFS(BALANCES!$L:$L,BALANCES!$C:$C,"CM"))</f>
        <v>0</v>
      </c>
      <c r="H42" s="15" t="n">
        <f aca="false">SUMIFS(BALANCES!$O:$O,BALANCES!$C:$C,"CM")-(SUMIFS(BALANCES!$N:$N,BALANCES!$C:$C,"CM"))</f>
        <v>0</v>
      </c>
    </row>
    <row r="43" customFormat="false" ht="15" hidden="false" customHeight="false" outlineLevel="0" collapsed="false">
      <c r="A43" s="34" t="s">
        <v>371</v>
      </c>
      <c r="B43" s="34" t="s">
        <v>372</v>
      </c>
      <c r="C43" s="35" t="n">
        <f aca="false">C33+C34+C35+C36+C37+C38+C39+C40+C41+C42</f>
        <v>856498728</v>
      </c>
      <c r="D43" s="35" t="n">
        <f aca="false">D33+D34+D35+D36+D37+D38+D39+D40+D41+D42</f>
        <v>923042286.94115</v>
      </c>
      <c r="E43" s="35" t="n">
        <f aca="false">E33+E34+E35+E36+E37+E38+E39+E40+E41+E42</f>
        <v>992741739.294858</v>
      </c>
      <c r="F43" s="35" t="n">
        <f aca="false">F33+F34+F35+F36+F37+F38+F39+F40+F41+F42</f>
        <v>1070474295.59925</v>
      </c>
      <c r="G43" s="35" t="n">
        <f aca="false">G33+G34+G35+G36+G37+G38+G39+G40+G41+G42</f>
        <v>1163559844.60636</v>
      </c>
      <c r="H43" s="35" t="n">
        <f aca="false">H33+H34+H35+H36+H37+H38+H39+H40+H41+H42</f>
        <v>1263673635.05133</v>
      </c>
      <c r="I43" s="39" t="n">
        <f aca="false">IF(OR(C43&lt;=0,H43&lt;=0),"",(H43/C43)^(1/5)-1)</f>
        <v>0.0808903522324078</v>
      </c>
    </row>
    <row r="44" customFormat="false" ht="15" hidden="false" customHeight="false" outlineLevel="0" collapsed="false">
      <c r="A44" s="13" t="s">
        <v>161</v>
      </c>
      <c r="B44" s="12" t="s">
        <v>373</v>
      </c>
      <c r="C44" s="15" t="n">
        <f aca="false">SUMIFS(BALANCES!$E:$E,BALANCES!$C:$C,"DA")-(SUMIFS(BALANCES!$D:$D,BALANCES!$C:$C,"DA"))</f>
        <v>39658832</v>
      </c>
      <c r="D44" s="15" t="n">
        <f aca="false">SUMIFS(BALANCES!$G:$G,BALANCES!$C:$C,"DA")-(SUMIFS(BALANCES!$F:$F,BALANCES!$C:$C,"DA"))</f>
        <v>19829416</v>
      </c>
      <c r="E44" s="15" t="n">
        <f aca="false">SUMIFS(BALANCES!$I:$I,BALANCES!$C:$C,"DA")-(SUMIFS(BALANCES!$H:$H,BALANCES!$C:$C,"DA"))</f>
        <v>0</v>
      </c>
      <c r="F44" s="15" t="n">
        <f aca="false">SUMIFS(BALANCES!$K:$K,BALANCES!$C:$C,"DA")-(SUMIFS(BALANCES!$J:$J,BALANCES!$C:$C,"DA"))</f>
        <v>0</v>
      </c>
      <c r="G44" s="15" t="n">
        <f aca="false">SUMIFS(BALANCES!$M:$M,BALANCES!$C:$C,"DA")-(SUMIFS(BALANCES!$L:$L,BALANCES!$C:$C,"DA"))</f>
        <v>0</v>
      </c>
      <c r="H44" s="15" t="n">
        <f aca="false">SUMIFS(BALANCES!$O:$O,BALANCES!$C:$C,"DA")-(SUMIFS(BALANCES!$N:$N,BALANCES!$C:$C,"DA"))</f>
        <v>0</v>
      </c>
    </row>
    <row r="45" customFormat="false" ht="15" hidden="false" customHeight="false" outlineLevel="0" collapsed="false">
      <c r="A45" s="13" t="s">
        <v>164</v>
      </c>
      <c r="B45" s="12" t="s">
        <v>197</v>
      </c>
      <c r="C45" s="15" t="n">
        <f aca="false">SUMIFS(BALANCES!$E:$E,BALANCES!$C:$C,"DB")-(SUMIFS(BALANCES!$D:$D,BALANCES!$C:$C,"DB"))</f>
        <v>10619694</v>
      </c>
      <c r="D45" s="15" t="n">
        <f aca="false">SUMIFS(BALANCES!$G:$G,BALANCES!$C:$C,"DB")-(SUMIFS(BALANCES!$F:$F,BALANCES!$C:$C,"DB"))</f>
        <v>0</v>
      </c>
      <c r="E45" s="15" t="n">
        <f aca="false">SUMIFS(BALANCES!$I:$I,BALANCES!$C:$C,"DB")-(SUMIFS(BALANCES!$H:$H,BALANCES!$C:$C,"DB"))</f>
        <v>0</v>
      </c>
      <c r="F45" s="15" t="n">
        <f aca="false">SUMIFS(BALANCES!$K:$K,BALANCES!$C:$C,"DB")-(SUMIFS(BALANCES!$J:$J,BALANCES!$C:$C,"DB"))</f>
        <v>0</v>
      </c>
      <c r="G45" s="15" t="n">
        <f aca="false">SUMIFS(BALANCES!$M:$M,BALANCES!$C:$C,"DB")-(SUMIFS(BALANCES!$L:$L,BALANCES!$C:$C,"DB"))</f>
        <v>0</v>
      </c>
      <c r="H45" s="15" t="n">
        <f aca="false">SUMIFS(BALANCES!$O:$O,BALANCES!$C:$C,"DB")-(SUMIFS(BALANCES!$N:$N,BALANCES!$C:$C,"DB"))</f>
        <v>0</v>
      </c>
    </row>
    <row r="46" customFormat="false" ht="15" hidden="false" customHeight="false" outlineLevel="0" collapsed="false">
      <c r="A46" s="13" t="s">
        <v>199</v>
      </c>
      <c r="B46" s="12" t="s">
        <v>374</v>
      </c>
      <c r="C46" s="15" t="n">
        <f aca="false">SUMIFS(BALANCES!$E:$E,BALANCES!$C:$C,"DC")-(SUMIFS(BALANCES!$D:$D,BALANCES!$C:$C,"DC"))</f>
        <v>21273896</v>
      </c>
      <c r="D46" s="15" t="n">
        <f aca="false">SUMIFS(BALANCES!$G:$G,BALANCES!$C:$C,"DC")-(SUMIFS(BALANCES!$F:$F,BALANCES!$C:$C,"DC"))</f>
        <v>27333192</v>
      </c>
      <c r="E46" s="15" t="n">
        <f aca="false">SUMIFS(BALANCES!$I:$I,BALANCES!$C:$C,"DC")-(SUMIFS(BALANCES!$H:$H,BALANCES!$C:$C,"DC"))</f>
        <v>33392488</v>
      </c>
      <c r="F46" s="15" t="n">
        <f aca="false">SUMIFS(BALANCES!$K:$K,BALANCES!$C:$C,"DC")-(SUMIFS(BALANCES!$J:$J,BALANCES!$C:$C,"DC"))</f>
        <v>39451784</v>
      </c>
      <c r="G46" s="15" t="n">
        <f aca="false">SUMIFS(BALANCES!$M:$M,BALANCES!$C:$C,"DC")-(SUMIFS(BALANCES!$L:$L,BALANCES!$C:$C,"DC"))</f>
        <v>45511080</v>
      </c>
      <c r="H46" s="15" t="n">
        <f aca="false">SUMIFS(BALANCES!$O:$O,BALANCES!$C:$C,"DC")-(SUMIFS(BALANCES!$N:$N,BALANCES!$C:$C,"DC"))</f>
        <v>51570376</v>
      </c>
    </row>
    <row r="47" customFormat="false" ht="15" hidden="false" customHeight="false" outlineLevel="0" collapsed="false">
      <c r="A47" s="34" t="s">
        <v>375</v>
      </c>
      <c r="B47" s="34" t="s">
        <v>376</v>
      </c>
      <c r="C47" s="35" t="n">
        <f aca="false">C44+C45+C46</f>
        <v>71552422</v>
      </c>
      <c r="D47" s="35" t="n">
        <f aca="false">D44+D45+D46</f>
        <v>47162608</v>
      </c>
      <c r="E47" s="35" t="n">
        <f aca="false">E44+E45+E46</f>
        <v>33392488</v>
      </c>
      <c r="F47" s="35" t="n">
        <f aca="false">F44+F45+F46</f>
        <v>39451784</v>
      </c>
      <c r="G47" s="35" t="n">
        <f aca="false">G44+G45+G46</f>
        <v>45511080</v>
      </c>
      <c r="H47" s="35" t="n">
        <f aca="false">H44+H45+H46</f>
        <v>51570376</v>
      </c>
      <c r="I47" s="38"/>
    </row>
    <row r="48" customFormat="false" ht="15" hidden="false" customHeight="false" outlineLevel="0" collapsed="false">
      <c r="A48" s="34" t="s">
        <v>377</v>
      </c>
      <c r="B48" s="34" t="s">
        <v>378</v>
      </c>
      <c r="C48" s="35" t="n">
        <f aca="false">C43+C47</f>
        <v>928051150</v>
      </c>
      <c r="D48" s="35" t="n">
        <f aca="false">D43+D47</f>
        <v>970204894.94115</v>
      </c>
      <c r="E48" s="35" t="n">
        <f aca="false">E43+E47</f>
        <v>1026134227.29486</v>
      </c>
      <c r="F48" s="35" t="n">
        <f aca="false">F43+F47</f>
        <v>1109926079.59925</v>
      </c>
      <c r="G48" s="35" t="n">
        <f aca="false">G43+G47</f>
        <v>1209070924.60636</v>
      </c>
      <c r="H48" s="35" t="n">
        <f aca="false">H43+H47</f>
        <v>1315244011.05133</v>
      </c>
      <c r="I48" s="38"/>
    </row>
    <row r="49" customFormat="false" ht="15" hidden="false" customHeight="false" outlineLevel="0" collapsed="false">
      <c r="A49" s="13" t="s">
        <v>240</v>
      </c>
      <c r="B49" s="12" t="s">
        <v>379</v>
      </c>
      <c r="C49" s="15" t="n">
        <f aca="false">SUMIFS(BALANCES!$E:$E,BALANCES!$C:$C,"DH")-(SUMIFS(BALANCES!$D:$D,BALANCES!$C:$C,"DH"))</f>
        <v>132896547</v>
      </c>
      <c r="D49" s="15" t="n">
        <f aca="false">SUMIFS(BALANCES!$G:$G,BALANCES!$C:$C,"DH")-(SUMIFS(BALANCES!$F:$F,BALANCES!$C:$C,"DH"))</f>
        <v>80450285.4666667</v>
      </c>
      <c r="E49" s="15" t="n">
        <f aca="false">SUMIFS(BALANCES!$I:$I,BALANCES!$C:$C,"DH")-(SUMIFS(BALANCES!$H:$H,BALANCES!$C:$C,"DH"))</f>
        <v>12736111.1111111</v>
      </c>
      <c r="F49" s="15" t="n">
        <f aca="false">SUMIFS(BALANCES!$K:$K,BALANCES!$C:$C,"DH")-(SUMIFS(BALANCES!$J:$J,BALANCES!$C:$C,"DH"))</f>
        <v>12736111.1111111</v>
      </c>
      <c r="G49" s="15" t="n">
        <f aca="false">SUMIFS(BALANCES!$M:$M,BALANCES!$C:$C,"DH")-(SUMIFS(BALANCES!$L:$L,BALANCES!$C:$C,"DH"))</f>
        <v>27291666.6666667</v>
      </c>
      <c r="H49" s="15" t="n">
        <f aca="false">SUMIFS(BALANCES!$O:$O,BALANCES!$C:$C,"DH")-(SUMIFS(BALANCES!$N:$N,BALANCES!$C:$C,"DH"))</f>
        <v>12736111.1111111</v>
      </c>
    </row>
    <row r="50" customFormat="false" ht="15" hidden="false" customHeight="false" outlineLevel="0" collapsed="false">
      <c r="A50" s="13" t="s">
        <v>380</v>
      </c>
      <c r="B50" s="12" t="s">
        <v>381</v>
      </c>
      <c r="C50" s="15" t="n">
        <f aca="false">SUMIFS(BALANCES!$E:$E,BALANCES!$C:$C,"DI")-(SUMIFS(BALANCES!$D:$D,BALANCES!$C:$C,"DI"))</f>
        <v>0</v>
      </c>
      <c r="D50" s="15" t="n">
        <f aca="false">SUMIFS(BALANCES!$G:$G,BALANCES!$C:$C,"DI")-(SUMIFS(BALANCES!$F:$F,BALANCES!$C:$C,"DI"))</f>
        <v>0</v>
      </c>
      <c r="E50" s="15" t="n">
        <f aca="false">SUMIFS(BALANCES!$I:$I,BALANCES!$C:$C,"DI")-(SUMIFS(BALANCES!$H:$H,BALANCES!$C:$C,"DI"))</f>
        <v>0</v>
      </c>
      <c r="F50" s="15" t="n">
        <f aca="false">SUMIFS(BALANCES!$K:$K,BALANCES!$C:$C,"DI")-(SUMIFS(BALANCES!$J:$J,BALANCES!$C:$C,"DI"))</f>
        <v>0</v>
      </c>
      <c r="G50" s="15" t="n">
        <f aca="false">SUMIFS(BALANCES!$M:$M,BALANCES!$C:$C,"DI")-(SUMIFS(BALANCES!$L:$L,BALANCES!$C:$C,"DI"))</f>
        <v>0</v>
      </c>
      <c r="H50" s="15" t="n">
        <f aca="false">SUMIFS(BALANCES!$O:$O,BALANCES!$C:$C,"DI")-(SUMIFS(BALANCES!$N:$N,BALANCES!$C:$C,"DI"))</f>
        <v>0</v>
      </c>
    </row>
    <row r="51" customFormat="false" ht="15" hidden="false" customHeight="false" outlineLevel="0" collapsed="false">
      <c r="A51" s="13" t="s">
        <v>217</v>
      </c>
      <c r="B51" s="12" t="s">
        <v>382</v>
      </c>
      <c r="C51" s="15" t="n">
        <f aca="false">SUMIFS(BALANCES!$E:$E,BALANCES!$C:$C,"DJ")-(SUMIFS(BALANCES!$D:$D,BALANCES!$C:$C,"DJ"))</f>
        <v>72947866</v>
      </c>
      <c r="D51" s="15" t="n">
        <f aca="false">SUMIFS(BALANCES!$G:$G,BALANCES!$C:$C,"DJ")-(SUMIFS(BALANCES!$F:$F,BALANCES!$C:$C,"DJ"))</f>
        <v>76257009.1439061</v>
      </c>
      <c r="E51" s="15" t="n">
        <f aca="false">SUMIFS(BALANCES!$I:$I,BALANCES!$C:$C,"DJ")-(SUMIFS(BALANCES!$H:$H,BALANCES!$C:$C,"DJ"))</f>
        <v>80069859.6011014</v>
      </c>
      <c r="F51" s="15" t="n">
        <f aca="false">SUMIFS(BALANCES!$K:$K,BALANCES!$C:$C,"DJ")-(SUMIFS(BALANCES!$J:$J,BALANCES!$C:$C,"DJ"))</f>
        <v>84073352.5811564</v>
      </c>
      <c r="G51" s="15" t="n">
        <f aca="false">SUMIFS(BALANCES!$M:$M,BALANCES!$C:$C,"DJ")-(SUMIFS(BALANCES!$L:$L,BALANCES!$C:$C,"DJ"))</f>
        <v>88277020.2102142</v>
      </c>
      <c r="H51" s="15" t="n">
        <f aca="false">SUMIFS(BALANCES!$O:$O,BALANCES!$C:$C,"DJ")-(SUMIFS(BALANCES!$N:$N,BALANCES!$C:$C,"DJ"))</f>
        <v>92690871.220725</v>
      </c>
    </row>
    <row r="52" customFormat="false" ht="15" hidden="false" customHeight="false" outlineLevel="0" collapsed="false">
      <c r="A52" s="13" t="s">
        <v>221</v>
      </c>
      <c r="B52" s="12" t="s">
        <v>383</v>
      </c>
      <c r="C52" s="15" t="n">
        <f aca="false">SUMIFS(BALANCES!$E:$E,BALANCES!$C:$C,"DK")-(SUMIFS(BALANCES!$D:$D,BALANCES!$C:$C,"DK"))</f>
        <v>102091109</v>
      </c>
      <c r="D52" s="15" t="n">
        <f aca="false">SUMIFS(BALANCES!$G:$G,BALANCES!$C:$C,"DK")-(SUMIFS(BALANCES!$F:$F,BALANCES!$C:$C,"DK"))</f>
        <v>103970876.956156</v>
      </c>
      <c r="E52" s="15" t="n">
        <f aca="false">SUMIFS(BALANCES!$I:$I,BALANCES!$C:$C,"DK")-(SUMIFS(BALANCES!$H:$H,BALANCES!$C:$C,"DK"))</f>
        <v>109112325.959131</v>
      </c>
      <c r="F52" s="15" t="n">
        <f aca="false">SUMIFS(BALANCES!$K:$K,BALANCES!$C:$C,"DK")-(SUMIFS(BALANCES!$J:$J,BALANCES!$C:$C,"DK"))</f>
        <v>116083986.034754</v>
      </c>
      <c r="G52" s="15" t="n">
        <f aca="false">SUMIFS(BALANCES!$M:$M,BALANCES!$C:$C,"DK")-(SUMIFS(BALANCES!$L:$L,BALANCES!$C:$C,"DK"))</f>
        <v>125710306.965658</v>
      </c>
      <c r="H52" s="15" t="n">
        <f aca="false">SUMIFS(BALANCES!$O:$O,BALANCES!$C:$C,"DK")-(SUMIFS(BALANCES!$N:$N,BALANCES!$C:$C,"DK"))</f>
        <v>132787143.643108</v>
      </c>
    </row>
    <row r="53" customFormat="false" ht="15" hidden="false" customHeight="false" outlineLevel="0" collapsed="false">
      <c r="A53" s="13" t="s">
        <v>236</v>
      </c>
      <c r="B53" s="12" t="s">
        <v>384</v>
      </c>
      <c r="C53" s="15" t="n">
        <f aca="false">SUMIFS(BALANCES!$E:$E,BALANCES!$C:$C,"DM")+SUMIFS(BALANCES!$E:$E,BALANCES!$C:$C,"DMBJ")-(SUMIFS(BALANCES!$D:$D,BALANCES!$C:$C,"DM"))</f>
        <v>3700000</v>
      </c>
      <c r="D53" s="15" t="n">
        <f aca="false">SUMIFS(BALANCES!$G:$G,BALANCES!$C:$C,"DM")+SUMIFS(BALANCES!$G:$G,BALANCES!$C:$C,"DMBJ")-(SUMIFS(BALANCES!$F:$F,BALANCES!$C:$C,"DM"))</f>
        <v>3700000</v>
      </c>
      <c r="E53" s="15" t="n">
        <f aca="false">SUMIFS(BALANCES!$I:$I,BALANCES!$C:$C,"DM")+SUMIFS(BALANCES!$I:$I,BALANCES!$C:$C,"DMBJ")-(SUMIFS(BALANCES!$H:$H,BALANCES!$C:$C,"DM"))</f>
        <v>3700000</v>
      </c>
      <c r="F53" s="15" t="n">
        <f aca="false">SUMIFS(BALANCES!$K:$K,BALANCES!$C:$C,"DM")+SUMIFS(BALANCES!$K:$K,BALANCES!$C:$C,"DMBJ")-(SUMIFS(BALANCES!$J:$J,BALANCES!$C:$C,"DM"))</f>
        <v>3700000</v>
      </c>
      <c r="G53" s="15" t="n">
        <f aca="false">SUMIFS(BALANCES!$M:$M,BALANCES!$C:$C,"DM")+SUMIFS(BALANCES!$M:$M,BALANCES!$C:$C,"DMBJ")-(SUMIFS(BALANCES!$L:$L,BALANCES!$C:$C,"DM"))</f>
        <v>3700000</v>
      </c>
      <c r="H53" s="15" t="n">
        <f aca="false">SUMIFS(BALANCES!$O:$O,BALANCES!$C:$C,"DM")+SUMIFS(BALANCES!$O:$O,BALANCES!$C:$C,"DMBJ")-(SUMIFS(BALANCES!$N:$N,BALANCES!$C:$C,"DM"))</f>
        <v>3700000</v>
      </c>
    </row>
    <row r="54" customFormat="false" ht="15" hidden="false" customHeight="false" outlineLevel="0" collapsed="false">
      <c r="A54" s="13" t="s">
        <v>385</v>
      </c>
      <c r="B54" s="12" t="s">
        <v>386</v>
      </c>
      <c r="C54" s="15" t="n">
        <f aca="false">SUMIFS(BALANCES!$E:$E,BALANCES!$C:$C,"DN")-(SUMIFS(BALANCES!$D:$D,BALANCES!$C:$C,"DN"))</f>
        <v>0</v>
      </c>
      <c r="D54" s="15" t="n">
        <f aca="false">SUMIFS(BALANCES!$G:$G,BALANCES!$C:$C,"DN")-(SUMIFS(BALANCES!$F:$F,BALANCES!$C:$C,"DN"))</f>
        <v>0</v>
      </c>
      <c r="E54" s="15" t="n">
        <f aca="false">SUMIFS(BALANCES!$I:$I,BALANCES!$C:$C,"DN")-(SUMIFS(BALANCES!$H:$H,BALANCES!$C:$C,"DN"))</f>
        <v>0</v>
      </c>
      <c r="F54" s="15" t="n">
        <f aca="false">SUMIFS(BALANCES!$K:$K,BALANCES!$C:$C,"DN")-(SUMIFS(BALANCES!$J:$J,BALANCES!$C:$C,"DN"))</f>
        <v>0</v>
      </c>
      <c r="G54" s="15" t="n">
        <f aca="false">SUMIFS(BALANCES!$M:$M,BALANCES!$C:$C,"DN")-(SUMIFS(BALANCES!$L:$L,BALANCES!$C:$C,"DN"))</f>
        <v>0</v>
      </c>
      <c r="H54" s="15" t="n">
        <f aca="false">SUMIFS(BALANCES!$O:$O,BALANCES!$C:$C,"DN")-(SUMIFS(BALANCES!$N:$N,BALANCES!$C:$C,"DN"))</f>
        <v>0</v>
      </c>
    </row>
    <row r="55" customFormat="false" ht="15" hidden="false" customHeight="false" outlineLevel="0" collapsed="false">
      <c r="A55" s="34" t="s">
        <v>387</v>
      </c>
      <c r="B55" s="34" t="s">
        <v>388</v>
      </c>
      <c r="C55" s="35" t="n">
        <f aca="false">C49+C50+C51+C52+C53+C54</f>
        <v>311635522</v>
      </c>
      <c r="D55" s="35" t="n">
        <f aca="false">D49+D50+D51+D52+D53+D54</f>
        <v>264378171.566729</v>
      </c>
      <c r="E55" s="35" t="n">
        <f aca="false">E49+E50+E51+E52+E53+E54</f>
        <v>205618296.671343</v>
      </c>
      <c r="F55" s="35" t="n">
        <f aca="false">F49+F50+F51+F52+F53+F54</f>
        <v>216593449.727021</v>
      </c>
      <c r="G55" s="35" t="n">
        <f aca="false">G49+G50+G51+G52+G53+G54</f>
        <v>244978993.842539</v>
      </c>
      <c r="H55" s="35" t="n">
        <f aca="false">H49+H50+H51+H52+H53+H54</f>
        <v>241914125.974944</v>
      </c>
      <c r="I55" s="38"/>
    </row>
    <row r="56" customFormat="false" ht="15" hidden="false" customHeight="false" outlineLevel="0" collapsed="false">
      <c r="A56" s="13" t="s">
        <v>389</v>
      </c>
      <c r="B56" s="12" t="s">
        <v>390</v>
      </c>
      <c r="C56" s="15" t="n">
        <f aca="false">SUMIFS(BALANCES!$E:$E,BALANCES!$C:$C,"DQ")-(SUMIFS(BALANCES!$D:$D,BALANCES!$C:$C,"DQ"))</f>
        <v>0</v>
      </c>
      <c r="D56" s="15" t="n">
        <f aca="false">SUMIFS(BALANCES!$G:$G,BALANCES!$C:$C,"DQ")-(SUMIFS(BALANCES!$F:$F,BALANCES!$C:$C,"DQ"))</f>
        <v>0</v>
      </c>
      <c r="E56" s="15" t="n">
        <f aca="false">SUMIFS(BALANCES!$I:$I,BALANCES!$C:$C,"DQ")-(SUMIFS(BALANCES!$H:$H,BALANCES!$C:$C,"DQ"))</f>
        <v>0</v>
      </c>
      <c r="F56" s="15" t="n">
        <f aca="false">SUMIFS(BALANCES!$K:$K,BALANCES!$C:$C,"DQ")-(SUMIFS(BALANCES!$J:$J,BALANCES!$C:$C,"DQ"))</f>
        <v>0</v>
      </c>
      <c r="G56" s="15" t="n">
        <f aca="false">SUMIFS(BALANCES!$M:$M,BALANCES!$C:$C,"DQ")-(SUMIFS(BALANCES!$L:$L,BALANCES!$C:$C,"DQ"))</f>
        <v>0</v>
      </c>
      <c r="H56" s="15" t="n">
        <f aca="false">SUMIFS(BALANCES!$O:$O,BALANCES!$C:$C,"DQ")-(SUMIFS(BALANCES!$N:$N,BALANCES!$C:$C,"DQ"))</f>
        <v>0</v>
      </c>
    </row>
    <row r="57" customFormat="false" ht="15" hidden="false" customHeight="false" outlineLevel="0" collapsed="false">
      <c r="A57" s="13" t="s">
        <v>391</v>
      </c>
      <c r="B57" s="12" t="s">
        <v>392</v>
      </c>
      <c r="C57" s="15" t="n">
        <f aca="false">SUMIFS(BALANCES!$E:$E,BALANCES!$C:$C,"DR")+SUMIFS(BALANCES!$E:$E,BALANCES!$C:$C,"TRESO")-(SUMIFS(BALANCES!$D:$D,BALANCES!$C:$C,"DR"))</f>
        <v>0</v>
      </c>
      <c r="D57" s="15" t="n">
        <f aca="false">SUMIFS(BALANCES!$G:$G,BALANCES!$C:$C,"DR")+SUMIFS(BALANCES!$G:$G,BALANCES!$C:$C,"TRESO")-(SUMIFS(BALANCES!$F:$F,BALANCES!$C:$C,"DR"))</f>
        <v>0</v>
      </c>
      <c r="E57" s="15" t="n">
        <f aca="false">SUMIFS(BALANCES!$I:$I,BALANCES!$C:$C,"DR")+SUMIFS(BALANCES!$I:$I,BALANCES!$C:$C,"TRESO")-(SUMIFS(BALANCES!$H:$H,BALANCES!$C:$C,"DR"))</f>
        <v>0</v>
      </c>
      <c r="F57" s="15" t="n">
        <f aca="false">SUMIFS(BALANCES!$K:$K,BALANCES!$C:$C,"DR")+SUMIFS(BALANCES!$K:$K,BALANCES!$C:$C,"TRESO")-(SUMIFS(BALANCES!$J:$J,BALANCES!$C:$C,"DR"))</f>
        <v>0</v>
      </c>
      <c r="G57" s="15" t="n">
        <f aca="false">SUMIFS(BALANCES!$M:$M,BALANCES!$C:$C,"DR")+SUMIFS(BALANCES!$M:$M,BALANCES!$C:$C,"TRESO")-(SUMIFS(BALANCES!$L:$L,BALANCES!$C:$C,"DR"))</f>
        <v>0</v>
      </c>
      <c r="H57" s="15" t="n">
        <f aca="false">SUMIFS(BALANCES!$O:$O,BALANCES!$C:$C,"DR")+SUMIFS(BALANCES!$O:$O,BALANCES!$C:$C,"TRESO")-(SUMIFS(BALANCES!$N:$N,BALANCES!$C:$C,"DR"))</f>
        <v>0</v>
      </c>
    </row>
    <row r="58" customFormat="false" ht="15" hidden="false" customHeight="false" outlineLevel="0" collapsed="false">
      <c r="A58" s="34" t="s">
        <v>393</v>
      </c>
      <c r="B58" s="34" t="s">
        <v>394</v>
      </c>
      <c r="C58" s="35" t="n">
        <f aca="false">C56+C57</f>
        <v>0</v>
      </c>
      <c r="D58" s="35" t="n">
        <f aca="false">D56+D57</f>
        <v>0</v>
      </c>
      <c r="E58" s="35" t="n">
        <f aca="false">E56+E57</f>
        <v>0</v>
      </c>
      <c r="F58" s="35" t="n">
        <f aca="false">F56+F57</f>
        <v>0</v>
      </c>
      <c r="G58" s="35" t="n">
        <f aca="false">G56+G57</f>
        <v>0</v>
      </c>
      <c r="H58" s="35" t="n">
        <f aca="false">H56+H57</f>
        <v>0</v>
      </c>
      <c r="I58" s="38"/>
    </row>
    <row r="59" customFormat="false" ht="15" hidden="false" customHeight="false" outlineLevel="0" collapsed="false">
      <c r="A59" s="13" t="s">
        <v>395</v>
      </c>
      <c r="B59" s="12" t="s">
        <v>396</v>
      </c>
      <c r="C59" s="15" t="n">
        <f aca="false">SUMIFS(BALANCES!$E:$E,BALANCES!$C:$C,"DV")-(SUMIFS(BALANCES!$D:$D,BALANCES!$C:$C,"DV"))</f>
        <v>0</v>
      </c>
      <c r="D59" s="15" t="n">
        <f aca="false">SUMIFS(BALANCES!$G:$G,BALANCES!$C:$C,"DV")-(SUMIFS(BALANCES!$F:$F,BALANCES!$C:$C,"DV"))</f>
        <v>0</v>
      </c>
      <c r="E59" s="15" t="n">
        <f aca="false">SUMIFS(BALANCES!$I:$I,BALANCES!$C:$C,"DV")-(SUMIFS(BALANCES!$H:$H,BALANCES!$C:$C,"DV"))</f>
        <v>0</v>
      </c>
      <c r="F59" s="15" t="n">
        <f aca="false">SUMIFS(BALANCES!$K:$K,BALANCES!$C:$C,"DV")-(SUMIFS(BALANCES!$J:$J,BALANCES!$C:$C,"DV"))</f>
        <v>0</v>
      </c>
      <c r="G59" s="15" t="n">
        <f aca="false">SUMIFS(BALANCES!$M:$M,BALANCES!$C:$C,"DV")-(SUMIFS(BALANCES!$L:$L,BALANCES!$C:$C,"DV"))</f>
        <v>0</v>
      </c>
      <c r="H59" s="15" t="n">
        <f aca="false">SUMIFS(BALANCES!$O:$O,BALANCES!$C:$C,"DV")-(SUMIFS(BALANCES!$N:$N,BALANCES!$C:$C,"DV"))</f>
        <v>0</v>
      </c>
    </row>
    <row r="60" customFormat="false" ht="15" hidden="false" customHeight="false" outlineLevel="0" collapsed="false">
      <c r="A60" s="34" t="s">
        <v>397</v>
      </c>
      <c r="B60" s="34" t="s">
        <v>398</v>
      </c>
      <c r="C60" s="35" t="n">
        <f aca="false">C48+C55+C58+C59</f>
        <v>1239686672</v>
      </c>
      <c r="D60" s="35" t="n">
        <f aca="false">D48+D55+D58+D59</f>
        <v>1234583066.50788</v>
      </c>
      <c r="E60" s="35" t="n">
        <f aca="false">E48+E55+E58+E59</f>
        <v>1231752523.9662</v>
      </c>
      <c r="F60" s="35" t="n">
        <f aca="false">F48+F55+F58+F59</f>
        <v>1326519529.32627</v>
      </c>
      <c r="G60" s="35" t="n">
        <f aca="false">G48+G55+G58+G59</f>
        <v>1454049918.4489</v>
      </c>
      <c r="H60" s="35" t="n">
        <f aca="false">H48+H55+H58+H59</f>
        <v>1557158137.02628</v>
      </c>
      <c r="I60" s="39" t="n">
        <f aca="false">IF(OR(C60&lt;=0,H60&lt;=0),"",(H60/C60)^(1/5)-1)</f>
        <v>0.0466564581210496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72"/>
    <col collapsed="false" customWidth="true" hidden="false" outlineLevel="0" max="8" min="3" style="0" width="16"/>
    <col collapsed="false" customWidth="true" hidden="false" outlineLevel="0" max="9" min="9" style="0" width="13"/>
  </cols>
  <sheetData>
    <row r="1" customFormat="false" ht="24" hidden="false" customHeight="true" outlineLevel="0" collapsed="false">
      <c r="A1" s="1" t="s">
        <v>399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400</v>
      </c>
    </row>
    <row r="3" customFormat="false" ht="15" hidden="false" customHeight="false" outlineLevel="0" collapsed="false">
      <c r="A3" s="4" t="str">
        <f aca="false">"Entité : "&amp;HYPOTHESES!$C$4</f>
        <v>Entité : MON ENTREPRISE</v>
      </c>
    </row>
    <row r="5" customFormat="false" ht="15" hidden="false" customHeight="false" outlineLevel="0" collapsed="false">
      <c r="A5" s="36" t="s">
        <v>308</v>
      </c>
      <c r="B5" s="36" t="s">
        <v>401</v>
      </c>
      <c r="C5" s="36" t="str">
        <f aca="false">"Réel "&amp;HYPOTHESES!$C$5</f>
        <v>Réel 2024</v>
      </c>
      <c r="D5" s="37" t="n">
        <f aca="false">HYPOTHESES!$C$5+1</f>
        <v>2025</v>
      </c>
      <c r="E5" s="37" t="n">
        <f aca="false">HYPOTHESES!$C$5+2</f>
        <v>2026</v>
      </c>
      <c r="F5" s="37" t="n">
        <f aca="false">HYPOTHESES!$C$5+3</f>
        <v>2027</v>
      </c>
      <c r="G5" s="37" t="n">
        <f aca="false">HYPOTHESES!$C$5+4</f>
        <v>2028</v>
      </c>
      <c r="H5" s="37" t="n">
        <f aca="false">HYPOTHESES!$C$5+5</f>
        <v>2029</v>
      </c>
      <c r="I5" s="36" t="s">
        <v>310</v>
      </c>
    </row>
    <row r="6" customFormat="false" ht="15" hidden="false" customHeight="false" outlineLevel="0" collapsed="false">
      <c r="A6" s="13" t="s">
        <v>402</v>
      </c>
      <c r="B6" s="12" t="s">
        <v>403</v>
      </c>
      <c r="C6" s="15" t="n">
        <f aca="false">SUMIFS(BALANCES!$E:$E,BALANCES!$C:$C,"TA")-(SUMIFS(BALANCES!$D:$D,BALANCES!$C:$C,"TA"))</f>
        <v>0</v>
      </c>
      <c r="D6" s="15" t="n">
        <f aca="false">SUMIFS(BALANCES!$G:$G,BALANCES!$C:$C,"TA")-(SUMIFS(BALANCES!$F:$F,BALANCES!$C:$C,"TA"))</f>
        <v>0</v>
      </c>
      <c r="E6" s="15" t="n">
        <f aca="false">SUMIFS(BALANCES!$I:$I,BALANCES!$C:$C,"TA")-(SUMIFS(BALANCES!$H:$H,BALANCES!$C:$C,"TA"))</f>
        <v>0</v>
      </c>
      <c r="F6" s="15" t="n">
        <f aca="false">SUMIFS(BALANCES!$K:$K,BALANCES!$C:$C,"TA")-(SUMIFS(BALANCES!$J:$J,BALANCES!$C:$C,"TA"))</f>
        <v>0</v>
      </c>
      <c r="G6" s="15" t="n">
        <f aca="false">SUMIFS(BALANCES!$M:$M,BALANCES!$C:$C,"TA")-(SUMIFS(BALANCES!$L:$L,BALANCES!$C:$C,"TA"))</f>
        <v>0</v>
      </c>
      <c r="H6" s="15" t="n">
        <f aca="false">SUMIFS(BALANCES!$O:$O,BALANCES!$C:$C,"TA")-(SUMIFS(BALANCES!$N:$N,BALANCES!$C:$C,"TA"))</f>
        <v>0</v>
      </c>
    </row>
    <row r="7" customFormat="false" ht="15" hidden="false" customHeight="false" outlineLevel="0" collapsed="false">
      <c r="A7" s="13" t="s">
        <v>404</v>
      </c>
      <c r="B7" s="12" t="s">
        <v>405</v>
      </c>
      <c r="C7" s="15" t="n">
        <f aca="false">SUMIFS(BALANCES!$E:$E,BALANCES!$C:$C,"RA")-(SUMIFS(BALANCES!$D:$D,BALANCES!$C:$C,"RA"))</f>
        <v>0</v>
      </c>
      <c r="D7" s="15" t="n">
        <f aca="false">SUMIFS(BALANCES!$G:$G,BALANCES!$C:$C,"RA")-(SUMIFS(BALANCES!$F:$F,BALANCES!$C:$C,"RA"))</f>
        <v>0</v>
      </c>
      <c r="E7" s="15" t="n">
        <f aca="false">SUMIFS(BALANCES!$I:$I,BALANCES!$C:$C,"RA")-(SUMIFS(BALANCES!$H:$H,BALANCES!$C:$C,"RA"))</f>
        <v>0</v>
      </c>
      <c r="F7" s="15" t="n">
        <f aca="false">SUMIFS(BALANCES!$K:$K,BALANCES!$C:$C,"RA")-(SUMIFS(BALANCES!$J:$J,BALANCES!$C:$C,"RA"))</f>
        <v>0</v>
      </c>
      <c r="G7" s="15" t="n">
        <f aca="false">SUMIFS(BALANCES!$M:$M,BALANCES!$C:$C,"RA")-(SUMIFS(BALANCES!$L:$L,BALANCES!$C:$C,"RA"))</f>
        <v>0</v>
      </c>
      <c r="H7" s="15" t="n">
        <f aca="false">SUMIFS(BALANCES!$O:$O,BALANCES!$C:$C,"RA")-(SUMIFS(BALANCES!$N:$N,BALANCES!$C:$C,"RA"))</f>
        <v>0</v>
      </c>
    </row>
    <row r="8" customFormat="false" ht="15" hidden="false" customHeight="false" outlineLevel="0" collapsed="false">
      <c r="A8" s="13" t="s">
        <v>406</v>
      </c>
      <c r="B8" s="12" t="s">
        <v>407</v>
      </c>
      <c r="C8" s="15" t="n">
        <f aca="false">SUMIFS(BALANCES!$E:$E,BALANCES!$C:$C,"RB")-(SUMIFS(BALANCES!$D:$D,BALANCES!$C:$C,"RB"))</f>
        <v>0</v>
      </c>
      <c r="D8" s="15" t="n">
        <f aca="false">SUMIFS(BALANCES!$G:$G,BALANCES!$C:$C,"RB")-(SUMIFS(BALANCES!$F:$F,BALANCES!$C:$C,"RB"))</f>
        <v>0</v>
      </c>
      <c r="E8" s="15" t="n">
        <f aca="false">SUMIFS(BALANCES!$I:$I,BALANCES!$C:$C,"RB")-(SUMIFS(BALANCES!$H:$H,BALANCES!$C:$C,"RB"))</f>
        <v>0</v>
      </c>
      <c r="F8" s="15" t="n">
        <f aca="false">SUMIFS(BALANCES!$K:$K,BALANCES!$C:$C,"RB")-(SUMIFS(BALANCES!$J:$J,BALANCES!$C:$C,"RB"))</f>
        <v>0</v>
      </c>
      <c r="G8" s="15" t="n">
        <f aca="false">SUMIFS(BALANCES!$M:$M,BALANCES!$C:$C,"RB")-(SUMIFS(BALANCES!$L:$L,BALANCES!$C:$C,"RB"))</f>
        <v>0</v>
      </c>
      <c r="H8" s="15" t="n">
        <f aca="false">SUMIFS(BALANCES!$O:$O,BALANCES!$C:$C,"RB")-(SUMIFS(BALANCES!$N:$N,BALANCES!$C:$C,"RB"))</f>
        <v>0</v>
      </c>
    </row>
    <row r="9" customFormat="false" ht="15" hidden="false" customHeight="false" outlineLevel="0" collapsed="false">
      <c r="A9" s="34" t="s">
        <v>408</v>
      </c>
      <c r="B9" s="34" t="s">
        <v>409</v>
      </c>
      <c r="C9" s="35" t="n">
        <f aca="false">C6+C7+C8</f>
        <v>0</v>
      </c>
      <c r="D9" s="35" t="n">
        <f aca="false">D6+D7+D8</f>
        <v>0</v>
      </c>
      <c r="E9" s="35" t="n">
        <f aca="false">E6+E7+E8</f>
        <v>0</v>
      </c>
      <c r="F9" s="35" t="n">
        <f aca="false">F6+F7+F8</f>
        <v>0</v>
      </c>
      <c r="G9" s="35" t="n">
        <f aca="false">G6+G7+G8</f>
        <v>0</v>
      </c>
      <c r="H9" s="35" t="n">
        <f aca="false">H6+H7+H8</f>
        <v>0</v>
      </c>
      <c r="I9" s="38"/>
    </row>
    <row r="10" customFormat="false" ht="15" hidden="false" customHeight="false" outlineLevel="0" collapsed="false">
      <c r="A10" s="13" t="s">
        <v>410</v>
      </c>
      <c r="B10" s="12" t="s">
        <v>411</v>
      </c>
      <c r="C10" s="15" t="n">
        <f aca="false">SUMIFS(BALANCES!$E:$E,BALANCES!$C:$C,"TB")-(SUMIFS(BALANCES!$D:$D,BALANCES!$C:$C,"TB"))</f>
        <v>0</v>
      </c>
      <c r="D10" s="15" t="n">
        <f aca="false">SUMIFS(BALANCES!$G:$G,BALANCES!$C:$C,"TB")-(SUMIFS(BALANCES!$F:$F,BALANCES!$C:$C,"TB"))</f>
        <v>0</v>
      </c>
      <c r="E10" s="15" t="n">
        <f aca="false">SUMIFS(BALANCES!$I:$I,BALANCES!$C:$C,"TB")-(SUMIFS(BALANCES!$H:$H,BALANCES!$C:$C,"TB"))</f>
        <v>0</v>
      </c>
      <c r="F10" s="15" t="n">
        <f aca="false">SUMIFS(BALANCES!$K:$K,BALANCES!$C:$C,"TB")-(SUMIFS(BALANCES!$J:$J,BALANCES!$C:$C,"TB"))</f>
        <v>0</v>
      </c>
      <c r="G10" s="15" t="n">
        <f aca="false">SUMIFS(BALANCES!$M:$M,BALANCES!$C:$C,"TB")-(SUMIFS(BALANCES!$L:$L,BALANCES!$C:$C,"TB"))</f>
        <v>0</v>
      </c>
      <c r="H10" s="15" t="n">
        <f aca="false">SUMIFS(BALANCES!$O:$O,BALANCES!$C:$C,"TB")-(SUMIFS(BALANCES!$N:$N,BALANCES!$C:$C,"TB"))</f>
        <v>0</v>
      </c>
    </row>
    <row r="11" customFormat="false" ht="15" hidden="false" customHeight="false" outlineLevel="0" collapsed="false">
      <c r="A11" s="13" t="s">
        <v>297</v>
      </c>
      <c r="B11" s="12" t="s">
        <v>412</v>
      </c>
      <c r="C11" s="15" t="n">
        <f aca="false">SUMIFS(BALANCES!$E:$E,BALANCES!$C:$C,"TC")-(SUMIFS(BALANCES!$D:$D,BALANCES!$C:$C,"TC"))</f>
        <v>701026695</v>
      </c>
      <c r="D11" s="15" t="n">
        <f aca="false">SUMIFS(BALANCES!$G:$G,BALANCES!$C:$C,"TC")-(SUMIFS(BALANCES!$F:$F,BALANCES!$C:$C,"TC"))</f>
        <v>736078029.75</v>
      </c>
      <c r="E11" s="15" t="n">
        <f aca="false">SUMIFS(BALANCES!$I:$I,BALANCES!$C:$C,"TC")-(SUMIFS(BALANCES!$H:$H,BALANCES!$C:$C,"TC"))</f>
        <v>772881931.2375</v>
      </c>
      <c r="F11" s="15" t="n">
        <f aca="false">SUMIFS(BALANCES!$K:$K,BALANCES!$C:$C,"TC")-(SUMIFS(BALANCES!$J:$J,BALANCES!$C:$C,"TC"))</f>
        <v>811526027.799375</v>
      </c>
      <c r="G11" s="15" t="n">
        <f aca="false">SUMIFS(BALANCES!$M:$M,BALANCES!$C:$C,"TC")-(SUMIFS(BALANCES!$L:$L,BALANCES!$C:$C,"TC"))</f>
        <v>852102329.189344</v>
      </c>
      <c r="H11" s="15" t="n">
        <f aca="false">SUMIFS(BALANCES!$O:$O,BALANCES!$C:$C,"TC")-(SUMIFS(BALANCES!$N:$N,BALANCES!$C:$C,"TC"))</f>
        <v>894707445.648811</v>
      </c>
    </row>
    <row r="12" customFormat="false" ht="15" hidden="false" customHeight="false" outlineLevel="0" collapsed="false">
      <c r="A12" s="13" t="s">
        <v>413</v>
      </c>
      <c r="B12" s="12" t="s">
        <v>414</v>
      </c>
      <c r="C12" s="15" t="n">
        <f aca="false">SUMIFS(BALANCES!$E:$E,BALANCES!$C:$C,"TD")-(SUMIFS(BALANCES!$D:$D,BALANCES!$C:$C,"TD"))</f>
        <v>0</v>
      </c>
      <c r="D12" s="15" t="n">
        <f aca="false">SUMIFS(BALANCES!$G:$G,BALANCES!$C:$C,"TD")-(SUMIFS(BALANCES!$F:$F,BALANCES!$C:$C,"TD"))</f>
        <v>0</v>
      </c>
      <c r="E12" s="15" t="n">
        <f aca="false">SUMIFS(BALANCES!$I:$I,BALANCES!$C:$C,"TD")-(SUMIFS(BALANCES!$H:$H,BALANCES!$C:$C,"TD"))</f>
        <v>0</v>
      </c>
      <c r="F12" s="15" t="n">
        <f aca="false">SUMIFS(BALANCES!$K:$K,BALANCES!$C:$C,"TD")-(SUMIFS(BALANCES!$J:$J,BALANCES!$C:$C,"TD"))</f>
        <v>0</v>
      </c>
      <c r="G12" s="15" t="n">
        <f aca="false">SUMIFS(BALANCES!$M:$M,BALANCES!$C:$C,"TD")-(SUMIFS(BALANCES!$L:$L,BALANCES!$C:$C,"TD"))</f>
        <v>0</v>
      </c>
      <c r="H12" s="15" t="n">
        <f aca="false">SUMIFS(BALANCES!$O:$O,BALANCES!$C:$C,"TD")-(SUMIFS(BALANCES!$N:$N,BALANCES!$C:$C,"TD"))</f>
        <v>0</v>
      </c>
    </row>
    <row r="13" customFormat="false" ht="15" hidden="false" customHeight="false" outlineLevel="0" collapsed="false">
      <c r="A13" s="34" t="s">
        <v>415</v>
      </c>
      <c r="B13" s="34" t="s">
        <v>416</v>
      </c>
      <c r="C13" s="35" t="n">
        <f aca="false">C6+C10+C11+C12</f>
        <v>701026695</v>
      </c>
      <c r="D13" s="35" t="n">
        <f aca="false">D6+D10+D11+D12</f>
        <v>736078029.75</v>
      </c>
      <c r="E13" s="35" t="n">
        <f aca="false">E6+E10+E11+E12</f>
        <v>772881931.2375</v>
      </c>
      <c r="F13" s="35" t="n">
        <f aca="false">F6+F10+F11+F12</f>
        <v>811526027.799375</v>
      </c>
      <c r="G13" s="35" t="n">
        <f aca="false">G6+G10+G11+G12</f>
        <v>852102329.189344</v>
      </c>
      <c r="H13" s="35" t="n">
        <f aca="false">H6+H10+H11+H12</f>
        <v>894707445.648811</v>
      </c>
      <c r="I13" s="39" t="n">
        <f aca="false">IF(OR(C13&lt;=0,H13&lt;=0),"",(H13/C13)^(1/5)-1)</f>
        <v>0.05</v>
      </c>
    </row>
    <row r="14" customFormat="false" ht="15" hidden="false" customHeight="false" outlineLevel="0" collapsed="false">
      <c r="A14" s="13" t="s">
        <v>417</v>
      </c>
      <c r="B14" s="12" t="s">
        <v>418</v>
      </c>
      <c r="C14" s="15" t="n">
        <f aca="false">SUMIFS(BALANCES!$E:$E,BALANCES!$C:$C,"TE")-(SUMIFS(BALANCES!$D:$D,BALANCES!$C:$C,"TE"))</f>
        <v>0</v>
      </c>
      <c r="D14" s="15" t="n">
        <f aca="false">SUMIFS(BALANCES!$G:$G,BALANCES!$C:$C,"TE")-(SUMIFS(BALANCES!$F:$F,BALANCES!$C:$C,"TE"))</f>
        <v>0</v>
      </c>
      <c r="E14" s="15" t="n">
        <f aca="false">SUMIFS(BALANCES!$I:$I,BALANCES!$C:$C,"TE")-(SUMIFS(BALANCES!$H:$H,BALANCES!$C:$C,"TE"))</f>
        <v>0</v>
      </c>
      <c r="F14" s="15" t="n">
        <f aca="false">SUMIFS(BALANCES!$K:$K,BALANCES!$C:$C,"TE")-(SUMIFS(BALANCES!$J:$J,BALANCES!$C:$C,"TE"))</f>
        <v>0</v>
      </c>
      <c r="G14" s="15" t="n">
        <f aca="false">SUMIFS(BALANCES!$M:$M,BALANCES!$C:$C,"TE")-(SUMIFS(BALANCES!$L:$L,BALANCES!$C:$C,"TE"))</f>
        <v>0</v>
      </c>
      <c r="H14" s="15" t="n">
        <f aca="false">SUMIFS(BALANCES!$O:$O,BALANCES!$C:$C,"TE")-(SUMIFS(BALANCES!$N:$N,BALANCES!$C:$C,"TE"))</f>
        <v>0</v>
      </c>
    </row>
    <row r="15" customFormat="false" ht="15" hidden="false" customHeight="false" outlineLevel="0" collapsed="false">
      <c r="A15" s="13" t="s">
        <v>419</v>
      </c>
      <c r="B15" s="12" t="s">
        <v>420</v>
      </c>
      <c r="C15" s="15" t="n">
        <f aca="false">SUMIFS(BALANCES!$E:$E,BALANCES!$C:$C,"TF")-(SUMIFS(BALANCES!$D:$D,BALANCES!$C:$C,"TF"))</f>
        <v>0</v>
      </c>
      <c r="D15" s="15" t="n">
        <f aca="false">SUMIFS(BALANCES!$G:$G,BALANCES!$C:$C,"TF")-(SUMIFS(BALANCES!$F:$F,BALANCES!$C:$C,"TF"))</f>
        <v>0</v>
      </c>
      <c r="E15" s="15" t="n">
        <f aca="false">SUMIFS(BALANCES!$I:$I,BALANCES!$C:$C,"TF")-(SUMIFS(BALANCES!$H:$H,BALANCES!$C:$C,"TF"))</f>
        <v>0</v>
      </c>
      <c r="F15" s="15" t="n">
        <f aca="false">SUMIFS(BALANCES!$K:$K,BALANCES!$C:$C,"TF")-(SUMIFS(BALANCES!$J:$J,BALANCES!$C:$C,"TF"))</f>
        <v>0</v>
      </c>
      <c r="G15" s="15" t="n">
        <f aca="false">SUMIFS(BALANCES!$M:$M,BALANCES!$C:$C,"TF")-(SUMIFS(BALANCES!$L:$L,BALANCES!$C:$C,"TF"))</f>
        <v>0</v>
      </c>
      <c r="H15" s="15" t="n">
        <f aca="false">SUMIFS(BALANCES!$O:$O,BALANCES!$C:$C,"TF")-(SUMIFS(BALANCES!$N:$N,BALANCES!$C:$C,"TF"))</f>
        <v>0</v>
      </c>
    </row>
    <row r="16" customFormat="false" ht="15" hidden="false" customHeight="false" outlineLevel="0" collapsed="false">
      <c r="A16" s="13" t="s">
        <v>421</v>
      </c>
      <c r="B16" s="12" t="s">
        <v>422</v>
      </c>
      <c r="C16" s="15" t="n">
        <f aca="false">SUMIFS(BALANCES!$E:$E,BALANCES!$C:$C,"TG")-(SUMIFS(BALANCES!$D:$D,BALANCES!$C:$C,"TG"))</f>
        <v>0</v>
      </c>
      <c r="D16" s="15" t="n">
        <f aca="false">SUMIFS(BALANCES!$G:$G,BALANCES!$C:$C,"TG")-(SUMIFS(BALANCES!$F:$F,BALANCES!$C:$C,"TG"))</f>
        <v>0</v>
      </c>
      <c r="E16" s="15" t="n">
        <f aca="false">SUMIFS(BALANCES!$I:$I,BALANCES!$C:$C,"TG")-(SUMIFS(BALANCES!$H:$H,BALANCES!$C:$C,"TG"))</f>
        <v>0</v>
      </c>
      <c r="F16" s="15" t="n">
        <f aca="false">SUMIFS(BALANCES!$K:$K,BALANCES!$C:$C,"TG")-(SUMIFS(BALANCES!$J:$J,BALANCES!$C:$C,"TG"))</f>
        <v>0</v>
      </c>
      <c r="G16" s="15" t="n">
        <f aca="false">SUMIFS(BALANCES!$M:$M,BALANCES!$C:$C,"TG")-(SUMIFS(BALANCES!$L:$L,BALANCES!$C:$C,"TG"))</f>
        <v>0</v>
      </c>
      <c r="H16" s="15" t="n">
        <f aca="false">SUMIFS(BALANCES!$O:$O,BALANCES!$C:$C,"TG")-(SUMIFS(BALANCES!$N:$N,BALANCES!$C:$C,"TG"))</f>
        <v>0</v>
      </c>
    </row>
    <row r="17" customFormat="false" ht="15" hidden="false" customHeight="false" outlineLevel="0" collapsed="false">
      <c r="A17" s="13" t="s">
        <v>423</v>
      </c>
      <c r="B17" s="12" t="s">
        <v>424</v>
      </c>
      <c r="C17" s="15" t="n">
        <f aca="false">SUMIFS(BALANCES!$E:$E,BALANCES!$C:$C,"TH")-(SUMIFS(BALANCES!$D:$D,BALANCES!$C:$C,"TH"))</f>
        <v>0</v>
      </c>
      <c r="D17" s="15" t="n">
        <f aca="false">SUMIFS(BALANCES!$G:$G,BALANCES!$C:$C,"TH")-(SUMIFS(BALANCES!$F:$F,BALANCES!$C:$C,"TH"))</f>
        <v>0</v>
      </c>
      <c r="E17" s="15" t="n">
        <f aca="false">SUMIFS(BALANCES!$I:$I,BALANCES!$C:$C,"TH")-(SUMIFS(BALANCES!$H:$H,BALANCES!$C:$C,"TH"))</f>
        <v>0</v>
      </c>
      <c r="F17" s="15" t="n">
        <f aca="false">SUMIFS(BALANCES!$K:$K,BALANCES!$C:$C,"TH")-(SUMIFS(BALANCES!$J:$J,BALANCES!$C:$C,"TH"))</f>
        <v>0</v>
      </c>
      <c r="G17" s="15" t="n">
        <f aca="false">SUMIFS(BALANCES!$M:$M,BALANCES!$C:$C,"TH")-(SUMIFS(BALANCES!$L:$L,BALANCES!$C:$C,"TH"))</f>
        <v>0</v>
      </c>
      <c r="H17" s="15" t="n">
        <f aca="false">SUMIFS(BALANCES!$O:$O,BALANCES!$C:$C,"TH")-(SUMIFS(BALANCES!$N:$N,BALANCES!$C:$C,"TH"))</f>
        <v>0</v>
      </c>
    </row>
    <row r="18" customFormat="false" ht="15" hidden="false" customHeight="false" outlineLevel="0" collapsed="false">
      <c r="A18" s="13" t="s">
        <v>425</v>
      </c>
      <c r="B18" s="12" t="s">
        <v>426</v>
      </c>
      <c r="C18" s="15" t="n">
        <f aca="false">SUMIFS(BALANCES!$E:$E,BALANCES!$C:$C,"TI")-(SUMIFS(BALANCES!$D:$D,BALANCES!$C:$C,"TI"))</f>
        <v>0</v>
      </c>
      <c r="D18" s="15" t="n">
        <f aca="false">SUMIFS(BALANCES!$G:$G,BALANCES!$C:$C,"TI")-(SUMIFS(BALANCES!$F:$F,BALANCES!$C:$C,"TI"))</f>
        <v>0</v>
      </c>
      <c r="E18" s="15" t="n">
        <f aca="false">SUMIFS(BALANCES!$I:$I,BALANCES!$C:$C,"TI")-(SUMIFS(BALANCES!$H:$H,BALANCES!$C:$C,"TI"))</f>
        <v>0</v>
      </c>
      <c r="F18" s="15" t="n">
        <f aca="false">SUMIFS(BALANCES!$K:$K,BALANCES!$C:$C,"TI")-(SUMIFS(BALANCES!$J:$J,BALANCES!$C:$C,"TI"))</f>
        <v>0</v>
      </c>
      <c r="G18" s="15" t="n">
        <f aca="false">SUMIFS(BALANCES!$M:$M,BALANCES!$C:$C,"TI")-(SUMIFS(BALANCES!$L:$L,BALANCES!$C:$C,"TI"))</f>
        <v>0</v>
      </c>
      <c r="H18" s="15" t="n">
        <f aca="false">SUMIFS(BALANCES!$O:$O,BALANCES!$C:$C,"TI")-(SUMIFS(BALANCES!$N:$N,BALANCES!$C:$C,"TI"))</f>
        <v>0</v>
      </c>
    </row>
    <row r="19" customFormat="false" ht="15" hidden="false" customHeight="false" outlineLevel="0" collapsed="false">
      <c r="A19" s="13" t="s">
        <v>427</v>
      </c>
      <c r="B19" s="12" t="s">
        <v>428</v>
      </c>
      <c r="C19" s="15" t="n">
        <f aca="false">SUMIFS(BALANCES!$E:$E,BALANCES!$C:$C,"RC")-(SUMIFS(BALANCES!$D:$D,BALANCES!$C:$C,"RC"))</f>
        <v>0</v>
      </c>
      <c r="D19" s="15" t="n">
        <f aca="false">SUMIFS(BALANCES!$G:$G,BALANCES!$C:$C,"RC")-(SUMIFS(BALANCES!$F:$F,BALANCES!$C:$C,"RC"))</f>
        <v>0</v>
      </c>
      <c r="E19" s="15" t="n">
        <f aca="false">SUMIFS(BALANCES!$I:$I,BALANCES!$C:$C,"RC")-(SUMIFS(BALANCES!$H:$H,BALANCES!$C:$C,"RC"))</f>
        <v>0</v>
      </c>
      <c r="F19" s="15" t="n">
        <f aca="false">SUMIFS(BALANCES!$K:$K,BALANCES!$C:$C,"RC")-(SUMIFS(BALANCES!$J:$J,BALANCES!$C:$C,"RC"))</f>
        <v>0</v>
      </c>
      <c r="G19" s="15" t="n">
        <f aca="false">SUMIFS(BALANCES!$M:$M,BALANCES!$C:$C,"RC")-(SUMIFS(BALANCES!$L:$L,BALANCES!$C:$C,"RC"))</f>
        <v>0</v>
      </c>
      <c r="H19" s="15" t="n">
        <f aca="false">SUMIFS(BALANCES!$O:$O,BALANCES!$C:$C,"RC")-(SUMIFS(BALANCES!$N:$N,BALANCES!$C:$C,"RC"))</f>
        <v>0</v>
      </c>
    </row>
    <row r="20" customFormat="false" ht="15" hidden="false" customHeight="false" outlineLevel="0" collapsed="false">
      <c r="A20" s="13" t="s">
        <v>429</v>
      </c>
      <c r="B20" s="12" t="s">
        <v>430</v>
      </c>
      <c r="C20" s="15" t="n">
        <f aca="false">SUMIFS(BALANCES!$E:$E,BALANCES!$C:$C,"RD")-(SUMIFS(BALANCES!$D:$D,BALANCES!$C:$C,"RD"))</f>
        <v>0</v>
      </c>
      <c r="D20" s="15" t="n">
        <f aca="false">SUMIFS(BALANCES!$G:$G,BALANCES!$C:$C,"RD")-(SUMIFS(BALANCES!$F:$F,BALANCES!$C:$C,"RD"))</f>
        <v>0</v>
      </c>
      <c r="E20" s="15" t="n">
        <f aca="false">SUMIFS(BALANCES!$I:$I,BALANCES!$C:$C,"RD")-(SUMIFS(BALANCES!$H:$H,BALANCES!$C:$C,"RD"))</f>
        <v>0</v>
      </c>
      <c r="F20" s="15" t="n">
        <f aca="false">SUMIFS(BALANCES!$K:$K,BALANCES!$C:$C,"RD")-(SUMIFS(BALANCES!$J:$J,BALANCES!$C:$C,"RD"))</f>
        <v>0</v>
      </c>
      <c r="G20" s="15" t="n">
        <f aca="false">SUMIFS(BALANCES!$M:$M,BALANCES!$C:$C,"RD")-(SUMIFS(BALANCES!$L:$L,BALANCES!$C:$C,"RD"))</f>
        <v>0</v>
      </c>
      <c r="H20" s="15" t="n">
        <f aca="false">SUMIFS(BALANCES!$O:$O,BALANCES!$C:$C,"RD")-(SUMIFS(BALANCES!$N:$N,BALANCES!$C:$C,"RD"))</f>
        <v>0</v>
      </c>
    </row>
    <row r="21" customFormat="false" ht="15" hidden="false" customHeight="false" outlineLevel="0" collapsed="false">
      <c r="A21" s="13" t="s">
        <v>246</v>
      </c>
      <c r="B21" s="12" t="s">
        <v>431</v>
      </c>
      <c r="C21" s="15" t="n">
        <f aca="false">SUMIFS(BALANCES!$E:$E,BALANCES!$C:$C,"RE")-(SUMIFS(BALANCES!$D:$D,BALANCES!$C:$C,"RE"))</f>
        <v>-278141464</v>
      </c>
      <c r="D21" s="15" t="n">
        <f aca="false">SUMIFS(BALANCES!$G:$G,BALANCES!$C:$C,"RE")-(SUMIFS(BALANCES!$F:$F,BALANCES!$C:$C,"RE"))</f>
        <v>-292075762.2048</v>
      </c>
      <c r="E21" s="15" t="n">
        <f aca="false">SUMIFS(BALANCES!$I:$I,BALANCES!$C:$C,"RE")-(SUMIFS(BALANCES!$H:$H,BALANCES!$C:$C,"RE"))</f>
        <v>-306679550.31504</v>
      </c>
      <c r="F21" s="15" t="n">
        <f aca="false">SUMIFS(BALANCES!$K:$K,BALANCES!$C:$C,"RE")-(SUMIFS(BALANCES!$J:$J,BALANCES!$C:$C,"RE"))</f>
        <v>-322013527.830792</v>
      </c>
      <c r="G21" s="15" t="n">
        <f aca="false">SUMIFS(BALANCES!$M:$M,BALANCES!$C:$C,"RE")-(SUMIFS(BALANCES!$L:$L,BALANCES!$C:$C,"RE"))</f>
        <v>-338114204.222332</v>
      </c>
      <c r="H21" s="15" t="n">
        <f aca="false">SUMIFS(BALANCES!$O:$O,BALANCES!$C:$C,"RE")-(SUMIFS(BALANCES!$N:$N,BALANCES!$C:$C,"RE"))</f>
        <v>-355019914.433448</v>
      </c>
    </row>
    <row r="22" customFormat="false" ht="15" hidden="false" customHeight="false" outlineLevel="0" collapsed="false">
      <c r="A22" s="13" t="s">
        <v>432</v>
      </c>
      <c r="B22" s="12" t="s">
        <v>433</v>
      </c>
      <c r="C22" s="15" t="n">
        <f aca="false">SUMIFS(BALANCES!$E:$E,BALANCES!$C:$C,"RF")-(SUMIFS(BALANCES!$D:$D,BALANCES!$C:$C,"RF"))</f>
        <v>0</v>
      </c>
      <c r="D22" s="15" t="n">
        <f aca="false">SUMIFS(BALANCES!$G:$G,BALANCES!$C:$C,"RF")-(SUMIFS(BALANCES!$F:$F,BALANCES!$C:$C,"RF"))</f>
        <v>0</v>
      </c>
      <c r="E22" s="15" t="n">
        <f aca="false">SUMIFS(BALANCES!$I:$I,BALANCES!$C:$C,"RF")-(SUMIFS(BALANCES!$H:$H,BALANCES!$C:$C,"RF"))</f>
        <v>0</v>
      </c>
      <c r="F22" s="15" t="n">
        <f aca="false">SUMIFS(BALANCES!$K:$K,BALANCES!$C:$C,"RF")-(SUMIFS(BALANCES!$J:$J,BALANCES!$C:$C,"RF"))</f>
        <v>0</v>
      </c>
      <c r="G22" s="15" t="n">
        <f aca="false">SUMIFS(BALANCES!$M:$M,BALANCES!$C:$C,"RF")-(SUMIFS(BALANCES!$L:$L,BALANCES!$C:$C,"RF"))</f>
        <v>0</v>
      </c>
      <c r="H22" s="15" t="n">
        <f aca="false">SUMIFS(BALANCES!$O:$O,BALANCES!$C:$C,"RF")-(SUMIFS(BALANCES!$N:$N,BALANCES!$C:$C,"RF"))</f>
        <v>0</v>
      </c>
    </row>
    <row r="23" customFormat="false" ht="15" hidden="false" customHeight="false" outlineLevel="0" collapsed="false">
      <c r="A23" s="13" t="s">
        <v>255</v>
      </c>
      <c r="B23" s="12" t="s">
        <v>23</v>
      </c>
      <c r="C23" s="15" t="n">
        <f aca="false">SUMIFS(BALANCES!$E:$E,BALANCES!$C:$C,"RG")-(SUMIFS(BALANCES!$D:$D,BALANCES!$C:$C,"RG"))</f>
        <v>-3820098</v>
      </c>
      <c r="D23" s="15" t="n">
        <f aca="false">SUMIFS(BALANCES!$G:$G,BALANCES!$C:$C,"RG")-(SUMIFS(BALANCES!$F:$F,BALANCES!$C:$C,"RG"))</f>
        <v>-3974821.36065</v>
      </c>
      <c r="E23" s="15" t="n">
        <f aca="false">SUMIFS(BALANCES!$I:$I,BALANCES!$C:$C,"RG")-(SUMIFS(BALANCES!$H:$H,BALANCES!$C:$C,"RG"))</f>
        <v>-4173562.4286825</v>
      </c>
      <c r="F23" s="15" t="n">
        <f aca="false">SUMIFS(BALANCES!$K:$K,BALANCES!$C:$C,"RG")-(SUMIFS(BALANCES!$J:$J,BALANCES!$C:$C,"RG"))</f>
        <v>-4382240.55011663</v>
      </c>
      <c r="G23" s="15" t="n">
        <f aca="false">SUMIFS(BALANCES!$M:$M,BALANCES!$C:$C,"RG")-(SUMIFS(BALANCES!$L:$L,BALANCES!$C:$C,"RG"))</f>
        <v>-4601352.57762246</v>
      </c>
      <c r="H23" s="15" t="n">
        <f aca="false">SUMIFS(BALANCES!$O:$O,BALANCES!$C:$C,"RG")-(SUMIFS(BALANCES!$N:$N,BALANCES!$C:$C,"RG"))</f>
        <v>-4831420.20650358</v>
      </c>
    </row>
    <row r="24" customFormat="false" ht="15" hidden="false" customHeight="false" outlineLevel="0" collapsed="false">
      <c r="A24" s="13" t="s">
        <v>259</v>
      </c>
      <c r="B24" s="12" t="s">
        <v>25</v>
      </c>
      <c r="C24" s="15" t="n">
        <f aca="false">SUMIFS(BALANCES!$E:$E,BALANCES!$C:$C,"RH")-(SUMIFS(BALANCES!$D:$D,BALANCES!$C:$C,"RH"))</f>
        <v>-106769083</v>
      </c>
      <c r="D24" s="15" t="n">
        <f aca="false">SUMIFS(BALANCES!$G:$G,BALANCES!$C:$C,"RH")-(SUMIFS(BALANCES!$F:$F,BALANCES!$C:$C,"RH"))</f>
        <v>-112104683.930925</v>
      </c>
      <c r="E24" s="15" t="n">
        <f aca="false">SUMIFS(BALANCES!$I:$I,BALANCES!$C:$C,"RH")-(SUMIFS(BALANCES!$H:$H,BALANCES!$C:$C,"RH"))</f>
        <v>-117709918.127471</v>
      </c>
      <c r="F24" s="15" t="n">
        <f aca="false">SUMIFS(BALANCES!$K:$K,BALANCES!$C:$C,"RH")-(SUMIFS(BALANCES!$J:$J,BALANCES!$C:$C,"RH"))</f>
        <v>-123595414.033845</v>
      </c>
      <c r="G24" s="15" t="n">
        <f aca="false">SUMIFS(BALANCES!$M:$M,BALANCES!$C:$C,"RH")-(SUMIFS(BALANCES!$L:$L,BALANCES!$C:$C,"RH"))</f>
        <v>-129775184.735537</v>
      </c>
      <c r="H24" s="15" t="n">
        <f aca="false">SUMIFS(BALANCES!$O:$O,BALANCES!$C:$C,"RH")-(SUMIFS(BALANCES!$N:$N,BALANCES!$C:$C,"RH"))</f>
        <v>-136263943.972314</v>
      </c>
    </row>
    <row r="25" customFormat="false" ht="15" hidden="false" customHeight="false" outlineLevel="0" collapsed="false">
      <c r="A25" s="13" t="s">
        <v>269</v>
      </c>
      <c r="B25" s="12" t="s">
        <v>27</v>
      </c>
      <c r="C25" s="15" t="n">
        <f aca="false">SUMIFS(BALANCES!$E:$E,BALANCES!$C:$C,"RI")-(SUMIFS(BALANCES!$D:$D,BALANCES!$C:$C,"RI"))</f>
        <v>-14869670</v>
      </c>
      <c r="D25" s="15" t="n">
        <f aca="false">SUMIFS(BALANCES!$G:$G,BALANCES!$C:$C,"RI")-(SUMIFS(BALANCES!$F:$F,BALANCES!$C:$C,"RI"))</f>
        <v>-15604854.2307</v>
      </c>
      <c r="E25" s="15" t="n">
        <f aca="false">SUMIFS(BALANCES!$I:$I,BALANCES!$C:$C,"RI")-(SUMIFS(BALANCES!$H:$H,BALANCES!$C:$C,"RI"))</f>
        <v>-16385096.942235</v>
      </c>
      <c r="F25" s="15" t="n">
        <f aca="false">SUMIFS(BALANCES!$K:$K,BALANCES!$C:$C,"RI")-(SUMIFS(BALANCES!$J:$J,BALANCES!$C:$C,"RI"))</f>
        <v>-17204351.7893468</v>
      </c>
      <c r="G25" s="15" t="n">
        <f aca="false">SUMIFS(BALANCES!$M:$M,BALANCES!$C:$C,"RI")-(SUMIFS(BALANCES!$L:$L,BALANCES!$C:$C,"RI"))</f>
        <v>-18064569.3788141</v>
      </c>
      <c r="H25" s="15" t="n">
        <f aca="false">SUMIFS(BALANCES!$O:$O,BALANCES!$C:$C,"RI")-(SUMIFS(BALANCES!$N:$N,BALANCES!$C:$C,"RI"))</f>
        <v>-18967797.8477548</v>
      </c>
    </row>
    <row r="26" customFormat="false" ht="15" hidden="false" customHeight="false" outlineLevel="0" collapsed="false">
      <c r="A26" s="13" t="s">
        <v>279</v>
      </c>
      <c r="B26" s="12" t="s">
        <v>29</v>
      </c>
      <c r="C26" s="15" t="n">
        <f aca="false">SUMIFS(BALANCES!$E:$E,BALANCES!$C:$C,"RJ")-(SUMIFS(BALANCES!$D:$D,BALANCES!$C:$C,"RJ"))</f>
        <v>-1316731</v>
      </c>
      <c r="D26" s="15" t="n">
        <f aca="false">SUMIFS(BALANCES!$G:$G,BALANCES!$C:$C,"RJ")-(SUMIFS(BALANCES!$F:$F,BALANCES!$C:$C,"RJ"))</f>
        <v>-1398548.256525</v>
      </c>
      <c r="E26" s="15" t="n">
        <f aca="false">SUMIFS(BALANCES!$I:$I,BALANCES!$C:$C,"RJ")-(SUMIFS(BALANCES!$H:$H,BALANCES!$C:$C,"RJ"))</f>
        <v>-1468475.66935125</v>
      </c>
      <c r="F26" s="15" t="n">
        <f aca="false">SUMIFS(BALANCES!$K:$K,BALANCES!$C:$C,"RJ")-(SUMIFS(BALANCES!$J:$J,BALANCES!$C:$C,"RJ"))</f>
        <v>-1541899.45281881</v>
      </c>
      <c r="G26" s="15" t="n">
        <f aca="false">SUMIFS(BALANCES!$M:$M,BALANCES!$C:$C,"RJ")-(SUMIFS(BALANCES!$L:$L,BALANCES!$C:$C,"RJ"))</f>
        <v>-1618994.42545975</v>
      </c>
      <c r="H26" s="15" t="n">
        <f aca="false">SUMIFS(BALANCES!$O:$O,BALANCES!$C:$C,"RJ")-(SUMIFS(BALANCES!$N:$N,BALANCES!$C:$C,"RJ"))</f>
        <v>-1699944.14673274</v>
      </c>
    </row>
    <row r="27" customFormat="false" ht="15" hidden="false" customHeight="false" outlineLevel="0" collapsed="false">
      <c r="A27" s="34" t="s">
        <v>434</v>
      </c>
      <c r="B27" s="34" t="s">
        <v>435</v>
      </c>
      <c r="C27" s="35" t="n">
        <f aca="false">C13+C7+C8+C14+C15+C16+C17+C18+C19+C20+C21+C22+C23+C24+C25+C26</f>
        <v>296109649</v>
      </c>
      <c r="D27" s="35" t="n">
        <f aca="false">D13+D7+D8+D14+D15+D16+D17+D18+D19+D20+D21+D22+D23+D24+D25+D26</f>
        <v>310919359.7664</v>
      </c>
      <c r="E27" s="35" t="n">
        <f aca="false">E13+E7+E8+E14+E15+E16+E17+E18+E19+E20+E21+E22+E23+E24+E25+E26</f>
        <v>326465327.75472</v>
      </c>
      <c r="F27" s="35" t="n">
        <f aca="false">F13+F7+F8+F14+F15+F16+F17+F18+F19+F20+F21+F22+F23+F24+F25+F26</f>
        <v>342788594.142456</v>
      </c>
      <c r="G27" s="35" t="n">
        <f aca="false">G13+G7+G8+G14+G15+G16+G17+G18+G19+G20+G21+G22+G23+G24+G25+G26</f>
        <v>359928023.849579</v>
      </c>
      <c r="H27" s="35" t="n">
        <f aca="false">H13+H7+H8+H14+H15+H16+H17+H18+H19+H20+H21+H22+H23+H24+H25+H26</f>
        <v>377924425.042058</v>
      </c>
      <c r="I27" s="38"/>
    </row>
    <row r="28" customFormat="false" ht="15" hidden="false" customHeight="false" outlineLevel="0" collapsed="false">
      <c r="A28" s="13" t="s">
        <v>281</v>
      </c>
      <c r="B28" s="12" t="s">
        <v>31</v>
      </c>
      <c r="C28" s="15" t="n">
        <f aca="false">SUMIFS(BALANCES!$E:$E,BALANCES!$C:$C,"RK")-(SUMIFS(BALANCES!$D:$D,BALANCES!$C:$C,"RK"))</f>
        <v>-106025515</v>
      </c>
      <c r="D28" s="15" t="n">
        <f aca="false">SUMIFS(BALANCES!$G:$G,BALANCES!$C:$C,"RK")-(SUMIFS(BALANCES!$F:$F,BALANCES!$C:$C,"RK"))</f>
        <v>-111294998.0982</v>
      </c>
      <c r="E28" s="15" t="n">
        <f aca="false">SUMIFS(BALANCES!$I:$I,BALANCES!$C:$C,"RK")-(SUMIFS(BALANCES!$H:$H,BALANCES!$C:$C,"RK"))</f>
        <v>-116859748.00311</v>
      </c>
      <c r="F28" s="15" t="n">
        <f aca="false">SUMIFS(BALANCES!$K:$K,BALANCES!$C:$C,"RK")-(SUMIFS(BALANCES!$J:$J,BALANCES!$C:$C,"RK"))</f>
        <v>-122702735.403266</v>
      </c>
      <c r="G28" s="15" t="n">
        <f aca="false">SUMIFS(BALANCES!$M:$M,BALANCES!$C:$C,"RK")-(SUMIFS(BALANCES!$L:$L,BALANCES!$C:$C,"RK"))</f>
        <v>-128837872.173429</v>
      </c>
      <c r="H28" s="15" t="n">
        <f aca="false">SUMIFS(BALANCES!$O:$O,BALANCES!$C:$C,"RK")-(SUMIFS(BALANCES!$N:$N,BALANCES!$C:$C,"RK"))</f>
        <v>-135279765.7821</v>
      </c>
    </row>
    <row r="29" customFormat="false" ht="15" hidden="false" customHeight="false" outlineLevel="0" collapsed="false">
      <c r="A29" s="34" t="s">
        <v>436</v>
      </c>
      <c r="B29" s="34" t="s">
        <v>437</v>
      </c>
      <c r="C29" s="35" t="n">
        <f aca="false">C27+C28</f>
        <v>190084134</v>
      </c>
      <c r="D29" s="35" t="n">
        <f aca="false">D27+D28</f>
        <v>199624361.6682</v>
      </c>
      <c r="E29" s="35" t="n">
        <f aca="false">E27+E28</f>
        <v>209605579.75161</v>
      </c>
      <c r="F29" s="35" t="n">
        <f aca="false">F27+F28</f>
        <v>220085858.739191</v>
      </c>
      <c r="G29" s="35" t="n">
        <f aca="false">G27+G28</f>
        <v>231090151.67615</v>
      </c>
      <c r="H29" s="35" t="n">
        <f aca="false">H27+H28</f>
        <v>242644659.259958</v>
      </c>
      <c r="I29" s="39" t="n">
        <f aca="false">IF(OR(C29&lt;=0,H29&lt;=0),"",(H29/C29)^(1/5)-1)</f>
        <v>0.0500378972903746</v>
      </c>
    </row>
    <row r="30" customFormat="false" ht="15" hidden="false" customHeight="false" outlineLevel="0" collapsed="false">
      <c r="A30" s="13" t="s">
        <v>438</v>
      </c>
      <c r="B30" s="12" t="s">
        <v>439</v>
      </c>
      <c r="C30" s="15" t="n">
        <f aca="false">SUMIFS(BALANCES!$E:$E,BALANCES!$C:$C,"TJ")-(SUMIFS(BALANCES!$D:$D,BALANCES!$C:$C,"TJ"))</f>
        <v>0</v>
      </c>
      <c r="D30" s="15" t="n">
        <f aca="false">SUMIFS(BALANCES!$G:$G,BALANCES!$C:$C,"TJ")-(SUMIFS(BALANCES!$F:$F,BALANCES!$C:$C,"TJ"))</f>
        <v>0</v>
      </c>
      <c r="E30" s="15" t="n">
        <f aca="false">SUMIFS(BALANCES!$I:$I,BALANCES!$C:$C,"TJ")-(SUMIFS(BALANCES!$H:$H,BALANCES!$C:$C,"TJ"))</f>
        <v>0</v>
      </c>
      <c r="F30" s="15" t="n">
        <f aca="false">SUMIFS(BALANCES!$K:$K,BALANCES!$C:$C,"TJ")-(SUMIFS(BALANCES!$J:$J,BALANCES!$C:$C,"TJ"))</f>
        <v>0</v>
      </c>
      <c r="G30" s="15" t="n">
        <f aca="false">SUMIFS(BALANCES!$M:$M,BALANCES!$C:$C,"TJ")-(SUMIFS(BALANCES!$L:$L,BALANCES!$C:$C,"TJ"))</f>
        <v>0</v>
      </c>
      <c r="H30" s="15" t="n">
        <f aca="false">SUMIFS(BALANCES!$O:$O,BALANCES!$C:$C,"TJ")-(SUMIFS(BALANCES!$N:$N,BALANCES!$C:$C,"TJ"))</f>
        <v>0</v>
      </c>
    </row>
    <row r="31" customFormat="false" ht="15" hidden="false" customHeight="false" outlineLevel="0" collapsed="false">
      <c r="A31" s="13" t="s">
        <v>291</v>
      </c>
      <c r="B31" s="12" t="s">
        <v>440</v>
      </c>
      <c r="C31" s="15" t="n">
        <f aca="false">SUMIFS(BALANCES!$E:$E,BALANCES!$C:$C,"RL")-(SUMIFS(BALANCES!$D:$D,BALANCES!$C:$C,"RL"))</f>
        <v>-85892595</v>
      </c>
      <c r="D31" s="15" t="n">
        <f aca="false">SUMIFS(BALANCES!$G:$G,BALANCES!$C:$C,"RL")-(SUMIFS(BALANCES!$F:$F,BALANCES!$C:$C,"RL"))</f>
        <v>-107725928.333333</v>
      </c>
      <c r="E31" s="15" t="n">
        <f aca="false">SUMIFS(BALANCES!$I:$I,BALANCES!$C:$C,"RL")-(SUMIFS(BALANCES!$H:$H,BALANCES!$C:$C,"RL"))</f>
        <v>-115935217.333333</v>
      </c>
      <c r="F31" s="15" t="n">
        <f aca="false">SUMIFS(BALANCES!$K:$K,BALANCES!$C:$C,"RL")-(SUMIFS(BALANCES!$J:$J,BALANCES!$C:$C,"RL"))</f>
        <v>-117291044.333333</v>
      </c>
      <c r="G31" s="15" t="n">
        <f aca="false">SUMIFS(BALANCES!$M:$M,BALANCES!$C:$C,"RL")-(SUMIFS(BALANCES!$L:$L,BALANCES!$C:$C,"RL"))</f>
        <v>-107824680.333333</v>
      </c>
      <c r="H31" s="15" t="n">
        <f aca="false">SUMIFS(BALANCES!$O:$O,BALANCES!$C:$C,"RL")-(SUMIFS(BALANCES!$N:$N,BALANCES!$C:$C,"RL"))</f>
        <v>-110008199.333333</v>
      </c>
    </row>
    <row r="32" customFormat="false" ht="15" hidden="false" customHeight="false" outlineLevel="0" collapsed="false">
      <c r="A32" s="34" t="s">
        <v>441</v>
      </c>
      <c r="B32" s="34" t="s">
        <v>442</v>
      </c>
      <c r="C32" s="35" t="n">
        <f aca="false">C29+C30+C31</f>
        <v>104191539</v>
      </c>
      <c r="D32" s="35" t="n">
        <f aca="false">D29+D30+D31</f>
        <v>91898433.3348666</v>
      </c>
      <c r="E32" s="35" t="n">
        <f aca="false">E29+E30+E31</f>
        <v>93670362.4182767</v>
      </c>
      <c r="F32" s="35" t="n">
        <f aca="false">F29+F30+F31</f>
        <v>102794814.405857</v>
      </c>
      <c r="G32" s="35" t="n">
        <f aca="false">G29+G30+G31</f>
        <v>123265471.342817</v>
      </c>
      <c r="H32" s="35" t="n">
        <f aca="false">H29+H30+H31</f>
        <v>132636459.926624</v>
      </c>
      <c r="I32" s="38"/>
    </row>
    <row r="33" customFormat="false" ht="15" hidden="false" customHeight="false" outlineLevel="0" collapsed="false">
      <c r="A33" s="13" t="s">
        <v>299</v>
      </c>
      <c r="B33" s="12" t="s">
        <v>443</v>
      </c>
      <c r="C33" s="15" t="n">
        <f aca="false">SUMIFS(BALANCES!$E:$E,BALANCES!$C:$C,"TK")-(SUMIFS(BALANCES!$D:$D,BALANCES!$C:$C,"TK"))</f>
        <v>848594</v>
      </c>
      <c r="D33" s="15" t="n">
        <f aca="false">SUMIFS(BALANCES!$G:$G,BALANCES!$C:$C,"TK")-(SUMIFS(BALANCES!$F:$F,BALANCES!$C:$C,"TK"))</f>
        <v>848594</v>
      </c>
      <c r="E33" s="15" t="n">
        <f aca="false">SUMIFS(BALANCES!$I:$I,BALANCES!$C:$C,"TK")-(SUMIFS(BALANCES!$H:$H,BALANCES!$C:$C,"TK"))</f>
        <v>848594</v>
      </c>
      <c r="F33" s="15" t="n">
        <f aca="false">SUMIFS(BALANCES!$K:$K,BALANCES!$C:$C,"TK")-(SUMIFS(BALANCES!$J:$J,BALANCES!$C:$C,"TK"))</f>
        <v>848594</v>
      </c>
      <c r="G33" s="15" t="n">
        <f aca="false">SUMIFS(BALANCES!$M:$M,BALANCES!$C:$C,"TK")-(SUMIFS(BALANCES!$L:$L,BALANCES!$C:$C,"TK"))</f>
        <v>848594</v>
      </c>
      <c r="H33" s="15" t="n">
        <f aca="false">SUMIFS(BALANCES!$O:$O,BALANCES!$C:$C,"TK")-(SUMIFS(BALANCES!$N:$N,BALANCES!$C:$C,"TK"))</f>
        <v>848594</v>
      </c>
    </row>
    <row r="34" customFormat="false" ht="15" hidden="false" customHeight="false" outlineLevel="0" collapsed="false">
      <c r="A34" s="13" t="s">
        <v>444</v>
      </c>
      <c r="B34" s="12" t="s">
        <v>445</v>
      </c>
      <c r="C34" s="15" t="n">
        <f aca="false">SUMIFS(BALANCES!$E:$E,BALANCES!$C:$C,"TL")-(SUMIFS(BALANCES!$D:$D,BALANCES!$C:$C,"TL"))</f>
        <v>0</v>
      </c>
      <c r="D34" s="15" t="n">
        <f aca="false">SUMIFS(BALANCES!$G:$G,BALANCES!$C:$C,"TL")-(SUMIFS(BALANCES!$F:$F,BALANCES!$C:$C,"TL"))</f>
        <v>0</v>
      </c>
      <c r="E34" s="15" t="n">
        <f aca="false">SUMIFS(BALANCES!$I:$I,BALANCES!$C:$C,"TL")-(SUMIFS(BALANCES!$H:$H,BALANCES!$C:$C,"TL"))</f>
        <v>0</v>
      </c>
      <c r="F34" s="15" t="n">
        <f aca="false">SUMIFS(BALANCES!$K:$K,BALANCES!$C:$C,"TL")-(SUMIFS(BALANCES!$J:$J,BALANCES!$C:$C,"TL"))</f>
        <v>0</v>
      </c>
      <c r="G34" s="15" t="n">
        <f aca="false">SUMIFS(BALANCES!$M:$M,BALANCES!$C:$C,"TL")-(SUMIFS(BALANCES!$L:$L,BALANCES!$C:$C,"TL"))</f>
        <v>0</v>
      </c>
      <c r="H34" s="15" t="n">
        <f aca="false">SUMIFS(BALANCES!$O:$O,BALANCES!$C:$C,"TL")-(SUMIFS(BALANCES!$N:$N,BALANCES!$C:$C,"TL"))</f>
        <v>0</v>
      </c>
    </row>
    <row r="35" customFormat="false" ht="15" hidden="false" customHeight="false" outlineLevel="0" collapsed="false">
      <c r="A35" s="13" t="s">
        <v>446</v>
      </c>
      <c r="B35" s="12" t="s">
        <v>447</v>
      </c>
      <c r="C35" s="15" t="n">
        <f aca="false">SUMIFS(BALANCES!$E:$E,BALANCES!$C:$C,"TM")-(SUMIFS(BALANCES!$D:$D,BALANCES!$C:$C,"TM"))</f>
        <v>0</v>
      </c>
      <c r="D35" s="15" t="n">
        <f aca="false">SUMIFS(BALANCES!$G:$G,BALANCES!$C:$C,"TM")-(SUMIFS(BALANCES!$F:$F,BALANCES!$C:$C,"TM"))</f>
        <v>0</v>
      </c>
      <c r="E35" s="15" t="n">
        <f aca="false">SUMIFS(BALANCES!$I:$I,BALANCES!$C:$C,"TM")-(SUMIFS(BALANCES!$H:$H,BALANCES!$C:$C,"TM"))</f>
        <v>0</v>
      </c>
      <c r="F35" s="15" t="n">
        <f aca="false">SUMIFS(BALANCES!$K:$K,BALANCES!$C:$C,"TM")-(SUMIFS(BALANCES!$J:$J,BALANCES!$C:$C,"TM"))</f>
        <v>0</v>
      </c>
      <c r="G35" s="15" t="n">
        <f aca="false">SUMIFS(BALANCES!$M:$M,BALANCES!$C:$C,"TM")-(SUMIFS(BALANCES!$L:$L,BALANCES!$C:$C,"TM"))</f>
        <v>0</v>
      </c>
      <c r="H35" s="15" t="n">
        <f aca="false">SUMIFS(BALANCES!$O:$O,BALANCES!$C:$C,"TM")-(SUMIFS(BALANCES!$N:$N,BALANCES!$C:$C,"TM"))</f>
        <v>0</v>
      </c>
    </row>
    <row r="36" customFormat="false" ht="15" hidden="false" customHeight="false" outlineLevel="0" collapsed="false">
      <c r="A36" s="13" t="s">
        <v>288</v>
      </c>
      <c r="B36" s="12" t="s">
        <v>448</v>
      </c>
      <c r="C36" s="15" t="n">
        <f aca="false">SUMIFS(BALANCES!$E:$E,BALANCES!$C:$C,"RM")-(SUMIFS(BALANCES!$D:$D,BALANCES!$C:$C,"RM"))</f>
        <v>-8108297</v>
      </c>
      <c r="D36" s="15" t="n">
        <f aca="false">SUMIFS(BALANCES!$G:$G,BALANCES!$C:$C,"RM")-(SUMIFS(BALANCES!$F:$F,BALANCES!$C:$C,"RM"))</f>
        <v>-4022282.08</v>
      </c>
      <c r="E36" s="15" t="n">
        <f aca="false">SUMIFS(BALANCES!$I:$I,BALANCES!$C:$C,"RM")-(SUMIFS(BALANCES!$H:$H,BALANCES!$C:$C,"RM"))</f>
        <v>-1586353.28</v>
      </c>
      <c r="F36" s="15" t="n">
        <f aca="false">SUMIFS(BALANCES!$K:$K,BALANCES!$C:$C,"RM")-(SUMIFS(BALANCES!$J:$J,BALANCES!$C:$C,"RM"))</f>
        <v>0</v>
      </c>
      <c r="G36" s="15" t="n">
        <f aca="false">SUMIFS(BALANCES!$M:$M,BALANCES!$C:$C,"RM")-(SUMIFS(BALANCES!$L:$L,BALANCES!$C:$C,"RM"))</f>
        <v>0</v>
      </c>
      <c r="H36" s="15" t="n">
        <f aca="false">SUMIFS(BALANCES!$O:$O,BALANCES!$C:$C,"RM")-(SUMIFS(BALANCES!$N:$N,BALANCES!$C:$C,"RM"))</f>
        <v>0</v>
      </c>
    </row>
    <row r="37" customFormat="false" ht="15" hidden="false" customHeight="false" outlineLevel="0" collapsed="false">
      <c r="A37" s="13" t="s">
        <v>449</v>
      </c>
      <c r="B37" s="12" t="s">
        <v>450</v>
      </c>
      <c r="C37" s="15" t="n">
        <f aca="false">SUMIFS(BALANCES!$E:$E,BALANCES!$C:$C,"RN")-(SUMIFS(BALANCES!$D:$D,BALANCES!$C:$C,"RN"))</f>
        <v>0</v>
      </c>
      <c r="D37" s="15" t="n">
        <f aca="false">SUMIFS(BALANCES!$G:$G,BALANCES!$C:$C,"RN")-(SUMIFS(BALANCES!$F:$F,BALANCES!$C:$C,"RN"))</f>
        <v>0</v>
      </c>
      <c r="E37" s="15" t="n">
        <f aca="false">SUMIFS(BALANCES!$I:$I,BALANCES!$C:$C,"RN")-(SUMIFS(BALANCES!$H:$H,BALANCES!$C:$C,"RN"))</f>
        <v>0</v>
      </c>
      <c r="F37" s="15" t="n">
        <f aca="false">SUMIFS(BALANCES!$K:$K,BALANCES!$C:$C,"RN")-(SUMIFS(BALANCES!$J:$J,BALANCES!$C:$C,"RN"))</f>
        <v>0</v>
      </c>
      <c r="G37" s="15" t="n">
        <f aca="false">SUMIFS(BALANCES!$M:$M,BALANCES!$C:$C,"RN")-(SUMIFS(BALANCES!$L:$L,BALANCES!$C:$C,"RN"))</f>
        <v>0</v>
      </c>
      <c r="H37" s="15" t="n">
        <f aca="false">SUMIFS(BALANCES!$O:$O,BALANCES!$C:$C,"RN")-(SUMIFS(BALANCES!$N:$N,BALANCES!$C:$C,"RN"))</f>
        <v>0</v>
      </c>
    </row>
    <row r="38" customFormat="false" ht="15" hidden="false" customHeight="false" outlineLevel="0" collapsed="false">
      <c r="A38" s="34" t="s">
        <v>451</v>
      </c>
      <c r="B38" s="34" t="s">
        <v>452</v>
      </c>
      <c r="C38" s="35" t="n">
        <f aca="false">C33+C34+C35+C36+C37</f>
        <v>-7259703</v>
      </c>
      <c r="D38" s="35" t="n">
        <f aca="false">D33+D34+D35+D36+D37</f>
        <v>-3173688.08</v>
      </c>
      <c r="E38" s="35" t="n">
        <f aca="false">E33+E34+E35+E36+E37</f>
        <v>-737759.28</v>
      </c>
      <c r="F38" s="35" t="n">
        <f aca="false">F33+F34+F35+F36+F37</f>
        <v>848594</v>
      </c>
      <c r="G38" s="35" t="n">
        <f aca="false">G33+G34+G35+G36+G37</f>
        <v>848594</v>
      </c>
      <c r="H38" s="35" t="n">
        <f aca="false">H33+H34+H35+H36+H37</f>
        <v>848594</v>
      </c>
      <c r="I38" s="38"/>
    </row>
    <row r="39" customFormat="false" ht="15" hidden="false" customHeight="false" outlineLevel="0" collapsed="false">
      <c r="A39" s="34" t="s">
        <v>453</v>
      </c>
      <c r="B39" s="34" t="s">
        <v>454</v>
      </c>
      <c r="C39" s="35" t="n">
        <f aca="false">C32+C38</f>
        <v>96931836</v>
      </c>
      <c r="D39" s="35" t="n">
        <f aca="false">D32+D38</f>
        <v>88724745.2548666</v>
      </c>
      <c r="E39" s="35" t="n">
        <f aca="false">E32+E38</f>
        <v>92932603.1382767</v>
      </c>
      <c r="F39" s="35" t="n">
        <f aca="false">F32+F38</f>
        <v>103643408.405857</v>
      </c>
      <c r="G39" s="35" t="n">
        <f aca="false">G32+G38</f>
        <v>124114065.342817</v>
      </c>
      <c r="H39" s="35" t="n">
        <f aca="false">H32+H38</f>
        <v>133485053.926624</v>
      </c>
      <c r="I39" s="38"/>
    </row>
    <row r="40" customFormat="false" ht="15" hidden="false" customHeight="false" outlineLevel="0" collapsed="false">
      <c r="A40" s="13" t="s">
        <v>455</v>
      </c>
      <c r="B40" s="12" t="s">
        <v>456</v>
      </c>
      <c r="C40" s="15" t="n">
        <f aca="false">SUMIFS(BALANCES!$E:$E,BALANCES!$C:$C,"TN")-(SUMIFS(BALANCES!$D:$D,BALANCES!$C:$C,"TN"))</f>
        <v>0</v>
      </c>
      <c r="D40" s="15" t="n">
        <f aca="false">SUMIFS(BALANCES!$G:$G,BALANCES!$C:$C,"TN")-(SUMIFS(BALANCES!$F:$F,BALANCES!$C:$C,"TN"))</f>
        <v>0</v>
      </c>
      <c r="E40" s="15" t="n">
        <f aca="false">SUMIFS(BALANCES!$I:$I,BALANCES!$C:$C,"TN")-(SUMIFS(BALANCES!$H:$H,BALANCES!$C:$C,"TN"))</f>
        <v>0</v>
      </c>
      <c r="F40" s="15" t="n">
        <f aca="false">SUMIFS(BALANCES!$K:$K,BALANCES!$C:$C,"TN")-(SUMIFS(BALANCES!$J:$J,BALANCES!$C:$C,"TN"))</f>
        <v>0</v>
      </c>
      <c r="G40" s="15" t="n">
        <f aca="false">SUMIFS(BALANCES!$M:$M,BALANCES!$C:$C,"TN")-(SUMIFS(BALANCES!$L:$L,BALANCES!$C:$C,"TN"))</f>
        <v>0</v>
      </c>
      <c r="H40" s="15" t="n">
        <f aca="false">SUMIFS(BALANCES!$O:$O,BALANCES!$C:$C,"TN")-(SUMIFS(BALANCES!$N:$N,BALANCES!$C:$C,"TN"))</f>
        <v>0</v>
      </c>
    </row>
    <row r="41" customFormat="false" ht="15" hidden="false" customHeight="false" outlineLevel="0" collapsed="false">
      <c r="A41" s="13" t="s">
        <v>457</v>
      </c>
      <c r="B41" s="12" t="s">
        <v>458</v>
      </c>
      <c r="C41" s="15" t="n">
        <f aca="false">SUMIFS(BALANCES!$E:$E,BALANCES!$C:$C,"TO")-(SUMIFS(BALANCES!$D:$D,BALANCES!$C:$C,"TO"))</f>
        <v>0</v>
      </c>
      <c r="D41" s="15" t="n">
        <f aca="false">SUMIFS(BALANCES!$G:$G,BALANCES!$C:$C,"TO")-(SUMIFS(BALANCES!$F:$F,BALANCES!$C:$C,"TO"))</f>
        <v>0</v>
      </c>
      <c r="E41" s="15" t="n">
        <f aca="false">SUMIFS(BALANCES!$I:$I,BALANCES!$C:$C,"TO")-(SUMIFS(BALANCES!$H:$H,BALANCES!$C:$C,"TO"))</f>
        <v>0</v>
      </c>
      <c r="F41" s="15" t="n">
        <f aca="false">SUMIFS(BALANCES!$K:$K,BALANCES!$C:$C,"TO")-(SUMIFS(BALANCES!$J:$J,BALANCES!$C:$C,"TO"))</f>
        <v>0</v>
      </c>
      <c r="G41" s="15" t="n">
        <f aca="false">SUMIFS(BALANCES!$M:$M,BALANCES!$C:$C,"TO")-(SUMIFS(BALANCES!$L:$L,BALANCES!$C:$C,"TO"))</f>
        <v>0</v>
      </c>
      <c r="H41" s="15" t="n">
        <f aca="false">SUMIFS(BALANCES!$O:$O,BALANCES!$C:$C,"TO")-(SUMIFS(BALANCES!$N:$N,BALANCES!$C:$C,"TO"))</f>
        <v>0</v>
      </c>
    </row>
    <row r="42" customFormat="false" ht="15" hidden="false" customHeight="false" outlineLevel="0" collapsed="false">
      <c r="A42" s="13" t="s">
        <v>459</v>
      </c>
      <c r="B42" s="12" t="s">
        <v>460</v>
      </c>
      <c r="C42" s="15" t="n">
        <f aca="false">SUMIFS(BALANCES!$E:$E,BALANCES!$C:$C,"RO")-(SUMIFS(BALANCES!$D:$D,BALANCES!$C:$C,"RO"))</f>
        <v>0</v>
      </c>
      <c r="D42" s="15" t="n">
        <f aca="false">SUMIFS(BALANCES!$G:$G,BALANCES!$C:$C,"RO")-(SUMIFS(BALANCES!$F:$F,BALANCES!$C:$C,"RO"))</f>
        <v>0</v>
      </c>
      <c r="E42" s="15" t="n">
        <f aca="false">SUMIFS(BALANCES!$I:$I,BALANCES!$C:$C,"RO")-(SUMIFS(BALANCES!$H:$H,BALANCES!$C:$C,"RO"))</f>
        <v>0</v>
      </c>
      <c r="F42" s="15" t="n">
        <f aca="false">SUMIFS(BALANCES!$K:$K,BALANCES!$C:$C,"RO")-(SUMIFS(BALANCES!$J:$J,BALANCES!$C:$C,"RO"))</f>
        <v>0</v>
      </c>
      <c r="G42" s="15" t="n">
        <f aca="false">SUMIFS(BALANCES!$M:$M,BALANCES!$C:$C,"RO")-(SUMIFS(BALANCES!$L:$L,BALANCES!$C:$C,"RO"))</f>
        <v>0</v>
      </c>
      <c r="H42" s="15" t="n">
        <f aca="false">SUMIFS(BALANCES!$O:$O,BALANCES!$C:$C,"RO")-(SUMIFS(BALANCES!$N:$N,BALANCES!$C:$C,"RO"))</f>
        <v>0</v>
      </c>
    </row>
    <row r="43" customFormat="false" ht="15" hidden="false" customHeight="false" outlineLevel="0" collapsed="false">
      <c r="A43" s="13" t="s">
        <v>461</v>
      </c>
      <c r="B43" s="12" t="s">
        <v>462</v>
      </c>
      <c r="C43" s="15" t="n">
        <f aca="false">SUMIFS(BALANCES!$E:$E,BALANCES!$C:$C,"RP")-(SUMIFS(BALANCES!$D:$D,BALANCES!$C:$C,"RP"))</f>
        <v>0</v>
      </c>
      <c r="D43" s="15" t="n">
        <f aca="false">SUMIFS(BALANCES!$G:$G,BALANCES!$C:$C,"RP")-(SUMIFS(BALANCES!$F:$F,BALANCES!$C:$C,"RP"))</f>
        <v>0</v>
      </c>
      <c r="E43" s="15" t="n">
        <f aca="false">SUMIFS(BALANCES!$I:$I,BALANCES!$C:$C,"RP")-(SUMIFS(BALANCES!$H:$H,BALANCES!$C:$C,"RP"))</f>
        <v>0</v>
      </c>
      <c r="F43" s="15" t="n">
        <f aca="false">SUMIFS(BALANCES!$K:$K,BALANCES!$C:$C,"RP")-(SUMIFS(BALANCES!$J:$J,BALANCES!$C:$C,"RP"))</f>
        <v>0</v>
      </c>
      <c r="G43" s="15" t="n">
        <f aca="false">SUMIFS(BALANCES!$M:$M,BALANCES!$C:$C,"RP")-(SUMIFS(BALANCES!$L:$L,BALANCES!$C:$C,"RP"))</f>
        <v>0</v>
      </c>
      <c r="H43" s="15" t="n">
        <f aca="false">SUMIFS(BALANCES!$O:$O,BALANCES!$C:$C,"RP")-(SUMIFS(BALANCES!$N:$N,BALANCES!$C:$C,"RP"))</f>
        <v>0</v>
      </c>
    </row>
    <row r="44" customFormat="false" ht="15" hidden="false" customHeight="false" outlineLevel="0" collapsed="false">
      <c r="A44" s="34" t="s">
        <v>463</v>
      </c>
      <c r="B44" s="34" t="s">
        <v>464</v>
      </c>
      <c r="C44" s="35" t="n">
        <f aca="false">C40+C41+C42+C43</f>
        <v>0</v>
      </c>
      <c r="D44" s="35" t="n">
        <f aca="false">D40+D41+D42+D43</f>
        <v>0</v>
      </c>
      <c r="E44" s="35" t="n">
        <f aca="false">E40+E41+E42+E43</f>
        <v>0</v>
      </c>
      <c r="F44" s="35" t="n">
        <f aca="false">F40+F41+F42+F43</f>
        <v>0</v>
      </c>
      <c r="G44" s="35" t="n">
        <f aca="false">G40+G41+G42+G43</f>
        <v>0</v>
      </c>
      <c r="H44" s="35" t="n">
        <f aca="false">H40+H41+H42+H43</f>
        <v>0</v>
      </c>
      <c r="I44" s="38"/>
    </row>
    <row r="45" customFormat="false" ht="15" hidden="false" customHeight="false" outlineLevel="0" collapsed="false">
      <c r="A45" s="13" t="s">
        <v>465</v>
      </c>
      <c r="B45" s="12" t="s">
        <v>466</v>
      </c>
      <c r="C45" s="15" t="n">
        <f aca="false">SUMIFS(BALANCES!$E:$E,BALANCES!$C:$C,"RQ")-(SUMIFS(BALANCES!$D:$D,BALANCES!$C:$C,"RQ"))</f>
        <v>0</v>
      </c>
      <c r="D45" s="15" t="n">
        <f aca="false">SUMIFS(BALANCES!$G:$G,BALANCES!$C:$C,"RQ")-(SUMIFS(BALANCES!$F:$F,BALANCES!$C:$C,"RQ"))</f>
        <v>0</v>
      </c>
      <c r="E45" s="15" t="n">
        <f aca="false">SUMIFS(BALANCES!$I:$I,BALANCES!$C:$C,"RQ")-(SUMIFS(BALANCES!$H:$H,BALANCES!$C:$C,"RQ"))</f>
        <v>0</v>
      </c>
      <c r="F45" s="15" t="n">
        <f aca="false">SUMIFS(BALANCES!$K:$K,BALANCES!$C:$C,"RQ")-(SUMIFS(BALANCES!$J:$J,BALANCES!$C:$C,"RQ"))</f>
        <v>0</v>
      </c>
      <c r="G45" s="15" t="n">
        <f aca="false">SUMIFS(BALANCES!$M:$M,BALANCES!$C:$C,"RQ")-(SUMIFS(BALANCES!$L:$L,BALANCES!$C:$C,"RQ"))</f>
        <v>0</v>
      </c>
      <c r="H45" s="15" t="n">
        <f aca="false">SUMIFS(BALANCES!$O:$O,BALANCES!$C:$C,"RQ")-(SUMIFS(BALANCES!$N:$N,BALANCES!$C:$C,"RQ"))</f>
        <v>0</v>
      </c>
    </row>
    <row r="46" customFormat="false" ht="15" hidden="false" customHeight="false" outlineLevel="0" collapsed="false">
      <c r="A46" s="13" t="s">
        <v>301</v>
      </c>
      <c r="B46" s="12" t="s">
        <v>467</v>
      </c>
      <c r="C46" s="15" t="n">
        <f aca="false">SUMIFS(BALANCES!$E:$E,BALANCES!$C:$C,"RS")-(SUMIFS(BALANCES!$D:$D,BALANCES!$C:$C,"RS"))</f>
        <v>-24232959</v>
      </c>
      <c r="D46" s="15" t="n">
        <f aca="false">SUMIFS(BALANCES!$G:$G,BALANCES!$C:$C,"RS")-(SUMIFS(BALANCES!$F:$F,BALANCES!$C:$C,"RS"))</f>
        <v>-22181186.3137167</v>
      </c>
      <c r="E46" s="15" t="n">
        <f aca="false">SUMIFS(BALANCES!$I:$I,BALANCES!$C:$C,"RS")-(SUMIFS(BALANCES!$H:$H,BALANCES!$C:$C,"RS"))</f>
        <v>-23233150.7845692</v>
      </c>
      <c r="F46" s="15" t="n">
        <f aca="false">SUMIFS(BALANCES!$K:$K,BALANCES!$C:$C,"RS")-(SUMIFS(BALANCES!$J:$J,BALANCES!$C:$C,"RS"))</f>
        <v>-25910852.1014643</v>
      </c>
      <c r="G46" s="15" t="n">
        <f aca="false">SUMIFS(BALANCES!$M:$M,BALANCES!$C:$C,"RS")-(SUMIFS(BALANCES!$L:$L,BALANCES!$C:$C,"RS"))</f>
        <v>-31028516.3357042</v>
      </c>
      <c r="H46" s="15" t="n">
        <f aca="false">SUMIFS(BALANCES!$O:$O,BALANCES!$C:$C,"RS")-(SUMIFS(BALANCES!$N:$N,BALANCES!$C:$C,"RS"))</f>
        <v>-33371263.481656</v>
      </c>
    </row>
    <row r="47" customFormat="false" ht="15" hidden="false" customHeight="false" outlineLevel="0" collapsed="false">
      <c r="A47" s="34" t="s">
        <v>86</v>
      </c>
      <c r="B47" s="34" t="s">
        <v>468</v>
      </c>
      <c r="C47" s="35" t="n">
        <f aca="false">C39+C44+C45+C46</f>
        <v>72698877</v>
      </c>
      <c r="D47" s="35" t="n">
        <f aca="false">D39+D44+D45+D46</f>
        <v>66543558.94115</v>
      </c>
      <c r="E47" s="35" t="n">
        <f aca="false">E39+E44+E45+E46</f>
        <v>69699452.3537075</v>
      </c>
      <c r="F47" s="35" t="n">
        <f aca="false">F39+F44+F45+F46</f>
        <v>77732556.3043929</v>
      </c>
      <c r="G47" s="35" t="n">
        <f aca="false">G39+G44+G45+G46</f>
        <v>93085549.0071126</v>
      </c>
      <c r="H47" s="35" t="n">
        <f aca="false">H39+H44+H45+H46</f>
        <v>100113790.444968</v>
      </c>
      <c r="I47" s="39" t="n">
        <f aca="false">IF(OR(C47&lt;=0,H47&lt;=0),"",(H47/C47)^(1/5)-1)</f>
        <v>0.0660884555355912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A1:I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72"/>
    <col collapsed="false" customWidth="true" hidden="false" outlineLevel="0" max="8" min="3" style="0" width="16"/>
    <col collapsed="false" customWidth="true" hidden="false" outlineLevel="0" max="9" min="9" style="0" width="13"/>
  </cols>
  <sheetData>
    <row r="1" customFormat="false" ht="24" hidden="false" customHeight="true" outlineLevel="0" collapsed="false">
      <c r="A1" s="1" t="s">
        <v>469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470</v>
      </c>
    </row>
    <row r="3" customFormat="false" ht="15" hidden="false" customHeight="false" outlineLevel="0" collapsed="false">
      <c r="A3" s="4" t="str">
        <f aca="false">"Entité : "&amp;HYPOTHESES!$C$4</f>
        <v>Entité : MON ENTREPRISE</v>
      </c>
    </row>
    <row r="5" customFormat="false" ht="15" hidden="false" customHeight="false" outlineLevel="0" collapsed="false">
      <c r="A5" s="36" t="s">
        <v>308</v>
      </c>
      <c r="B5" s="36" t="s">
        <v>471</v>
      </c>
      <c r="C5" s="36" t="str">
        <f aca="false">"Réel "&amp;HYPOTHESES!$C$5</f>
        <v>Réel 2024</v>
      </c>
      <c r="D5" s="37" t="n">
        <f aca="false">HYPOTHESES!$C$5+1</f>
        <v>2025</v>
      </c>
      <c r="E5" s="37" t="n">
        <f aca="false">HYPOTHESES!$C$5+2</f>
        <v>2026</v>
      </c>
      <c r="F5" s="37" t="n">
        <f aca="false">HYPOTHESES!$C$5+3</f>
        <v>2027</v>
      </c>
      <c r="G5" s="37" t="n">
        <f aca="false">HYPOTHESES!$C$5+4</f>
        <v>2028</v>
      </c>
      <c r="H5" s="37" t="n">
        <f aca="false">HYPOTHESES!$C$5+5</f>
        <v>2029</v>
      </c>
      <c r="I5" s="36" t="s">
        <v>310</v>
      </c>
    </row>
    <row r="6" customFormat="false" ht="15" hidden="false" customHeight="false" outlineLevel="0" collapsed="false">
      <c r="A6" s="34" t="s">
        <v>472</v>
      </c>
      <c r="B6" s="34" t="s">
        <v>473</v>
      </c>
      <c r="C6" s="40" t="s">
        <v>474</v>
      </c>
      <c r="D6" s="35" t="n">
        <f aca="false">BILAN!C28-BILAN!C58</f>
        <v>128133958</v>
      </c>
      <c r="E6" s="35" t="n">
        <f aca="false">BILAN!D28-BILAN!D58</f>
        <v>126666439.742087</v>
      </c>
      <c r="F6" s="35" t="n">
        <f aca="false">BILAN!E28-BILAN!E58</f>
        <v>174946721.478786</v>
      </c>
      <c r="G6" s="35" t="n">
        <f aca="false">BILAN!F28-BILAN!F58</f>
        <v>320992123.264486</v>
      </c>
      <c r="H6" s="35" t="n">
        <f aca="false">BILAN!G28-BILAN!G58</f>
        <v>449086877.217361</v>
      </c>
      <c r="I6" s="38"/>
    </row>
    <row r="7" customFormat="false" ht="15" hidden="false" customHeight="false" outlineLevel="0" collapsed="false">
      <c r="A7" s="13" t="s">
        <v>177</v>
      </c>
      <c r="B7" s="12" t="s">
        <v>475</v>
      </c>
      <c r="C7" s="41" t="s">
        <v>474</v>
      </c>
      <c r="D7" s="20" t="n">
        <f aca="false">'COMPTE DE RESULTAT'!D47-'COMPTE DE RESULTAT'!D31-'COMPTE DE RESULTAT'!D37-'COMPTE DE RESULTAT'!D30-'COMPTE DE RESULTAT'!D34-'COMPTE DE RESULTAT'!D42-'COMPTE DE RESULTAT'!D40</f>
        <v>174269487.274483</v>
      </c>
      <c r="E7" s="20" t="n">
        <f aca="false">'COMPTE DE RESULTAT'!E47-'COMPTE DE RESULTAT'!E31-'COMPTE DE RESULTAT'!E37-'COMPTE DE RESULTAT'!E30-'COMPTE DE RESULTAT'!E34-'COMPTE DE RESULTAT'!E42-'COMPTE DE RESULTAT'!E40</f>
        <v>185634669.687041</v>
      </c>
      <c r="F7" s="20" t="n">
        <f aca="false">'COMPTE DE RESULTAT'!F47-'COMPTE DE RESULTAT'!F31-'COMPTE DE RESULTAT'!F37-'COMPTE DE RESULTAT'!F30-'COMPTE DE RESULTAT'!F34-'COMPTE DE RESULTAT'!F42-'COMPTE DE RESULTAT'!F40</f>
        <v>195023600.637726</v>
      </c>
      <c r="G7" s="20" t="n">
        <f aca="false">'COMPTE DE RESULTAT'!G47-'COMPTE DE RESULTAT'!G31-'COMPTE DE RESULTAT'!G37-'COMPTE DE RESULTAT'!G30-'COMPTE DE RESULTAT'!G34-'COMPTE DE RESULTAT'!G42-'COMPTE DE RESULTAT'!G40</f>
        <v>200910229.340446</v>
      </c>
      <c r="H7" s="20" t="n">
        <f aca="false">'COMPTE DE RESULTAT'!H47-'COMPTE DE RESULTAT'!H31-'COMPTE DE RESULTAT'!H37-'COMPTE DE RESULTAT'!H30-'COMPTE DE RESULTAT'!H34-'COMPTE DE RESULTAT'!H42-'COMPTE DE RESULTAT'!H40</f>
        <v>210121989.778301</v>
      </c>
    </row>
    <row r="8" customFormat="false" ht="15" hidden="false" customHeight="false" outlineLevel="0" collapsed="false">
      <c r="A8" s="13" t="s">
        <v>476</v>
      </c>
      <c r="B8" s="12" t="s">
        <v>477</v>
      </c>
      <c r="C8" s="41" t="s">
        <v>474</v>
      </c>
      <c r="D8" s="20" t="n">
        <f aca="false">-(BILAN!D18-BILAN!C18)</f>
        <v>-0</v>
      </c>
      <c r="E8" s="20" t="n">
        <f aca="false">-(BILAN!E18-BILAN!D18)</f>
        <v>-0</v>
      </c>
      <c r="F8" s="20" t="n">
        <f aca="false">-(BILAN!F18-BILAN!E18)</f>
        <v>-0</v>
      </c>
      <c r="G8" s="20" t="n">
        <f aca="false">-(BILAN!G18-BILAN!F18)</f>
        <v>-0</v>
      </c>
      <c r="H8" s="20" t="n">
        <f aca="false">-(BILAN!H18-BILAN!G18)</f>
        <v>-0</v>
      </c>
    </row>
    <row r="9" customFormat="false" ht="15" hidden="false" customHeight="false" outlineLevel="0" collapsed="false">
      <c r="A9" s="13" t="s">
        <v>478</v>
      </c>
      <c r="B9" s="12" t="s">
        <v>479</v>
      </c>
      <c r="C9" s="41" t="s">
        <v>474</v>
      </c>
      <c r="D9" s="20" t="n">
        <f aca="false">-(BILAN!D19-BILAN!C19)</f>
        <v>-0</v>
      </c>
      <c r="E9" s="20" t="n">
        <f aca="false">-(BILAN!E19-BILAN!D19)</f>
        <v>-0</v>
      </c>
      <c r="F9" s="20" t="n">
        <f aca="false">-(BILAN!F19-BILAN!E19)</f>
        <v>-0</v>
      </c>
      <c r="G9" s="20" t="n">
        <f aca="false">-(BILAN!G19-BILAN!F19)</f>
        <v>-0</v>
      </c>
      <c r="H9" s="20" t="n">
        <f aca="false">-(BILAN!H19-BILAN!G19)</f>
        <v>-0</v>
      </c>
    </row>
    <row r="10" customFormat="false" ht="15" hidden="false" customHeight="false" outlineLevel="0" collapsed="false">
      <c r="A10" s="13" t="s">
        <v>480</v>
      </c>
      <c r="B10" s="12" t="s">
        <v>481</v>
      </c>
      <c r="C10" s="41" t="s">
        <v>474</v>
      </c>
      <c r="D10" s="20" t="n">
        <f aca="false">-(BILAN!D23-BILAN!C23)</f>
        <v>-23030545.0991249</v>
      </c>
      <c r="E10" s="20" t="n">
        <f aca="false">-(BILAN!E23-BILAN!D23)</f>
        <v>-23765097.0549563</v>
      </c>
      <c r="F10" s="20" t="n">
        <f aca="false">-(BILAN!F23-BILAN!E23)</f>
        <v>-24953351.9077041</v>
      </c>
      <c r="G10" s="20" t="n">
        <f aca="false">-(BILAN!G23-BILAN!F23)</f>
        <v>-26201019.5030894</v>
      </c>
      <c r="H10" s="20" t="n">
        <f aca="false">-(BILAN!H23-BILAN!G23)</f>
        <v>-27511070.4782436</v>
      </c>
    </row>
    <row r="11" customFormat="false" ht="15" hidden="false" customHeight="false" outlineLevel="0" collapsed="false">
      <c r="A11" s="13" t="s">
        <v>482</v>
      </c>
      <c r="B11" s="12" t="s">
        <v>483</v>
      </c>
      <c r="C11" s="41" t="s">
        <v>474</v>
      </c>
      <c r="D11" s="20" t="n">
        <f aca="false">(BILAN!D55-BILAN!D49)-(BILAN!C55-BILAN!C49)</f>
        <v>5188911.10006216</v>
      </c>
      <c r="E11" s="20" t="n">
        <f aca="false">(BILAN!E55-BILAN!E49)-(BILAN!D55-BILAN!D49)</f>
        <v>8954299.46016979</v>
      </c>
      <c r="F11" s="20" t="n">
        <f aca="false">(BILAN!F55-BILAN!F49)-(BILAN!E55-BILAN!E49)</f>
        <v>10975153.0556782</v>
      </c>
      <c r="G11" s="20" t="n">
        <f aca="false">(BILAN!G55-BILAN!G49)-(BILAN!F55-BILAN!F49)</f>
        <v>13829988.5599622</v>
      </c>
      <c r="H11" s="20" t="n">
        <f aca="false">(BILAN!H55-BILAN!H49)-(BILAN!G55-BILAN!G49)</f>
        <v>11490687.6879602</v>
      </c>
    </row>
    <row r="12" customFormat="false" ht="15" hidden="false" customHeight="false" outlineLevel="0" collapsed="false">
      <c r="A12" s="34" t="s">
        <v>484</v>
      </c>
      <c r="B12" s="34" t="s">
        <v>485</v>
      </c>
      <c r="C12" s="40" t="s">
        <v>474</v>
      </c>
      <c r="D12" s="35" t="n">
        <f aca="false">D7+D8+D9+D10+D11</f>
        <v>156427853.275421</v>
      </c>
      <c r="E12" s="35" t="n">
        <f aca="false">E7+E8+E9+E10+E11</f>
        <v>170823872.092254</v>
      </c>
      <c r="F12" s="35" t="n">
        <f aca="false">F7+F8+F9+F10+F11</f>
        <v>181045401.7857</v>
      </c>
      <c r="G12" s="35" t="n">
        <f aca="false">G7+G8+G9+G10+G11</f>
        <v>188539198.397319</v>
      </c>
      <c r="H12" s="35" t="n">
        <f aca="false">H7+H8+H9+H10+H11</f>
        <v>194101606.988018</v>
      </c>
      <c r="I12" s="38"/>
    </row>
    <row r="13" customFormat="false" ht="15" hidden="false" customHeight="false" outlineLevel="0" collapsed="false">
      <c r="A13" s="13" t="s">
        <v>486</v>
      </c>
      <c r="B13" s="12" t="s">
        <v>487</v>
      </c>
      <c r="C13" s="41" t="s">
        <v>474</v>
      </c>
      <c r="D13" s="15" t="n">
        <f aca="false">-((SUMIFS(BALANCES!$F:$F,BALANCES!$C:$C,"AD"))-(SUMIFS(BALANCES!$D:$D,BALANCES!$C:$C,"AD")))</f>
        <v>-0</v>
      </c>
      <c r="E13" s="15" t="n">
        <f aca="false">-((SUMIFS(BALANCES!$H:$H,BALANCES!$C:$C,"AD"))-(SUMIFS(BALANCES!$F:$F,BALANCES!$C:$C,"AD")))</f>
        <v>-0</v>
      </c>
      <c r="F13" s="15" t="n">
        <f aca="false">-((SUMIFS(BALANCES!$J:$J,BALANCES!$C:$C,"AD"))-(SUMIFS(BALANCES!$H:$H,BALANCES!$C:$C,"AD")))</f>
        <v>-0</v>
      </c>
      <c r="G13" s="15" t="n">
        <f aca="false">-((SUMIFS(BALANCES!$L:$L,BALANCES!$C:$C,"AD"))-(SUMIFS(BALANCES!$J:$J,BALANCES!$C:$C,"AD")))</f>
        <v>-0</v>
      </c>
      <c r="H13" s="15" t="n">
        <f aca="false">-((SUMIFS(BALANCES!$N:$N,BALANCES!$C:$C,"AD"))-(SUMIFS(BALANCES!$L:$L,BALANCES!$C:$C,"AD")))</f>
        <v>-0</v>
      </c>
    </row>
    <row r="14" customFormat="false" ht="15" hidden="false" customHeight="false" outlineLevel="0" collapsed="false">
      <c r="A14" s="13" t="s">
        <v>488</v>
      </c>
      <c r="B14" s="12" t="s">
        <v>489</v>
      </c>
      <c r="C14" s="41" t="s">
        <v>474</v>
      </c>
      <c r="D14" s="15" t="n">
        <f aca="false">-((SUMIFS(BALANCES!$F:$F,BALANCES!$C:$C,"AJ")+SUMIFS(BALANCES!$F:$F,BALANCES!$C:$C,"AK")+SUMIFS(BALANCES!$F:$F,BALANCES!$C:$C,"AL")+SUMIFS(BALANCES!$F:$F,BALANCES!$C:$C,"AM")+SUMIFS(BALANCES!$F:$F,BALANCES!$C:$C,"AN")+SUMIFS(BALANCES!$F:$F,BALANCES!$C:$C,"AP"))-(SUMIFS(BALANCES!$D:$D,BALANCES!$C:$C,"AJ")+SUMIFS(BALANCES!$D:$D,BALANCES!$C:$C,"AK")+SUMIFS(BALANCES!$D:$D,BALANCES!$C:$C,"AL")+SUMIFS(BALANCES!$D:$D,BALANCES!$C:$C,"AM")+SUMIFS(BALANCES!$D:$D,BALANCES!$C:$C,"AN")+SUMIFS(BALANCES!$D:$D,BALANCES!$C:$C,"AP")))+(BILAN!D49-BILAN!C49)</f>
        <v>-127446261.533333</v>
      </c>
      <c r="E14" s="15" t="n">
        <f aca="false">-((SUMIFS(BALANCES!$H:$H,BALANCES!$C:$C,"AJ")+SUMIFS(BALANCES!$H:$H,BALANCES!$C:$C,"AK")+SUMIFS(BALANCES!$H:$H,BALANCES!$C:$C,"AL")+SUMIFS(BALANCES!$H:$H,BALANCES!$C:$C,"AM")+SUMIFS(BALANCES!$H:$H,BALANCES!$C:$C,"AN")+SUMIFS(BALANCES!$H:$H,BALANCES!$C:$C,"AP"))-(SUMIFS(BALANCES!$F:$F,BALANCES!$C:$C,"AJ")+SUMIFS(BALANCES!$F:$F,BALANCES!$C:$C,"AK")+SUMIFS(BALANCES!$F:$F,BALANCES!$C:$C,"AL")+SUMIFS(BALANCES!$F:$F,BALANCES!$C:$C,"AM")+SUMIFS(BALANCES!$F:$F,BALANCES!$C:$C,"AN")+SUMIFS(BALANCES!$F:$F,BALANCES!$C:$C,"AP")))+(BILAN!E49-BILAN!D49)</f>
        <v>-102714174.355556</v>
      </c>
      <c r="F14" s="15" t="n">
        <f aca="false">-((SUMIFS(BALANCES!$J:$J,BALANCES!$C:$C,"AJ")+SUMIFS(BALANCES!$J:$J,BALANCES!$C:$C,"AK")+SUMIFS(BALANCES!$J:$J,BALANCES!$C:$C,"AL")+SUMIFS(BALANCES!$J:$J,BALANCES!$C:$C,"AM")+SUMIFS(BALANCES!$J:$J,BALANCES!$C:$C,"AN")+SUMIFS(BALANCES!$J:$J,BALANCES!$C:$C,"AP"))-(SUMIFS(BALANCES!$H:$H,BALANCES!$C:$C,"AJ")+SUMIFS(BALANCES!$H:$H,BALANCES!$C:$C,"AK")+SUMIFS(BALANCES!$H:$H,BALANCES!$C:$C,"AL")+SUMIFS(BALANCES!$H:$H,BALANCES!$C:$C,"AM")+SUMIFS(BALANCES!$H:$H,BALANCES!$C:$C,"AN")+SUMIFS(BALANCES!$H:$H,BALANCES!$C:$C,"AP")))+(BILAN!F49-BILAN!E49)</f>
        <v>-35000000</v>
      </c>
      <c r="G14" s="15" t="n">
        <f aca="false">-((SUMIFS(BALANCES!$L:$L,BALANCES!$C:$C,"AJ")+SUMIFS(BALANCES!$L:$L,BALANCES!$C:$C,"AK")+SUMIFS(BALANCES!$L:$L,BALANCES!$C:$C,"AL")+SUMIFS(BALANCES!$L:$L,BALANCES!$C:$C,"AM")+SUMIFS(BALANCES!$L:$L,BALANCES!$C:$C,"AN")+SUMIFS(BALANCES!$L:$L,BALANCES!$C:$C,"AP"))-(SUMIFS(BALANCES!$J:$J,BALANCES!$C:$C,"AJ")+SUMIFS(BALANCES!$J:$J,BALANCES!$C:$C,"AK")+SUMIFS(BALANCES!$J:$J,BALANCES!$C:$C,"AL")+SUMIFS(BALANCES!$J:$J,BALANCES!$C:$C,"AM")+SUMIFS(BALANCES!$J:$J,BALANCES!$C:$C,"AN")+SUMIFS(BALANCES!$J:$J,BALANCES!$C:$C,"AP")))+(BILAN!G49-BILAN!F49)</f>
        <v>-60444444.4444445</v>
      </c>
      <c r="H14" s="15" t="n">
        <f aca="false">-((SUMIFS(BALANCES!$N:$N,BALANCES!$C:$C,"AJ")+SUMIFS(BALANCES!$N:$N,BALANCES!$C:$C,"AK")+SUMIFS(BALANCES!$N:$N,BALANCES!$C:$C,"AL")+SUMIFS(BALANCES!$N:$N,BALANCES!$C:$C,"AM")+SUMIFS(BALANCES!$N:$N,BALANCES!$C:$C,"AN")+SUMIFS(BALANCES!$N:$N,BALANCES!$C:$C,"AP"))-(SUMIFS(BALANCES!$L:$L,BALANCES!$C:$C,"AJ")+SUMIFS(BALANCES!$L:$L,BALANCES!$C:$C,"AK")+SUMIFS(BALANCES!$L:$L,BALANCES!$C:$C,"AL")+SUMIFS(BALANCES!$L:$L,BALANCES!$C:$C,"AM")+SUMIFS(BALANCES!$L:$L,BALANCES!$C:$C,"AN")+SUMIFS(BALANCES!$L:$L,BALANCES!$C:$C,"AP")))+(BILAN!H49-BILAN!G49)</f>
        <v>-49555555.5555556</v>
      </c>
    </row>
    <row r="15" customFormat="false" ht="15" hidden="false" customHeight="false" outlineLevel="0" collapsed="false">
      <c r="A15" s="13" t="s">
        <v>490</v>
      </c>
      <c r="B15" s="12" t="s">
        <v>491</v>
      </c>
      <c r="C15" s="41" t="s">
        <v>474</v>
      </c>
      <c r="D15" s="20" t="n">
        <f aca="false">-(BILAN!D16-BILAN!C16)</f>
        <v>-0</v>
      </c>
      <c r="E15" s="20" t="n">
        <f aca="false">-(BILAN!E16-BILAN!D16)</f>
        <v>-0</v>
      </c>
      <c r="F15" s="20" t="n">
        <f aca="false">-(BILAN!F16-BILAN!E16)</f>
        <v>-0</v>
      </c>
      <c r="G15" s="20" t="n">
        <f aca="false">-(BILAN!G16-BILAN!F16)</f>
        <v>-0</v>
      </c>
      <c r="H15" s="20" t="n">
        <f aca="false">-(BILAN!H16-BILAN!G16)</f>
        <v>-0</v>
      </c>
    </row>
    <row r="16" customFormat="false" ht="15" hidden="false" customHeight="false" outlineLevel="0" collapsed="false">
      <c r="A16" s="13" t="s">
        <v>492</v>
      </c>
      <c r="B16" s="12" t="s">
        <v>493</v>
      </c>
      <c r="C16" s="41" t="s">
        <v>474</v>
      </c>
      <c r="D16" s="20" t="n">
        <f aca="false">'COMPTE DE RESULTAT'!D40</f>
        <v>0</v>
      </c>
      <c r="E16" s="20" t="n">
        <f aca="false">'COMPTE DE RESULTAT'!E40</f>
        <v>0</v>
      </c>
      <c r="F16" s="20" t="n">
        <f aca="false">'COMPTE DE RESULTAT'!F40</f>
        <v>0</v>
      </c>
      <c r="G16" s="20" t="n">
        <f aca="false">'COMPTE DE RESULTAT'!G40</f>
        <v>0</v>
      </c>
      <c r="H16" s="20" t="n">
        <f aca="false">'COMPTE DE RESULTAT'!H40</f>
        <v>0</v>
      </c>
    </row>
    <row r="17" customFormat="false" ht="15" hidden="false" customHeight="false" outlineLevel="0" collapsed="false">
      <c r="A17" s="13" t="s">
        <v>494</v>
      </c>
      <c r="B17" s="12" t="s">
        <v>495</v>
      </c>
      <c r="C17" s="41" t="s">
        <v>474</v>
      </c>
      <c r="D17" s="20" t="n">
        <f aca="false">0</f>
        <v>0</v>
      </c>
      <c r="E17" s="20" t="n">
        <f aca="false">0</f>
        <v>0</v>
      </c>
      <c r="F17" s="20" t="n">
        <f aca="false">0</f>
        <v>0</v>
      </c>
      <c r="G17" s="20" t="n">
        <f aca="false">0</f>
        <v>0</v>
      </c>
      <c r="H17" s="20" t="n">
        <f aca="false">0</f>
        <v>0</v>
      </c>
    </row>
    <row r="18" customFormat="false" ht="15" hidden="false" customHeight="false" outlineLevel="0" collapsed="false">
      <c r="A18" s="34" t="s">
        <v>496</v>
      </c>
      <c r="B18" s="34" t="s">
        <v>497</v>
      </c>
      <c r="C18" s="40" t="s">
        <v>474</v>
      </c>
      <c r="D18" s="35" t="n">
        <f aca="false">D13+D14+D15+D16+D17</f>
        <v>-127446261.533333</v>
      </c>
      <c r="E18" s="35" t="n">
        <f aca="false">E13+E14+E15+E16+E17</f>
        <v>-102714174.355556</v>
      </c>
      <c r="F18" s="35" t="n">
        <f aca="false">F13+F14+F15+F16+F17</f>
        <v>-35000000</v>
      </c>
      <c r="G18" s="35" t="n">
        <f aca="false">G13+G14+G15+G16+G17</f>
        <v>-60444444.4444445</v>
      </c>
      <c r="H18" s="35" t="n">
        <f aca="false">H13+H14+H15+H16+H17</f>
        <v>-49555555.5555556</v>
      </c>
      <c r="I18" s="38"/>
    </row>
    <row r="19" customFormat="false" ht="15" hidden="false" customHeight="false" outlineLevel="0" collapsed="false">
      <c r="A19" s="13" t="s">
        <v>498</v>
      </c>
      <c r="B19" s="12" t="s">
        <v>499</v>
      </c>
      <c r="C19" s="41" t="s">
        <v>474</v>
      </c>
      <c r="D19" s="20" t="n">
        <f aca="false">BILAN!D33-BILAN!C33</f>
        <v>0</v>
      </c>
      <c r="E19" s="20" t="n">
        <f aca="false">BILAN!E33-BILAN!D33</f>
        <v>0</v>
      </c>
      <c r="F19" s="20" t="n">
        <f aca="false">BILAN!F33-BILAN!E33</f>
        <v>0</v>
      </c>
      <c r="G19" s="20" t="n">
        <f aca="false">BILAN!G33-BILAN!F33</f>
        <v>0</v>
      </c>
      <c r="H19" s="20" t="n">
        <f aca="false">BILAN!H33-BILAN!G33</f>
        <v>0</v>
      </c>
    </row>
    <row r="20" customFormat="false" ht="15" hidden="false" customHeight="false" outlineLevel="0" collapsed="false">
      <c r="A20" s="13" t="s">
        <v>500</v>
      </c>
      <c r="B20" s="12" t="s">
        <v>501</v>
      </c>
      <c r="C20" s="41" t="s">
        <v>474</v>
      </c>
      <c r="D20" s="20" t="n">
        <f aca="false">BILAN!D41-BILAN!C41</f>
        <v>0</v>
      </c>
      <c r="E20" s="20" t="n">
        <f aca="false">BILAN!E41-BILAN!D41</f>
        <v>0</v>
      </c>
      <c r="F20" s="20" t="n">
        <f aca="false">BILAN!F41-BILAN!E41</f>
        <v>0</v>
      </c>
      <c r="G20" s="20" t="n">
        <f aca="false">BILAN!G41-BILAN!F41</f>
        <v>0</v>
      </c>
      <c r="H20" s="20" t="n">
        <f aca="false">BILAN!H41-BILAN!G41</f>
        <v>0</v>
      </c>
    </row>
    <row r="21" customFormat="false" ht="15" hidden="false" customHeight="false" outlineLevel="0" collapsed="false">
      <c r="A21" s="13" t="s">
        <v>502</v>
      </c>
      <c r="B21" s="12" t="s">
        <v>503</v>
      </c>
      <c r="C21" s="41" t="s">
        <v>474</v>
      </c>
      <c r="D21" s="20" t="n">
        <f aca="false">0</f>
        <v>0</v>
      </c>
      <c r="E21" s="20" t="n">
        <f aca="false">0</f>
        <v>0</v>
      </c>
      <c r="F21" s="20" t="n">
        <f aca="false">0</f>
        <v>0</v>
      </c>
      <c r="G21" s="20" t="n">
        <f aca="false">0</f>
        <v>0</v>
      </c>
      <c r="H21" s="20" t="n">
        <f aca="false">0</f>
        <v>0</v>
      </c>
    </row>
    <row r="22" customFormat="false" ht="15" hidden="false" customHeight="false" outlineLevel="0" collapsed="false">
      <c r="A22" s="13" t="s">
        <v>504</v>
      </c>
      <c r="B22" s="12" t="s">
        <v>505</v>
      </c>
      <c r="C22" s="41" t="s">
        <v>474</v>
      </c>
      <c r="D22" s="20" t="n">
        <f aca="false">-((BILAN!C37+BILAN!C38+BILAN!C39+BILAN!C40)-(BILAN!D37+BILAN!D38+BILAN!D39))</f>
        <v>-0</v>
      </c>
      <c r="E22" s="20" t="n">
        <f aca="false">-((BILAN!D37+BILAN!D38+BILAN!D39+BILAN!D40)-(BILAN!E37+BILAN!E38+BILAN!E39))</f>
        <v>-0</v>
      </c>
      <c r="F22" s="20" t="n">
        <f aca="false">-((BILAN!E37+BILAN!E38+BILAN!E39+BILAN!E40)-(BILAN!F37+BILAN!F38+BILAN!F39))</f>
        <v>-0</v>
      </c>
      <c r="G22" s="20" t="n">
        <f aca="false">-((BILAN!F37+BILAN!F38+BILAN!F39+BILAN!F40)-(BILAN!G37+BILAN!G38+BILAN!G39))</f>
        <v>-0</v>
      </c>
      <c r="H22" s="20" t="n">
        <f aca="false">-((BILAN!G37+BILAN!G38+BILAN!G39+BILAN!G40)-(BILAN!H37+BILAN!H38+BILAN!H39))</f>
        <v>-0</v>
      </c>
    </row>
    <row r="23" customFormat="false" ht="15" hidden="false" customHeight="false" outlineLevel="0" collapsed="false">
      <c r="A23" s="34" t="s">
        <v>506</v>
      </c>
      <c r="B23" s="34" t="s">
        <v>507</v>
      </c>
      <c r="C23" s="40" t="s">
        <v>474</v>
      </c>
      <c r="D23" s="35" t="n">
        <f aca="false">D19+D20+D21+D22</f>
        <v>0</v>
      </c>
      <c r="E23" s="35" t="n">
        <f aca="false">E19+E20+E21+E22</f>
        <v>0</v>
      </c>
      <c r="F23" s="35" t="n">
        <f aca="false">F19+F20+F21+F22</f>
        <v>0</v>
      </c>
      <c r="G23" s="35" t="n">
        <f aca="false">G19+G20+G21+G22</f>
        <v>0</v>
      </c>
      <c r="H23" s="35" t="n">
        <f aca="false">H19+H20+H21+H22</f>
        <v>0</v>
      </c>
      <c r="I23" s="38"/>
    </row>
    <row r="24" customFormat="false" ht="15" hidden="false" customHeight="false" outlineLevel="0" collapsed="false">
      <c r="A24" s="13" t="s">
        <v>508</v>
      </c>
      <c r="B24" s="12" t="s">
        <v>509</v>
      </c>
      <c r="C24" s="41" t="s">
        <v>474</v>
      </c>
      <c r="D24" s="20" t="n">
        <f aca="false">'INVEST ET FINANCEMENT'!D47</f>
        <v>0</v>
      </c>
      <c r="E24" s="20" t="n">
        <f aca="false">'INVEST ET FINANCEMENT'!E47</f>
        <v>0</v>
      </c>
      <c r="F24" s="20" t="n">
        <f aca="false">'INVEST ET FINANCEMENT'!F47</f>
        <v>0</v>
      </c>
      <c r="G24" s="20" t="n">
        <f aca="false">'INVEST ET FINANCEMENT'!G47</f>
        <v>0</v>
      </c>
      <c r="H24" s="20" t="n">
        <f aca="false">'INVEST ET FINANCEMENT'!H47</f>
        <v>0</v>
      </c>
    </row>
    <row r="25" customFormat="false" ht="15" hidden="false" customHeight="false" outlineLevel="0" collapsed="false">
      <c r="A25" s="13" t="s">
        <v>510</v>
      </c>
      <c r="B25" s="12" t="s">
        <v>511</v>
      </c>
      <c r="C25" s="41" t="s">
        <v>474</v>
      </c>
      <c r="D25" s="20" t="n">
        <f aca="false">0</f>
        <v>0</v>
      </c>
      <c r="E25" s="20" t="n">
        <f aca="false">0</f>
        <v>0</v>
      </c>
      <c r="F25" s="20" t="n">
        <f aca="false">0</f>
        <v>0</v>
      </c>
      <c r="G25" s="20" t="n">
        <f aca="false">0</f>
        <v>0</v>
      </c>
      <c r="H25" s="20" t="n">
        <f aca="false">0</f>
        <v>0</v>
      </c>
    </row>
    <row r="26" customFormat="false" ht="15" hidden="false" customHeight="false" outlineLevel="0" collapsed="false">
      <c r="A26" s="13" t="s">
        <v>512</v>
      </c>
      <c r="B26" s="12" t="s">
        <v>513</v>
      </c>
      <c r="C26" s="41" t="s">
        <v>474</v>
      </c>
      <c r="D26" s="20" t="n">
        <f aca="false">-('INVEST ET FINANCEMENT'!D48+'INVEST ET FINANCEMENT'!D49)</f>
        <v>-30449110</v>
      </c>
      <c r="E26" s="20" t="n">
        <f aca="false">-('INVEST ET FINANCEMENT'!E48+'INVEST ET FINANCEMENT'!E49)</f>
        <v>-19829416</v>
      </c>
      <c r="F26" s="20" t="n">
        <f aca="false">-('INVEST ET FINANCEMENT'!F48+'INVEST ET FINANCEMENT'!F49)</f>
        <v>-0</v>
      </c>
      <c r="G26" s="20" t="n">
        <f aca="false">-('INVEST ET FINANCEMENT'!G48+'INVEST ET FINANCEMENT'!G49)</f>
        <v>-0</v>
      </c>
      <c r="H26" s="20" t="n">
        <f aca="false">-('INVEST ET FINANCEMENT'!H48+'INVEST ET FINANCEMENT'!H49)</f>
        <v>-0</v>
      </c>
    </row>
    <row r="27" customFormat="false" ht="15" hidden="false" customHeight="false" outlineLevel="0" collapsed="false">
      <c r="A27" s="34" t="s">
        <v>514</v>
      </c>
      <c r="B27" s="34" t="s">
        <v>515</v>
      </c>
      <c r="C27" s="40" t="s">
        <v>474</v>
      </c>
      <c r="D27" s="35" t="n">
        <f aca="false">D24+D25+D26</f>
        <v>-30449110</v>
      </c>
      <c r="E27" s="35" t="n">
        <f aca="false">E24+E25+E26</f>
        <v>-19829416</v>
      </c>
      <c r="F27" s="35" t="n">
        <f aca="false">F24+F25+F26</f>
        <v>0</v>
      </c>
      <c r="G27" s="35" t="n">
        <f aca="false">G24+G25+G26</f>
        <v>0</v>
      </c>
      <c r="H27" s="35" t="n">
        <f aca="false">H24+H25+H26</f>
        <v>0</v>
      </c>
      <c r="I27" s="38"/>
    </row>
    <row r="28" customFormat="false" ht="15" hidden="false" customHeight="false" outlineLevel="0" collapsed="false">
      <c r="A28" s="34" t="s">
        <v>516</v>
      </c>
      <c r="B28" s="34" t="s">
        <v>517</v>
      </c>
      <c r="C28" s="40" t="s">
        <v>474</v>
      </c>
      <c r="D28" s="35" t="n">
        <f aca="false">D23+D27</f>
        <v>-30449110</v>
      </c>
      <c r="E28" s="35" t="n">
        <f aca="false">E23+E27</f>
        <v>-19829416</v>
      </c>
      <c r="F28" s="35" t="n">
        <f aca="false">F23+F27</f>
        <v>0</v>
      </c>
      <c r="G28" s="35" t="n">
        <f aca="false">G23+G27</f>
        <v>0</v>
      </c>
      <c r="H28" s="35" t="n">
        <f aca="false">H23+H27</f>
        <v>0</v>
      </c>
      <c r="I28" s="38"/>
    </row>
    <row r="29" customFormat="false" ht="15" hidden="false" customHeight="false" outlineLevel="0" collapsed="false">
      <c r="A29" s="34" t="s">
        <v>518</v>
      </c>
      <c r="B29" s="34" t="s">
        <v>519</v>
      </c>
      <c r="C29" s="40" t="s">
        <v>474</v>
      </c>
      <c r="D29" s="35" t="n">
        <f aca="false">D12+D18+D28</f>
        <v>-1467518.25791276</v>
      </c>
      <c r="E29" s="35" t="n">
        <f aca="false">E12+E18+E28</f>
        <v>48280281.7366988</v>
      </c>
      <c r="F29" s="35" t="n">
        <f aca="false">F12+F18+F28</f>
        <v>146045401.7857</v>
      </c>
      <c r="G29" s="35" t="n">
        <f aca="false">G12+G18+G28</f>
        <v>128094753.952874</v>
      </c>
      <c r="H29" s="35" t="n">
        <f aca="false">H12+H18+H28</f>
        <v>144546051.432463</v>
      </c>
      <c r="I29" s="38"/>
    </row>
    <row r="30" customFormat="false" ht="15" hidden="false" customHeight="false" outlineLevel="0" collapsed="false">
      <c r="A30" s="34" t="s">
        <v>520</v>
      </c>
      <c r="B30" s="34" t="s">
        <v>521</v>
      </c>
      <c r="C30" s="40" t="s">
        <v>474</v>
      </c>
      <c r="D30" s="35" t="n">
        <f aca="false">D29+D6</f>
        <v>126666439.742087</v>
      </c>
      <c r="E30" s="35" t="n">
        <f aca="false">E29+E6</f>
        <v>174946721.478786</v>
      </c>
      <c r="F30" s="35" t="n">
        <f aca="false">F29+F6</f>
        <v>320992123.264486</v>
      </c>
      <c r="G30" s="35" t="n">
        <f aca="false">G29+G6</f>
        <v>449086877.217361</v>
      </c>
      <c r="H30" s="35" t="n">
        <f aca="false">H29+H6</f>
        <v>593632928.649823</v>
      </c>
      <c r="I30" s="38"/>
    </row>
    <row r="31" customFormat="false" ht="15" hidden="false" customHeight="false" outlineLevel="0" collapsed="false">
      <c r="B31" s="7" t="s">
        <v>522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true"/>
  </sheetPr>
  <dimension ref="A1:I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72"/>
    <col collapsed="false" customWidth="true" hidden="false" outlineLevel="0" max="8" min="3" style="0" width="16"/>
    <col collapsed="false" customWidth="true" hidden="false" outlineLevel="0" max="9" min="9" style="0" width="13"/>
  </cols>
  <sheetData>
    <row r="1" customFormat="false" ht="24" hidden="false" customHeight="true" outlineLevel="0" collapsed="false">
      <c r="A1" s="1" t="s">
        <v>523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524</v>
      </c>
    </row>
    <row r="3" customFormat="false" ht="15" hidden="false" customHeight="false" outlineLevel="0" collapsed="false">
      <c r="A3" s="4" t="str">
        <f aca="false">"Entité : "&amp;HYPOTHESES!$C$4</f>
        <v>Entité : MON ENTREPRISE</v>
      </c>
    </row>
    <row r="5" customFormat="false" ht="15" hidden="false" customHeight="false" outlineLevel="0" collapsed="false">
      <c r="A5" s="36" t="s">
        <v>308</v>
      </c>
      <c r="B5" s="36" t="s">
        <v>525</v>
      </c>
      <c r="C5" s="36" t="str">
        <f aca="false">"Réel "&amp;HYPOTHESES!$C$5</f>
        <v>Réel 2024</v>
      </c>
      <c r="D5" s="37" t="n">
        <f aca="false">HYPOTHESES!$C$5+1</f>
        <v>2025</v>
      </c>
      <c r="E5" s="37" t="n">
        <f aca="false">HYPOTHESES!$C$5+2</f>
        <v>2026</v>
      </c>
      <c r="F5" s="37" t="n">
        <f aca="false">HYPOTHESES!$C$5+3</f>
        <v>2027</v>
      </c>
      <c r="G5" s="37" t="n">
        <f aca="false">HYPOTHESES!$C$5+4</f>
        <v>2028</v>
      </c>
      <c r="H5" s="37" t="n">
        <f aca="false">HYPOTHESES!$C$5+5</f>
        <v>2029</v>
      </c>
      <c r="I5" s="36" t="s">
        <v>526</v>
      </c>
    </row>
    <row r="6" customFormat="false" ht="15" hidden="false" customHeight="false" outlineLevel="0" collapsed="false">
      <c r="A6" s="13"/>
      <c r="B6" s="12" t="s">
        <v>527</v>
      </c>
      <c r="C6" s="15" t="n">
        <f aca="false">BALANCES!D93</f>
        <v>0</v>
      </c>
      <c r="D6" s="15" t="n">
        <f aca="false">BALANCES!F93</f>
        <v>0</v>
      </c>
      <c r="E6" s="15" t="n">
        <f aca="false">BALANCES!H93</f>
        <v>0</v>
      </c>
      <c r="F6" s="15" t="n">
        <f aca="false">BALANCES!J93</f>
        <v>0</v>
      </c>
      <c r="G6" s="15" t="n">
        <f aca="false">BALANCES!L93</f>
        <v>0</v>
      </c>
      <c r="H6" s="15" t="n">
        <f aca="false">BALANCES!N93</f>
        <v>0</v>
      </c>
    </row>
    <row r="7" customFormat="false" ht="15" hidden="false" customHeight="false" outlineLevel="0" collapsed="false">
      <c r="A7" s="13"/>
      <c r="B7" s="12" t="s">
        <v>528</v>
      </c>
      <c r="C7" s="20" t="n">
        <f aca="false">BILAN!C30-BILAN!C60</f>
        <v>0</v>
      </c>
      <c r="D7" s="20" t="n">
        <f aca="false">BILAN!D30-BILAN!D60</f>
        <v>0</v>
      </c>
      <c r="E7" s="20" t="n">
        <f aca="false">BILAN!E30-BILAN!E60</f>
        <v>0</v>
      </c>
      <c r="F7" s="20" t="n">
        <f aca="false">BILAN!F30-BILAN!F60</f>
        <v>0</v>
      </c>
      <c r="G7" s="20" t="n">
        <f aca="false">BILAN!G30-BILAN!G60</f>
        <v>0</v>
      </c>
      <c r="H7" s="20" t="n">
        <f aca="false">BILAN!H30-BILAN!H60</f>
        <v>0</v>
      </c>
    </row>
    <row r="8" customFormat="false" ht="15" hidden="false" customHeight="false" outlineLevel="0" collapsed="false">
      <c r="A8" s="13"/>
      <c r="B8" s="12" t="s">
        <v>529</v>
      </c>
      <c r="C8" s="15" t="n">
        <f aca="false">'COMPTE DE RESULTAT'!C47-HYPOTHESES!C55</f>
        <v>0</v>
      </c>
      <c r="D8" s="15" t="n">
        <f aca="false">'COMPTE DE RESULTAT'!D47-HYPOTHESES!D55</f>
        <v>0</v>
      </c>
      <c r="E8" s="15" t="n">
        <f aca="false">'COMPTE DE RESULTAT'!E47-HYPOTHESES!E55</f>
        <v>0</v>
      </c>
      <c r="F8" s="15" t="n">
        <f aca="false">'COMPTE DE RESULTAT'!F47-HYPOTHESES!F55</f>
        <v>0</v>
      </c>
      <c r="G8" s="15" t="n">
        <f aca="false">'COMPTE DE RESULTAT'!G47-HYPOTHESES!G55</f>
        <v>0</v>
      </c>
      <c r="H8" s="15" t="n">
        <f aca="false">'COMPTE DE RESULTAT'!H47-HYPOTHESES!H55</f>
        <v>0</v>
      </c>
    </row>
    <row r="9" customFormat="false" ht="15" hidden="false" customHeight="false" outlineLevel="0" collapsed="false">
      <c r="A9" s="13"/>
      <c r="B9" s="12" t="s">
        <v>530</v>
      </c>
      <c r="C9" s="41" t="s">
        <v>474</v>
      </c>
      <c r="D9" s="20" t="n">
        <f aca="false">TFT!D30-(BILAN!D28-BILAN!D58)</f>
        <v>0</v>
      </c>
      <c r="E9" s="20" t="n">
        <f aca="false">TFT!E30-(BILAN!E28-BILAN!E58)</f>
        <v>0</v>
      </c>
      <c r="F9" s="20" t="n">
        <f aca="false">TFT!F30-(BILAN!F28-BILAN!F58)</f>
        <v>0</v>
      </c>
      <c r="G9" s="20" t="n">
        <f aca="false">TFT!G30-(BILAN!G28-BILAN!G58)</f>
        <v>0</v>
      </c>
      <c r="H9" s="20" t="n">
        <f aca="false">TFT!H30-(BILAN!H28-BILAN!H58)</f>
        <v>0</v>
      </c>
    </row>
    <row r="10" customFormat="false" ht="15" hidden="false" customHeight="false" outlineLevel="0" collapsed="false">
      <c r="A10" s="13"/>
      <c r="B10" s="12" t="s">
        <v>531</v>
      </c>
      <c r="C10" s="41" t="s">
        <v>474</v>
      </c>
      <c r="D10" s="20" t="n">
        <f aca="false">BILAN!D43-(BILAN!C43+'COMPTE DE RESULTAT'!D47+TFT!D22+TFT!D19+TFT!D20)</f>
        <v>0</v>
      </c>
      <c r="E10" s="20" t="n">
        <f aca="false">BILAN!E43-(BILAN!D43+'COMPTE DE RESULTAT'!E47+TFT!E22+TFT!E19+TFT!E20)</f>
        <v>0</v>
      </c>
      <c r="F10" s="20" t="n">
        <f aca="false">BILAN!F43-(BILAN!E43+'COMPTE DE RESULTAT'!F47+TFT!F22+TFT!F19+TFT!F20)</f>
        <v>0</v>
      </c>
      <c r="G10" s="20" t="n">
        <f aca="false">BILAN!G43-(BILAN!F43+'COMPTE DE RESULTAT'!G47+TFT!G22+TFT!G19+TFT!G20)</f>
        <v>0</v>
      </c>
      <c r="H10" s="20" t="n">
        <f aca="false">BILAN!H43-(BILAN!G43+'COMPTE DE RESULTAT'!H47+TFT!H22+TFT!H19+TFT!H20)</f>
        <v>0</v>
      </c>
    </row>
    <row r="11" customFormat="false" ht="15" hidden="false" customHeight="false" outlineLevel="0" collapsed="false">
      <c r="A11" s="13"/>
      <c r="B11" s="12" t="s">
        <v>532</v>
      </c>
      <c r="C11" s="41" t="s">
        <v>474</v>
      </c>
      <c r="D11" s="20" t="n">
        <f aca="false">TFT!D6-(BILAN!C28-BILAN!C58)</f>
        <v>0</v>
      </c>
      <c r="E11" s="20" t="n">
        <f aca="false">TFT!E6-(BILAN!D28-BILAN!D58)</f>
        <v>0</v>
      </c>
      <c r="F11" s="20" t="n">
        <f aca="false">TFT!F6-(BILAN!E28-BILAN!E58)</f>
        <v>0</v>
      </c>
      <c r="G11" s="20" t="n">
        <f aca="false">TFT!G6-(BILAN!F28-BILAN!F58)</f>
        <v>0</v>
      </c>
      <c r="H11" s="20" t="n">
        <f aca="false">TFT!H6-(BILAN!G28-BILAN!G58)</f>
        <v>0</v>
      </c>
    </row>
    <row r="12" customFormat="false" ht="15" hidden="false" customHeight="false" outlineLevel="0" collapsed="false">
      <c r="A12" s="13"/>
      <c r="B12" s="12" t="s">
        <v>533</v>
      </c>
      <c r="C12" s="20" t="n">
        <f aca="false">'INVEST ET FINANCEMENT'!C45-BILAN!C12</f>
        <v>0</v>
      </c>
      <c r="D12" s="20" t="n">
        <f aca="false">'INVEST ET FINANCEMENT'!D45-BILAN!D12</f>
        <v>0</v>
      </c>
      <c r="E12" s="20" t="n">
        <f aca="false">'INVEST ET FINANCEMENT'!E45-BILAN!E12</f>
        <v>0</v>
      </c>
      <c r="F12" s="20" t="n">
        <f aca="false">'INVEST ET FINANCEMENT'!F45-BILAN!F12</f>
        <v>0</v>
      </c>
      <c r="G12" s="20" t="n">
        <f aca="false">'INVEST ET FINANCEMENT'!G45-BILAN!G12</f>
        <v>0</v>
      </c>
      <c r="H12" s="20" t="n">
        <f aca="false">'INVEST ET FINANCEMENT'!H45-BILAN!H12</f>
        <v>0</v>
      </c>
    </row>
    <row r="13" customFormat="false" ht="15" hidden="false" customHeight="false" outlineLevel="0" collapsed="false">
      <c r="A13" s="13"/>
      <c r="B13" s="12" t="s">
        <v>534</v>
      </c>
      <c r="C13" s="41" t="s">
        <v>474</v>
      </c>
      <c r="D13" s="20" t="n">
        <f aca="false">'INVEST ET FINANCEMENT'!D74-((BILAN!D48-BILAN!D17)-(BILAN!C48-BILAN!C17))</f>
        <v>0</v>
      </c>
      <c r="E13" s="20" t="n">
        <f aca="false">'INVEST ET FINANCEMENT'!E74-((BILAN!E48-BILAN!E17)-(BILAN!D48-BILAN!D17))</f>
        <v>0</v>
      </c>
      <c r="F13" s="20" t="n">
        <f aca="false">'INVEST ET FINANCEMENT'!F74-((BILAN!F48-BILAN!F17)-(BILAN!E48-BILAN!E17))</f>
        <v>0</v>
      </c>
      <c r="G13" s="20" t="n">
        <f aca="false">'INVEST ET FINANCEMENT'!G74-((BILAN!G48-BILAN!G17)-(BILAN!F48-BILAN!F17))</f>
        <v>0</v>
      </c>
      <c r="H13" s="20" t="n">
        <f aca="false">'INVEST ET FINANCEMENT'!H74-((BILAN!H48-BILAN!H17)-(BILAN!G48-BILAN!G17))</f>
        <v>0</v>
      </c>
    </row>
    <row r="14" customFormat="false" ht="15" hidden="false" customHeight="false" outlineLevel="0" collapsed="false">
      <c r="A14" s="13"/>
      <c r="B14" s="12" t="s">
        <v>535</v>
      </c>
      <c r="C14" s="32" t="n">
        <f aca="false">IF(BILAN!C28-BILAN!C58&lt;0,1,0)</f>
        <v>0</v>
      </c>
      <c r="D14" s="32" t="n">
        <f aca="false">IF(BILAN!D28-BILAN!D58&lt;0,1,0)</f>
        <v>0</v>
      </c>
      <c r="E14" s="32" t="n">
        <f aca="false">IF(BILAN!E28-BILAN!E58&lt;0,1,0)</f>
        <v>0</v>
      </c>
      <c r="F14" s="32" t="n">
        <f aca="false">IF(BILAN!F28-BILAN!F58&lt;0,1,0)</f>
        <v>0</v>
      </c>
      <c r="G14" s="32" t="n">
        <f aca="false">IF(BILAN!G28-BILAN!G58&lt;0,1,0)</f>
        <v>0</v>
      </c>
      <c r="H14" s="32" t="n">
        <f aca="false">IF(BILAN!H28-BILAN!H58&lt;0,1,0)</f>
        <v>0</v>
      </c>
    </row>
    <row r="15" customFormat="false" ht="15" hidden="false" customHeight="false" outlineLevel="0" collapsed="false">
      <c r="A15" s="13"/>
      <c r="B15" s="12" t="s">
        <v>536</v>
      </c>
      <c r="C15" s="32" t="n">
        <f aca="false">IF(BILAN!C43&lt;BILAN!C33/2,1,0)</f>
        <v>0</v>
      </c>
      <c r="D15" s="32" t="n">
        <f aca="false">IF(BILAN!D43&lt;BILAN!D33/2,1,0)</f>
        <v>0</v>
      </c>
      <c r="E15" s="32" t="n">
        <f aca="false">IF(BILAN!E43&lt;BILAN!E33/2,1,0)</f>
        <v>0</v>
      </c>
      <c r="F15" s="32" t="n">
        <f aca="false">IF(BILAN!F43&lt;BILAN!F33/2,1,0)</f>
        <v>0</v>
      </c>
      <c r="G15" s="32" t="n">
        <f aca="false">IF(BILAN!G43&lt;BILAN!G33/2,1,0)</f>
        <v>0</v>
      </c>
      <c r="H15" s="32" t="n">
        <f aca="false">IF(BILAN!H43&lt;BILAN!H33/2,1,0)</f>
        <v>0</v>
      </c>
    </row>
    <row r="16" customFormat="false" ht="15" hidden="false" customHeight="false" outlineLevel="0" collapsed="false">
      <c r="B16" s="42" t="s">
        <v>537</v>
      </c>
      <c r="C16" s="43" t="n">
        <f aca="false">COUNTIF(C6:C15,"&gt;0.5")+COUNTIF(C6:C15,"&lt;-0.5")</f>
        <v>0</v>
      </c>
      <c r="D16" s="43" t="n">
        <f aca="false">COUNTIF(D6:D15,"&gt;0.5")+COUNTIF(D6:D15,"&lt;-0.5")</f>
        <v>0</v>
      </c>
      <c r="E16" s="43" t="n">
        <f aca="false">COUNTIF(E6:E15,"&gt;0.5")+COUNTIF(E6:E15,"&lt;-0.5")</f>
        <v>0</v>
      </c>
      <c r="F16" s="43" t="n">
        <f aca="false">COUNTIF(F6:F15,"&gt;0.5")+COUNTIF(F6:F15,"&lt;-0.5")</f>
        <v>0</v>
      </c>
      <c r="G16" s="43" t="n">
        <f aca="false">COUNTIF(G6:G15,"&gt;0.5")+COUNTIF(G6:G15,"&lt;-0.5")</f>
        <v>0</v>
      </c>
      <c r="H16" s="43" t="n">
        <f aca="false">COUNTIF(H6:H15,"&gt;0.5")+COUNTIF(H6:H15,"&lt;-0.5")</f>
        <v>0</v>
      </c>
      <c r="I16" s="42" t="str">
        <f aca="false">IF(SUM(C16:H16)=0,"OK","À VÉRIFIER")</f>
        <v>OK</v>
      </c>
    </row>
    <row r="18" customFormat="false" ht="15" hidden="false" customHeight="false" outlineLevel="0" collapsed="false">
      <c r="A18" s="36" t="s">
        <v>308</v>
      </c>
      <c r="B18" s="36" t="s">
        <v>538</v>
      </c>
      <c r="C18" s="36" t="str">
        <f aca="false">"Réel "&amp;HYPOTHESES!$C$5</f>
        <v>Réel 2024</v>
      </c>
      <c r="D18" s="37" t="n">
        <f aca="false">HYPOTHESES!$C$5+1</f>
        <v>2025</v>
      </c>
      <c r="E18" s="37" t="n">
        <f aca="false">HYPOTHESES!$C$5+2</f>
        <v>2026</v>
      </c>
      <c r="F18" s="37" t="n">
        <f aca="false">HYPOTHESES!$C$5+3</f>
        <v>2027</v>
      </c>
      <c r="G18" s="37" t="n">
        <f aca="false">HYPOTHESES!$C$5+4</f>
        <v>2028</v>
      </c>
      <c r="H18" s="37" t="n">
        <f aca="false">HYPOTHESES!$C$5+5</f>
        <v>2029</v>
      </c>
      <c r="I18" s="36"/>
    </row>
    <row r="19" customFormat="false" ht="15" hidden="false" customHeight="false" outlineLevel="0" collapsed="false">
      <c r="A19" s="13"/>
      <c r="B19" s="12" t="s">
        <v>539</v>
      </c>
      <c r="C19" s="44" t="str">
        <f aca="false">""</f>
        <v/>
      </c>
      <c r="D19" s="44" t="n">
        <f aca="false">IF('COMPTE DE RESULTAT'!C13=0,0,'COMPTE DE RESULTAT'!D13/'COMPTE DE RESULTAT'!C13-1)</f>
        <v>0.05</v>
      </c>
      <c r="E19" s="44" t="n">
        <f aca="false">IF('COMPTE DE RESULTAT'!D13=0,0,'COMPTE DE RESULTAT'!E13/'COMPTE DE RESULTAT'!D13-1)</f>
        <v>0.05</v>
      </c>
      <c r="F19" s="44" t="n">
        <f aca="false">IF('COMPTE DE RESULTAT'!E13=0,0,'COMPTE DE RESULTAT'!F13/'COMPTE DE RESULTAT'!E13-1)</f>
        <v>0.05</v>
      </c>
      <c r="G19" s="44" t="n">
        <f aca="false">IF('COMPTE DE RESULTAT'!F13=0,0,'COMPTE DE RESULTAT'!G13/'COMPTE DE RESULTAT'!F13-1)</f>
        <v>0.05</v>
      </c>
      <c r="H19" s="44" t="n">
        <f aca="false">IF('COMPTE DE RESULTAT'!G13=0,0,'COMPTE DE RESULTAT'!H13/'COMPTE DE RESULTAT'!G13-1)</f>
        <v>0.05</v>
      </c>
    </row>
    <row r="20" customFormat="false" ht="15" hidden="false" customHeight="false" outlineLevel="0" collapsed="false">
      <c r="A20" s="13"/>
      <c r="B20" s="12" t="s">
        <v>540</v>
      </c>
      <c r="C20" s="44" t="n">
        <f aca="false">IF('COMPTE DE RESULTAT'!C13=0,0,'COMPTE DE RESULTAT'!C27/'COMPTE DE RESULTAT'!C13)</f>
        <v>0.422394255613904</v>
      </c>
      <c r="D20" s="44" t="n">
        <f aca="false">IF('COMPTE DE RESULTAT'!D13=0,0,'COMPTE DE RESULTAT'!D27/'COMPTE DE RESULTAT'!D13)</f>
        <v>0.4224</v>
      </c>
      <c r="E20" s="44" t="n">
        <f aca="false">IF('COMPTE DE RESULTAT'!E13=0,0,'COMPTE DE RESULTAT'!E27/'COMPTE DE RESULTAT'!E13)</f>
        <v>0.4224</v>
      </c>
      <c r="F20" s="44" t="n">
        <f aca="false">IF('COMPTE DE RESULTAT'!F13=0,0,'COMPTE DE RESULTAT'!F27/'COMPTE DE RESULTAT'!F13)</f>
        <v>0.4224</v>
      </c>
      <c r="G20" s="44" t="n">
        <f aca="false">IF('COMPTE DE RESULTAT'!G13=0,0,'COMPTE DE RESULTAT'!G27/'COMPTE DE RESULTAT'!G13)</f>
        <v>0.4224</v>
      </c>
      <c r="H20" s="44" t="n">
        <f aca="false">IF('COMPTE DE RESULTAT'!H13=0,0,'COMPTE DE RESULTAT'!H27/'COMPTE DE RESULTAT'!H13)</f>
        <v>0.4224</v>
      </c>
    </row>
    <row r="21" customFormat="false" ht="15" hidden="false" customHeight="false" outlineLevel="0" collapsed="false">
      <c r="A21" s="13"/>
      <c r="B21" s="12" t="s">
        <v>541</v>
      </c>
      <c r="C21" s="44" t="n">
        <f aca="false">IF('COMPTE DE RESULTAT'!C13=0,0,'COMPTE DE RESULTAT'!C29/'COMPTE DE RESULTAT'!C13)</f>
        <v>0.271151063655286</v>
      </c>
      <c r="D21" s="44" t="n">
        <f aca="false">IF('COMPTE DE RESULTAT'!D13=0,0,'COMPTE DE RESULTAT'!D29/'COMPTE DE RESULTAT'!D13)</f>
        <v>0.2712</v>
      </c>
      <c r="E21" s="44" t="n">
        <f aca="false">IF('COMPTE DE RESULTAT'!E13=0,0,'COMPTE DE RESULTAT'!E29/'COMPTE DE RESULTAT'!E13)</f>
        <v>0.2712</v>
      </c>
      <c r="F21" s="44" t="n">
        <f aca="false">IF('COMPTE DE RESULTAT'!F13=0,0,'COMPTE DE RESULTAT'!F29/'COMPTE DE RESULTAT'!F13)</f>
        <v>0.2712</v>
      </c>
      <c r="G21" s="44" t="n">
        <f aca="false">IF('COMPTE DE RESULTAT'!G13=0,0,'COMPTE DE RESULTAT'!G29/'COMPTE DE RESULTAT'!G13)</f>
        <v>0.2712</v>
      </c>
      <c r="H21" s="44" t="n">
        <f aca="false">IF('COMPTE DE RESULTAT'!H13=0,0,'COMPTE DE RESULTAT'!H29/'COMPTE DE RESULTAT'!H13)</f>
        <v>0.2712</v>
      </c>
    </row>
    <row r="22" customFormat="false" ht="15" hidden="false" customHeight="false" outlineLevel="0" collapsed="false">
      <c r="A22" s="13"/>
      <c r="B22" s="12" t="s">
        <v>542</v>
      </c>
      <c r="C22" s="44" t="n">
        <f aca="false">IF('COMPTE DE RESULTAT'!C13=0,0,'COMPTE DE RESULTAT'!C47/'COMPTE DE RESULTAT'!C13)</f>
        <v>0.103703436001107</v>
      </c>
      <c r="D22" s="44" t="n">
        <f aca="false">IF('COMPTE DE RESULTAT'!D13=0,0,'COMPTE DE RESULTAT'!D47/'COMPTE DE RESULTAT'!D13)</f>
        <v>0.0904028598214658</v>
      </c>
      <c r="E22" s="44" t="n">
        <f aca="false">IF('COMPTE DE RESULTAT'!E13=0,0,'COMPTE DE RESULTAT'!E47/'COMPTE DE RESULTAT'!E13)</f>
        <v>0.090181241838722</v>
      </c>
      <c r="F22" s="44" t="n">
        <f aca="false">IF('COMPTE DE RESULTAT'!F13=0,0,'COMPTE DE RESULTAT'!F47/'COMPTE DE RESULTAT'!F13)</f>
        <v>0.0957856601533548</v>
      </c>
      <c r="G22" s="44" t="n">
        <f aca="false">IF('COMPTE DE RESULTAT'!G13=0,0,'COMPTE DE RESULTAT'!G47/'COMPTE DE RESULTAT'!G13)</f>
        <v>0.109242218708251</v>
      </c>
      <c r="H22" s="44" t="n">
        <f aca="false">IF('COMPTE DE RESULTAT'!H13=0,0,'COMPTE DE RESULTAT'!H47/'COMPTE DE RESULTAT'!H13)</f>
        <v>0.11189555975179</v>
      </c>
    </row>
    <row r="23" customFormat="false" ht="15" hidden="false" customHeight="false" outlineLevel="0" collapsed="false">
      <c r="A23" s="13"/>
      <c r="B23" s="12" t="s">
        <v>543</v>
      </c>
      <c r="C23" s="20" t="n">
        <f aca="false">BILAN!C48-BILAN!C17</f>
        <v>268769832</v>
      </c>
      <c r="D23" s="20" t="n">
        <f aca="false">BILAN!D48-BILAN!D17</f>
        <v>337590209.274483</v>
      </c>
      <c r="E23" s="20" t="n">
        <f aca="false">BILAN!E48-BILAN!E17</f>
        <v>468395462.961524</v>
      </c>
      <c r="F23" s="20" t="n">
        <f aca="false">BILAN!F48-BILAN!F17</f>
        <v>628419063.59925</v>
      </c>
      <c r="G23" s="20" t="n">
        <f aca="false">BILAN!G48-BILAN!G17</f>
        <v>754329292.939696</v>
      </c>
      <c r="H23" s="20" t="n">
        <f aca="false">BILAN!H48-BILAN!H17</f>
        <v>929451282.717998</v>
      </c>
    </row>
    <row r="24" customFormat="false" ht="15" hidden="false" customHeight="false" outlineLevel="0" collapsed="false">
      <c r="A24" s="13"/>
      <c r="B24" s="12" t="s">
        <v>544</v>
      </c>
      <c r="C24" s="20" t="n">
        <f aca="false">BILAN!C24-BILAN!C55</f>
        <v>140635874</v>
      </c>
      <c r="D24" s="20" t="n">
        <f aca="false">BILAN!D24-BILAN!D55</f>
        <v>210923769.532396</v>
      </c>
      <c r="E24" s="20" t="n">
        <f aca="false">BILAN!E24-BILAN!E55</f>
        <v>293448741.482738</v>
      </c>
      <c r="F24" s="20" t="n">
        <f aca="false">BILAN!F24-BILAN!F55</f>
        <v>307426940.334764</v>
      </c>
      <c r="G24" s="20" t="n">
        <f aca="false">BILAN!G24-BILAN!G55</f>
        <v>305242415.722336</v>
      </c>
      <c r="H24" s="20" t="n">
        <f aca="false">BILAN!H24-BILAN!H55</f>
        <v>335818354.068175</v>
      </c>
    </row>
    <row r="25" customFormat="false" ht="15" hidden="false" customHeight="false" outlineLevel="0" collapsed="false">
      <c r="A25" s="34"/>
      <c r="B25" s="34" t="s">
        <v>545</v>
      </c>
      <c r="C25" s="35" t="n">
        <f aca="false">BILAN!C28-BILAN!C58</f>
        <v>128133958</v>
      </c>
      <c r="D25" s="35" t="n">
        <f aca="false">BILAN!D28-BILAN!D58</f>
        <v>126666439.742087</v>
      </c>
      <c r="E25" s="35" t="n">
        <f aca="false">BILAN!E28-BILAN!E58</f>
        <v>174946721.478786</v>
      </c>
      <c r="F25" s="35" t="n">
        <f aca="false">BILAN!F28-BILAN!F58</f>
        <v>320992123.264486</v>
      </c>
      <c r="G25" s="35" t="n">
        <f aca="false">BILAN!G28-BILAN!G58</f>
        <v>449086877.217361</v>
      </c>
      <c r="H25" s="35" t="n">
        <f aca="false">BILAN!H28-BILAN!H58</f>
        <v>593632928.649823</v>
      </c>
      <c r="I25" s="38"/>
    </row>
    <row r="26" customFormat="false" ht="15" hidden="false" customHeight="false" outlineLevel="0" collapsed="false">
      <c r="A26" s="13"/>
      <c r="B26" s="12" t="s">
        <v>546</v>
      </c>
      <c r="C26" s="45" t="n">
        <f aca="false">IF('COMPTE DE RESULTAT'!C13=0,0,C24/'COMPTE DE RESULTAT'!C13*360)</f>
        <v>72.2210937202613</v>
      </c>
      <c r="D26" s="45" t="n">
        <f aca="false">IF('COMPTE DE RESULTAT'!D13=0,0,D24/'COMPTE DE RESULTAT'!D13*360)</f>
        <v>103.158298390528</v>
      </c>
      <c r="E26" s="45" t="n">
        <f aca="false">IF('COMPTE DE RESULTAT'!E13=0,0,E24/'COMPTE DE RESULTAT'!E13*360)</f>
        <v>136.685233104929</v>
      </c>
      <c r="F26" s="45" t="n">
        <f aca="false">IF('COMPTE DE RESULTAT'!F13=0,0,F24/'COMPTE DE RESULTAT'!F13*360)</f>
        <v>136.377262995039</v>
      </c>
      <c r="G26" s="45" t="n">
        <f aca="false">IF('COMPTE DE RESULTAT'!G13=0,0,G24/'COMPTE DE RESULTAT'!G13*360)</f>
        <v>128.960179893632</v>
      </c>
      <c r="H26" s="45" t="n">
        <f aca="false">IF('COMPTE DE RESULTAT'!H13=0,0,H24/'COMPTE DE RESULTAT'!H13*360)</f>
        <v>135.121941873273</v>
      </c>
    </row>
    <row r="27" customFormat="false" ht="15" hidden="false" customHeight="false" outlineLevel="0" collapsed="false">
      <c r="A27" s="13"/>
      <c r="B27" s="12" t="s">
        <v>547</v>
      </c>
      <c r="C27" s="46" t="n">
        <f aca="false">IF(BILAN!C43=0,0,(BILAN!C44+BILAN!C45+BILAN!C58)/BILAN!C43)</f>
        <v>0.0587023942433689</v>
      </c>
      <c r="D27" s="46" t="n">
        <f aca="false">IF(BILAN!D43=0,0,(BILAN!D44+BILAN!D45+BILAN!D58)/BILAN!D43)</f>
        <v>0.021482673416526</v>
      </c>
      <c r="E27" s="46" t="n">
        <f aca="false">IF(BILAN!E43=0,0,(BILAN!E44+BILAN!E45+BILAN!E58)/BILAN!E43)</f>
        <v>0</v>
      </c>
      <c r="F27" s="46" t="n">
        <f aca="false">IF(BILAN!F43=0,0,(BILAN!F44+BILAN!F45+BILAN!F58)/BILAN!F43)</f>
        <v>0</v>
      </c>
      <c r="G27" s="46" t="n">
        <f aca="false">IF(BILAN!G43=0,0,(BILAN!G44+BILAN!G45+BILAN!G58)/BILAN!G43)</f>
        <v>0</v>
      </c>
      <c r="H27" s="46" t="n">
        <f aca="false">IF(BILAN!H43=0,0,(BILAN!H44+BILAN!H45+BILAN!H58)/BILAN!H43)</f>
        <v>0</v>
      </c>
    </row>
    <row r="28" customFormat="false" ht="15" hidden="false" customHeight="false" outlineLevel="0" collapsed="false">
      <c r="A28" s="13"/>
      <c r="B28" s="12" t="s">
        <v>548</v>
      </c>
      <c r="C28" s="44" t="n">
        <f aca="false">IF(BILAN!C43=0,0,'COMPTE DE RESULTAT'!C47/BILAN!C43)</f>
        <v>0.0848791418170092</v>
      </c>
      <c r="D28" s="44" t="n">
        <f aca="false">IF(BILAN!D43=0,0,'COMPTE DE RESULTAT'!D47/BILAN!D43)</f>
        <v>0.0720915605737493</v>
      </c>
      <c r="E28" s="44" t="n">
        <f aca="false">IF(BILAN!E43=0,0,'COMPTE DE RESULTAT'!E47/BILAN!E43)</f>
        <v>0.0702090479274246</v>
      </c>
      <c r="F28" s="44" t="n">
        <f aca="false">IF(BILAN!F43=0,0,'COMPTE DE RESULTAT'!F47/BILAN!F43)</f>
        <v>0.0726150610285119</v>
      </c>
      <c r="G28" s="44" t="n">
        <f aca="false">IF(BILAN!G43=0,0,'COMPTE DE RESULTAT'!G47/BILAN!G43)</f>
        <v>0.0800006544043326</v>
      </c>
      <c r="H28" s="44" t="n">
        <f aca="false">IF(BILAN!H43=0,0,'COMPTE DE RESULTAT'!H47/BILAN!H43)</f>
        <v>0.0792244038872438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2026-10-08T12:35:38Z</dcterms:created>
  <dc:creator>openpyxl</dc:creator>
  <dc:description/>
  <dc:language>en-US</dc:language>
  <cp:lastModifiedBy/>
  <dcterms:modified xsi:type="dcterms:W3CDTF">2026-10-08T12:35:38Z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